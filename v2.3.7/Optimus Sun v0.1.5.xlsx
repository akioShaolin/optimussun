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https://ecopowerenergia-my.sharepoint.com/personal/pedro_sakuma_ecopower_com_br/Documents/Área de Trabalho/Optimus Sun/v2.1.5/"/>
    </mc:Choice>
  </mc:AlternateContent>
  <xr:revisionPtr revIDLastSave="254" documentId="11_D671E57147F7B73BDF4AEFBBC846884F8EC8616D" xr6:coauthVersionLast="47" xr6:coauthVersionMax="47" xr10:uidLastSave="{572CBEB6-7A61-4D6A-881B-E6452FF3ACE4}"/>
  <bookViews>
    <workbookView xWindow="-120" yWindow="-120" windowWidth="20730" windowHeight="11040" activeTab="2" xr2:uid="{00000000-000D-0000-FFFF-FFFF00000000}"/>
  </bookViews>
  <sheets>
    <sheet name="Compare Inversores" sheetId="5" r:id="rId1"/>
    <sheet name="Formulas" sheetId="6" r:id="rId2"/>
    <sheet name="Inicio" sheetId="4" r:id="rId3"/>
    <sheet name="Dados dos Modulos" sheetId="1" r:id="rId4"/>
    <sheet name="Dados dos Inversores" sheetId="2" r:id="rId5"/>
  </sheets>
  <definedNames>
    <definedName name="_xlnm._FilterDatabase" localSheetId="4" hidden="1">'Dados dos Inversores'!$A$2:$AE$235</definedName>
    <definedName name="_xlnm._FilterDatabase" localSheetId="3" hidden="1">'Dados dos Modulos'!$A$1:$P$113</definedName>
    <definedName name="inv_3Fios">'Dados dos Inversores'!$AA$3:$AA$1048518</definedName>
    <definedName name="inv_4Fios">'Dados dos Inversores'!$AB$3:$AB$1048518</definedName>
    <definedName name="inv_Altura">'Dados dos Inversores'!$E$2:$E$1048518</definedName>
    <definedName name="inv_Comprimento">'Dados dos Inversores'!$C$3:$C$1048518</definedName>
    <definedName name="inv_CorrCAMax">'Dados dos Inversores'!$AE$3:$AE$1048518</definedName>
    <definedName name="inv_CorrCurtoMPPT">'Dados dos Inversores'!$X$3:$X$1048518</definedName>
    <definedName name="inv_CorrMaxMPPT">'Dados dos Inversores'!$Y$3:$Y$1048518</definedName>
    <definedName name="inv_Dados">'Dados dos Inversores'!$A$3:$AG$1048518</definedName>
    <definedName name="inv_Display">'Dados dos Inversores'!$J$3:$J$1048518</definedName>
    <definedName name="inv_Fabricante">'Dados dos Inversores'!$B$3:$B$1048518</definedName>
    <definedName name="inv_Largura">'Dados dos Inversores'!$D$3:$D$1048518</definedName>
    <definedName name="inv_Led">'Dados dos Inversores'!$K$3:$K$1048518</definedName>
    <definedName name="inv_mod">Inicio!$H$2</definedName>
    <definedName name="inv_Modelo">'Dados dos Inversores'!$A$3:$A$1048518</definedName>
    <definedName name="inv_MonoBi">'Dados dos Inversores'!$Z$3:$Z$1048518</definedName>
    <definedName name="inv_Peso">'Dados dos Inversores'!$F$2:$F$1048518</definedName>
    <definedName name="inv_PotMax">'Dados dos Inversores'!$N$3:$N$1048518</definedName>
    <definedName name="inv_potnom">Inicio!$H$3</definedName>
    <definedName name="inv_potnom50">Inicio!$H$4</definedName>
    <definedName name="inv_PotNominal">'Dados dos Inversores'!$M$3:$M$1048518</definedName>
    <definedName name="inv_QuantMPPT">'Dados dos Inversores'!$O$3:$O$1048518</definedName>
    <definedName name="inv_QuantStrMPPT">'Dados dos Inversores'!$Q$3:$Q$1048518</definedName>
    <definedName name="inv_RS485">'Dados dos Inversores'!$I$3:$I$1048518</definedName>
    <definedName name="inv_TenFLMaxMPPT">'Dados dos Inversores'!$U$3:$U$1048518</definedName>
    <definedName name="inv_TenFLMinMPPT">'Dados dos Inversores'!$V$3:$V$1048518</definedName>
    <definedName name="inv_TenNomCAMax">'Dados dos Inversores'!$AC$3:$AC$1048518</definedName>
    <definedName name="inv_TenNomCAMin">'Dados dos Inversores'!$AD$3:$AD$1048518</definedName>
    <definedName name="inv_TenNomMPPT">'Dados dos Inversores'!$W$3:$W$1048518</definedName>
    <definedName name="inv_TenOpMaxMPPT">'Dados dos Inversores'!$T$3:$T$1048518</definedName>
    <definedName name="inv_TenOpMinMPPT">'Dados dos Inversores'!$T$3:$T$1048518</definedName>
    <definedName name="inv_TenPartMaxMPPT">'Dados dos Inversores'!$R$3:$R$1048518</definedName>
    <definedName name="inv_TenPartMinMPPT">'Dados dos Inversores'!$S$3:$S$1048518</definedName>
    <definedName name="inv_USB">'Dados dos Inversores'!$L$3:$L$1048518</definedName>
    <definedName name="inv_Ventilacao">'Dados dos Inversores'!$G$3:$G$1048518</definedName>
    <definedName name="inv_Wifi">'Dados dos Inversores'!$H$3:$H$1048518</definedName>
    <definedName name="Ipmax_max">Inicio!$E$9</definedName>
    <definedName name="Ipmax_STC">Inicio!$E$14</definedName>
    <definedName name="Isc_coef">Inicio!$E$16</definedName>
    <definedName name="Isc_max">Inicio!$E$8</definedName>
    <definedName name="Isc_STC">Inicio!$E$13</definedName>
    <definedName name="mod_Altura">'Dados dos Modulos'!$G$2:$G$1048576</definedName>
    <definedName name="mod_CoefCor">'Dados dos Modulos'!$P$2:$P$1048576</definedName>
    <definedName name="mod_CoefPot">'Dados dos Modulos'!$N$2:$N$1048576</definedName>
    <definedName name="mod_CofTen">'Dados dos Modulos'!$O$2:$O$1048576</definedName>
    <definedName name="mod_Comprimento">'Dados dos Modulos'!$E$2:$E$1048576</definedName>
    <definedName name="mod_Dados">'Dados dos Modulos'!$A$2:$P$1048576</definedName>
    <definedName name="mod_EstruturaCristalina">'Dados dos Modulos'!$D$2:$D$1048576</definedName>
    <definedName name="mod_Fabricante">'Dados dos Modulos'!$B$2:$B$1048576</definedName>
    <definedName name="mod_Face">'Dados dos Modulos'!$C$2:$C$1048576</definedName>
    <definedName name="mod_Ipmax">'Dados dos Modulos'!$M$2:$M$1048576</definedName>
    <definedName name="mod_Isc">'Dados dos Modulos'!$L$2:$L$1048576</definedName>
    <definedName name="mod_Largura">'Dados dos Modulos'!$F$2:$F$1048576</definedName>
    <definedName name="mod_mod">Inicio!$E$2</definedName>
    <definedName name="mod_Modelo">'Dados dos Modulos'!$A$2:$A$1048576</definedName>
    <definedName name="mod_Peso">'Dados dos Modulos'!$H$2:$H$1048576</definedName>
    <definedName name="mod_PotenciaNominal">'Dados dos Modulos'!$I$2:$I$1048576</definedName>
    <definedName name="mod_Voc">'Dados dos Modulos'!$J$2:$J$1048576</definedName>
    <definedName name="mod_Vpmax">'Dados dos Modulos'!$K$2:$K$1048576</definedName>
    <definedName name="PN_coef">Inicio!$E$17</definedName>
    <definedName name="pot_Modulo">Inicio!$E$3</definedName>
    <definedName name="Voc_coef">Inicio!$E$15</definedName>
    <definedName name="Voc_max">Inicio!$E$5</definedName>
    <definedName name="Voc_min">Inicio!$E$4</definedName>
    <definedName name="Voc_STC">Inicio!$E$11</definedName>
    <definedName name="Vpmax_max">Inicio!$E$7</definedName>
    <definedName name="Vpmax_min">Inicio!$E$6</definedName>
    <definedName name="Vpmax_STC">Inicio!$E$12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V114" i="1"/>
  <c r="BO235" i="2"/>
  <c r="BN235" i="2"/>
  <c r="BM235" i="2"/>
  <c r="BL235" i="2"/>
  <c r="BK235" i="2"/>
  <c r="BJ235" i="2"/>
  <c r="BI235" i="2"/>
  <c r="BH235" i="2"/>
  <c r="BG235" i="2"/>
  <c r="BF235" i="2"/>
  <c r="BE235" i="2"/>
  <c r="BD235" i="2"/>
  <c r="BC235" i="2"/>
  <c r="BB235" i="2"/>
  <c r="BA235" i="2"/>
  <c r="AY235" i="2"/>
  <c r="AP235" i="2"/>
  <c r="BO234" i="2"/>
  <c r="BN234" i="2"/>
  <c r="BM234" i="2"/>
  <c r="BL234" i="2"/>
  <c r="BK234" i="2"/>
  <c r="BJ234" i="2"/>
  <c r="BI234" i="2"/>
  <c r="BH234" i="2"/>
  <c r="BG234" i="2"/>
  <c r="BF234" i="2"/>
  <c r="BE234" i="2"/>
  <c r="BD234" i="2"/>
  <c r="BC234" i="2"/>
  <c r="BB234" i="2"/>
  <c r="AY234" i="2"/>
  <c r="AP234" i="2"/>
  <c r="BA234" i="2" s="1"/>
  <c r="BO233" i="2"/>
  <c r="BN233" i="2"/>
  <c r="BM233" i="2"/>
  <c r="BL233" i="2"/>
  <c r="BK233" i="2"/>
  <c r="BJ233" i="2"/>
  <c r="BI233" i="2"/>
  <c r="BH233" i="2"/>
  <c r="BG233" i="2"/>
  <c r="BF233" i="2"/>
  <c r="BE233" i="2"/>
  <c r="BD233" i="2"/>
  <c r="BC233" i="2"/>
  <c r="BB233" i="2"/>
  <c r="AY233" i="2"/>
  <c r="BA233" i="2" s="1"/>
  <c r="AP233" i="2"/>
  <c r="BO232" i="2"/>
  <c r="BN232" i="2"/>
  <c r="BM232" i="2"/>
  <c r="BL232" i="2"/>
  <c r="BK232" i="2"/>
  <c r="BJ232" i="2"/>
  <c r="BI232" i="2"/>
  <c r="BH232" i="2"/>
  <c r="BG232" i="2"/>
  <c r="BF232" i="2"/>
  <c r="BE232" i="2"/>
  <c r="BD232" i="2"/>
  <c r="BC232" i="2"/>
  <c r="BB232" i="2"/>
  <c r="BA232" i="2"/>
  <c r="AY232" i="2"/>
  <c r="AP232" i="2"/>
  <c r="BO231" i="2"/>
  <c r="BN231" i="2"/>
  <c r="BM231" i="2"/>
  <c r="BL231" i="2"/>
  <c r="BK231" i="2"/>
  <c r="BJ231" i="2"/>
  <c r="BI231" i="2"/>
  <c r="BH231" i="2"/>
  <c r="BG231" i="2"/>
  <c r="BF231" i="2"/>
  <c r="BE231" i="2"/>
  <c r="BD231" i="2"/>
  <c r="BC231" i="2"/>
  <c r="BB231" i="2"/>
  <c r="X231" i="2"/>
  <c r="BO230" i="2"/>
  <c r="BN230" i="2"/>
  <c r="BM230" i="2"/>
  <c r="BL230" i="2"/>
  <c r="BK230" i="2"/>
  <c r="BJ230" i="2"/>
  <c r="BI230" i="2"/>
  <c r="BH230" i="2"/>
  <c r="BG230" i="2"/>
  <c r="BF230" i="2"/>
  <c r="BE230" i="2"/>
  <c r="BD230" i="2"/>
  <c r="BC230" i="2"/>
  <c r="BB230" i="2"/>
  <c r="BA230" i="2"/>
  <c r="AY230" i="2"/>
  <c r="X230" i="2"/>
  <c r="BO229" i="2"/>
  <c r="BN229" i="2"/>
  <c r="BM229" i="2"/>
  <c r="BL229" i="2"/>
  <c r="BK229" i="2"/>
  <c r="BJ229" i="2"/>
  <c r="BI229" i="2"/>
  <c r="BH229" i="2"/>
  <c r="BG229" i="2"/>
  <c r="BF229" i="2"/>
  <c r="BE229" i="2"/>
  <c r="BD229" i="2"/>
  <c r="BC229" i="2"/>
  <c r="BB229" i="2"/>
  <c r="BA229" i="2"/>
  <c r="AY229" i="2"/>
  <c r="AP229" i="2"/>
  <c r="BO228" i="2"/>
  <c r="BN228" i="2"/>
  <c r="BM228" i="2"/>
  <c r="BL228" i="2"/>
  <c r="BK228" i="2"/>
  <c r="BJ228" i="2"/>
  <c r="BI228" i="2"/>
  <c r="BH228" i="2"/>
  <c r="BG228" i="2"/>
  <c r="BF228" i="2"/>
  <c r="BE228" i="2"/>
  <c r="BD228" i="2"/>
  <c r="BC228" i="2"/>
  <c r="BB228" i="2"/>
  <c r="AY228" i="2"/>
  <c r="AP228" i="2"/>
  <c r="BA228" i="2" s="1"/>
  <c r="BO227" i="2"/>
  <c r="BN227" i="2"/>
  <c r="BM227" i="2"/>
  <c r="BL227" i="2"/>
  <c r="BK227" i="2"/>
  <c r="BJ227" i="2"/>
  <c r="BI227" i="2"/>
  <c r="BH227" i="2"/>
  <c r="BG227" i="2"/>
  <c r="BF227" i="2"/>
  <c r="BE227" i="2"/>
  <c r="BD227" i="2"/>
  <c r="BC227" i="2"/>
  <c r="BB227" i="2"/>
  <c r="AY227" i="2"/>
  <c r="AP227" i="2"/>
  <c r="BA227" i="2" s="1"/>
  <c r="BO226" i="2"/>
  <c r="BN226" i="2"/>
  <c r="BM226" i="2"/>
  <c r="BL226" i="2"/>
  <c r="BK226" i="2"/>
  <c r="BJ226" i="2"/>
  <c r="BI226" i="2"/>
  <c r="BH226" i="2"/>
  <c r="BG226" i="2"/>
  <c r="BF226" i="2"/>
  <c r="BE226" i="2"/>
  <c r="BD226" i="2"/>
  <c r="BC226" i="2"/>
  <c r="BB226" i="2"/>
  <c r="AY226" i="2"/>
  <c r="AP226" i="2"/>
  <c r="BO225" i="2"/>
  <c r="BN225" i="2"/>
  <c r="BM225" i="2"/>
  <c r="BL225" i="2"/>
  <c r="BK225" i="2"/>
  <c r="BJ225" i="2"/>
  <c r="BI225" i="2"/>
  <c r="BH225" i="2"/>
  <c r="BG225" i="2"/>
  <c r="BF225" i="2"/>
  <c r="BE225" i="2"/>
  <c r="BD225" i="2"/>
  <c r="BC225" i="2"/>
  <c r="BB225" i="2"/>
  <c r="AY225" i="2"/>
  <c r="AP225" i="2"/>
  <c r="BO224" i="2"/>
  <c r="BN224" i="2"/>
  <c r="BM224" i="2"/>
  <c r="BL224" i="2"/>
  <c r="BK224" i="2"/>
  <c r="BJ224" i="2"/>
  <c r="BI224" i="2"/>
  <c r="BH224" i="2"/>
  <c r="BG224" i="2"/>
  <c r="BF224" i="2"/>
  <c r="BE224" i="2"/>
  <c r="BD224" i="2"/>
  <c r="BC224" i="2"/>
  <c r="BB224" i="2"/>
  <c r="AY224" i="2"/>
  <c r="AP224" i="2"/>
  <c r="BO223" i="2"/>
  <c r="BN223" i="2"/>
  <c r="BM223" i="2"/>
  <c r="BL223" i="2"/>
  <c r="BK223" i="2"/>
  <c r="BJ223" i="2"/>
  <c r="BI223" i="2"/>
  <c r="BH223" i="2"/>
  <c r="BG223" i="2"/>
  <c r="BF223" i="2"/>
  <c r="BE223" i="2"/>
  <c r="BD223" i="2"/>
  <c r="BC223" i="2"/>
  <c r="BB223" i="2"/>
  <c r="AY223" i="2"/>
  <c r="AP223" i="2"/>
  <c r="BO222" i="2"/>
  <c r="BN222" i="2"/>
  <c r="BM222" i="2"/>
  <c r="BL222" i="2"/>
  <c r="BK222" i="2"/>
  <c r="BJ222" i="2"/>
  <c r="BI222" i="2"/>
  <c r="BH222" i="2"/>
  <c r="BG222" i="2"/>
  <c r="BF222" i="2"/>
  <c r="BE222" i="2"/>
  <c r="BD222" i="2"/>
  <c r="BC222" i="2"/>
  <c r="BB222" i="2"/>
  <c r="AY222" i="2"/>
  <c r="BA222" i="2" s="1"/>
  <c r="AP222" i="2"/>
  <c r="BO221" i="2"/>
  <c r="BN221" i="2"/>
  <c r="BM221" i="2"/>
  <c r="BL221" i="2"/>
  <c r="BK221" i="2"/>
  <c r="BJ221" i="2"/>
  <c r="BI221" i="2"/>
  <c r="BH221" i="2"/>
  <c r="BG221" i="2"/>
  <c r="BF221" i="2"/>
  <c r="BE221" i="2"/>
  <c r="BD221" i="2"/>
  <c r="BC221" i="2"/>
  <c r="BB221" i="2"/>
  <c r="AY221" i="2"/>
  <c r="AP221" i="2"/>
  <c r="BO220" i="2"/>
  <c r="BN220" i="2"/>
  <c r="BM220" i="2"/>
  <c r="BL220" i="2"/>
  <c r="BK220" i="2"/>
  <c r="BJ220" i="2"/>
  <c r="BI220" i="2"/>
  <c r="BH220" i="2"/>
  <c r="BG220" i="2"/>
  <c r="BF220" i="2"/>
  <c r="BE220" i="2"/>
  <c r="BD220" i="2"/>
  <c r="BC220" i="2"/>
  <c r="BB220" i="2"/>
  <c r="AY220" i="2"/>
  <c r="BA220" i="2" s="1"/>
  <c r="AP220" i="2"/>
  <c r="BO219" i="2"/>
  <c r="BN219" i="2"/>
  <c r="BM219" i="2"/>
  <c r="BL219" i="2"/>
  <c r="BK219" i="2"/>
  <c r="BJ219" i="2"/>
  <c r="BI219" i="2"/>
  <c r="BH219" i="2"/>
  <c r="BG219" i="2"/>
  <c r="BF219" i="2"/>
  <c r="BE219" i="2"/>
  <c r="BD219" i="2"/>
  <c r="BC219" i="2"/>
  <c r="BB219" i="2"/>
  <c r="AY219" i="2"/>
  <c r="AP219" i="2"/>
  <c r="BO218" i="2"/>
  <c r="BN218" i="2"/>
  <c r="BM218" i="2"/>
  <c r="BL218" i="2"/>
  <c r="BK218" i="2"/>
  <c r="BJ218" i="2"/>
  <c r="BI218" i="2"/>
  <c r="BH218" i="2"/>
  <c r="BG218" i="2"/>
  <c r="BF218" i="2"/>
  <c r="BE218" i="2"/>
  <c r="BD218" i="2"/>
  <c r="BC218" i="2"/>
  <c r="BB218" i="2"/>
  <c r="AY218" i="2"/>
  <c r="BA218" i="2" s="1"/>
  <c r="AP218" i="2"/>
  <c r="BO217" i="2"/>
  <c r="BN217" i="2"/>
  <c r="BM217" i="2"/>
  <c r="BL217" i="2"/>
  <c r="BK217" i="2"/>
  <c r="BJ217" i="2"/>
  <c r="BI217" i="2"/>
  <c r="BH217" i="2"/>
  <c r="BG217" i="2"/>
  <c r="BF217" i="2"/>
  <c r="BE217" i="2"/>
  <c r="BD217" i="2"/>
  <c r="BC217" i="2"/>
  <c r="BB217" i="2"/>
  <c r="AY217" i="2"/>
  <c r="BA217" i="2" s="1"/>
  <c r="AP217" i="2"/>
  <c r="BO216" i="2"/>
  <c r="BN216" i="2"/>
  <c r="BM216" i="2"/>
  <c r="BL216" i="2"/>
  <c r="BK216" i="2"/>
  <c r="BJ216" i="2"/>
  <c r="BI216" i="2"/>
  <c r="BH216" i="2"/>
  <c r="BG216" i="2"/>
  <c r="BF216" i="2"/>
  <c r="BE216" i="2"/>
  <c r="BD216" i="2"/>
  <c r="BC216" i="2"/>
  <c r="BB216" i="2"/>
  <c r="BA216" i="2"/>
  <c r="AY216" i="2"/>
  <c r="AP216" i="2"/>
  <c r="BO215" i="2"/>
  <c r="BN215" i="2"/>
  <c r="BM215" i="2"/>
  <c r="BL215" i="2"/>
  <c r="BK215" i="2"/>
  <c r="BJ215" i="2"/>
  <c r="BI215" i="2"/>
  <c r="BH215" i="2"/>
  <c r="BG215" i="2"/>
  <c r="BF215" i="2"/>
  <c r="BE215" i="2"/>
  <c r="BD215" i="2"/>
  <c r="BC215" i="2"/>
  <c r="BB215" i="2"/>
  <c r="AY215" i="2"/>
  <c r="BA215" i="2" s="1"/>
  <c r="AP215" i="2"/>
  <c r="BO214" i="2"/>
  <c r="BN214" i="2"/>
  <c r="BM214" i="2"/>
  <c r="BL214" i="2"/>
  <c r="BK214" i="2"/>
  <c r="BJ214" i="2"/>
  <c r="BI214" i="2"/>
  <c r="BH214" i="2"/>
  <c r="BG214" i="2"/>
  <c r="BF214" i="2"/>
  <c r="BE214" i="2"/>
  <c r="BD214" i="2"/>
  <c r="BC214" i="2"/>
  <c r="BB214" i="2"/>
  <c r="BA214" i="2"/>
  <c r="AY214" i="2"/>
  <c r="AP214" i="2"/>
  <c r="BO213" i="2"/>
  <c r="BN213" i="2"/>
  <c r="BM213" i="2"/>
  <c r="BL213" i="2"/>
  <c r="BK213" i="2"/>
  <c r="BJ213" i="2"/>
  <c r="BI213" i="2"/>
  <c r="BH213" i="2"/>
  <c r="BG213" i="2"/>
  <c r="BF213" i="2"/>
  <c r="BE213" i="2"/>
  <c r="BD213" i="2"/>
  <c r="BC213" i="2"/>
  <c r="BB213" i="2"/>
  <c r="AY213" i="2"/>
  <c r="BA213" i="2" s="1"/>
  <c r="AP213" i="2"/>
  <c r="BO212" i="2"/>
  <c r="BN212" i="2"/>
  <c r="BM212" i="2"/>
  <c r="BL212" i="2"/>
  <c r="BK212" i="2"/>
  <c r="BJ212" i="2"/>
  <c r="BI212" i="2"/>
  <c r="BH212" i="2"/>
  <c r="BG212" i="2"/>
  <c r="BF212" i="2"/>
  <c r="BE212" i="2"/>
  <c r="BD212" i="2"/>
  <c r="BC212" i="2"/>
  <c r="BB212" i="2"/>
  <c r="BA212" i="2"/>
  <c r="AY212" i="2"/>
  <c r="AP212" i="2"/>
  <c r="BO211" i="2"/>
  <c r="BN211" i="2"/>
  <c r="BM211" i="2"/>
  <c r="BL211" i="2"/>
  <c r="BK211" i="2"/>
  <c r="BJ211" i="2"/>
  <c r="BI211" i="2"/>
  <c r="BH211" i="2"/>
  <c r="BG211" i="2"/>
  <c r="BF211" i="2"/>
  <c r="BE211" i="2"/>
  <c r="BD211" i="2"/>
  <c r="BC211" i="2"/>
  <c r="BB211" i="2"/>
  <c r="AY211" i="2"/>
  <c r="AP211" i="2"/>
  <c r="BA211" i="2" s="1"/>
  <c r="BO210" i="2"/>
  <c r="BN210" i="2"/>
  <c r="BM210" i="2"/>
  <c r="BL210" i="2"/>
  <c r="BK210" i="2"/>
  <c r="BJ210" i="2"/>
  <c r="BI210" i="2"/>
  <c r="BH210" i="2"/>
  <c r="BG210" i="2"/>
  <c r="BF210" i="2"/>
  <c r="BE210" i="2"/>
  <c r="BD210" i="2"/>
  <c r="BC210" i="2"/>
  <c r="BB210" i="2"/>
  <c r="AY210" i="2"/>
  <c r="AP210" i="2"/>
  <c r="BO209" i="2"/>
  <c r="BN209" i="2"/>
  <c r="BM209" i="2"/>
  <c r="BL209" i="2"/>
  <c r="BK209" i="2"/>
  <c r="BJ209" i="2"/>
  <c r="BI209" i="2"/>
  <c r="BH209" i="2"/>
  <c r="BG209" i="2"/>
  <c r="BF209" i="2"/>
  <c r="BE209" i="2"/>
  <c r="BD209" i="2"/>
  <c r="BC209" i="2"/>
  <c r="BB209" i="2"/>
  <c r="AY209" i="2"/>
  <c r="AP209" i="2"/>
  <c r="BO208" i="2"/>
  <c r="BN208" i="2"/>
  <c r="BM208" i="2"/>
  <c r="BL208" i="2"/>
  <c r="BK208" i="2"/>
  <c r="BJ208" i="2"/>
  <c r="BI208" i="2"/>
  <c r="BH208" i="2"/>
  <c r="BG208" i="2"/>
  <c r="BF208" i="2"/>
  <c r="BE208" i="2"/>
  <c r="BD208" i="2"/>
  <c r="BC208" i="2"/>
  <c r="BB208" i="2"/>
  <c r="AY208" i="2"/>
  <c r="BA208" i="2" s="1"/>
  <c r="AP208" i="2"/>
  <c r="BO207" i="2"/>
  <c r="BN207" i="2"/>
  <c r="BM207" i="2"/>
  <c r="BL207" i="2"/>
  <c r="BK207" i="2"/>
  <c r="BJ207" i="2"/>
  <c r="BI207" i="2"/>
  <c r="BH207" i="2"/>
  <c r="BG207" i="2"/>
  <c r="BF207" i="2"/>
  <c r="BE207" i="2"/>
  <c r="BD207" i="2"/>
  <c r="BC207" i="2"/>
  <c r="BB207" i="2"/>
  <c r="AY207" i="2"/>
  <c r="BA207" i="2" s="1"/>
  <c r="AP207" i="2"/>
  <c r="BO206" i="2"/>
  <c r="BN206" i="2"/>
  <c r="BM206" i="2"/>
  <c r="BL206" i="2"/>
  <c r="BK206" i="2"/>
  <c r="BJ206" i="2"/>
  <c r="BI206" i="2"/>
  <c r="BH206" i="2"/>
  <c r="BG206" i="2"/>
  <c r="BF206" i="2"/>
  <c r="BE206" i="2"/>
  <c r="BD206" i="2"/>
  <c r="BC206" i="2"/>
  <c r="BB206" i="2"/>
  <c r="BO205" i="2"/>
  <c r="BN205" i="2"/>
  <c r="BM205" i="2"/>
  <c r="BL205" i="2"/>
  <c r="BK205" i="2"/>
  <c r="BJ205" i="2"/>
  <c r="BI205" i="2"/>
  <c r="BH205" i="2"/>
  <c r="BG205" i="2"/>
  <c r="BF205" i="2"/>
  <c r="BE205" i="2"/>
  <c r="BD205" i="2"/>
  <c r="BC205" i="2"/>
  <c r="BB205" i="2"/>
  <c r="AY205" i="2"/>
  <c r="BA205" i="2" s="1"/>
  <c r="BO204" i="2"/>
  <c r="BN204" i="2"/>
  <c r="BM204" i="2"/>
  <c r="BL204" i="2"/>
  <c r="BK204" i="2"/>
  <c r="BJ204" i="2"/>
  <c r="BI204" i="2"/>
  <c r="BH204" i="2"/>
  <c r="BG204" i="2"/>
  <c r="BF204" i="2"/>
  <c r="BE204" i="2"/>
  <c r="BD204" i="2"/>
  <c r="BC204" i="2"/>
  <c r="BB204" i="2"/>
  <c r="BA204" i="2"/>
  <c r="AY204" i="2"/>
  <c r="AP204" i="2"/>
  <c r="BO203" i="2"/>
  <c r="BN203" i="2"/>
  <c r="BM203" i="2"/>
  <c r="BL203" i="2"/>
  <c r="BK203" i="2"/>
  <c r="BJ203" i="2"/>
  <c r="BI203" i="2"/>
  <c r="BH203" i="2"/>
  <c r="BG203" i="2"/>
  <c r="BF203" i="2"/>
  <c r="BE203" i="2"/>
  <c r="BD203" i="2"/>
  <c r="BC203" i="2"/>
  <c r="BB203" i="2"/>
  <c r="AY203" i="2"/>
  <c r="BA203" i="2" s="1"/>
  <c r="AP203" i="2"/>
  <c r="BO202" i="2"/>
  <c r="BN202" i="2"/>
  <c r="BM202" i="2"/>
  <c r="BL202" i="2"/>
  <c r="BK202" i="2"/>
  <c r="BJ202" i="2"/>
  <c r="BI202" i="2"/>
  <c r="BH202" i="2"/>
  <c r="BG202" i="2"/>
  <c r="BF202" i="2"/>
  <c r="BE202" i="2"/>
  <c r="BD202" i="2"/>
  <c r="BC202" i="2"/>
  <c r="BB202" i="2"/>
  <c r="BA202" i="2"/>
  <c r="AY202" i="2"/>
  <c r="AP202" i="2"/>
  <c r="BO201" i="2"/>
  <c r="BN201" i="2"/>
  <c r="BM201" i="2"/>
  <c r="BL201" i="2"/>
  <c r="BK201" i="2"/>
  <c r="BJ201" i="2"/>
  <c r="BI201" i="2"/>
  <c r="BH201" i="2"/>
  <c r="BG201" i="2"/>
  <c r="BF201" i="2"/>
  <c r="BE201" i="2"/>
  <c r="BD201" i="2"/>
  <c r="BC201" i="2"/>
  <c r="BB201" i="2"/>
  <c r="AY201" i="2"/>
  <c r="BA201" i="2" s="1"/>
  <c r="AP201" i="2"/>
  <c r="BO200" i="2"/>
  <c r="BN200" i="2"/>
  <c r="BM200" i="2"/>
  <c r="BL200" i="2"/>
  <c r="BK200" i="2"/>
  <c r="BJ200" i="2"/>
  <c r="BI200" i="2"/>
  <c r="BH200" i="2"/>
  <c r="BG200" i="2"/>
  <c r="BF200" i="2"/>
  <c r="BE200" i="2"/>
  <c r="BD200" i="2"/>
  <c r="BC200" i="2"/>
  <c r="BB200" i="2"/>
  <c r="AY200" i="2"/>
  <c r="AP200" i="2"/>
  <c r="BA200" i="2" s="1"/>
  <c r="BO199" i="2"/>
  <c r="BN199" i="2"/>
  <c r="BM199" i="2"/>
  <c r="BL199" i="2"/>
  <c r="BK199" i="2"/>
  <c r="BJ199" i="2"/>
  <c r="BI199" i="2"/>
  <c r="BH199" i="2"/>
  <c r="BG199" i="2"/>
  <c r="BF199" i="2"/>
  <c r="BE199" i="2"/>
  <c r="BD199" i="2"/>
  <c r="BC199" i="2"/>
  <c r="BB199" i="2"/>
  <c r="AY199" i="2"/>
  <c r="AP199" i="2"/>
  <c r="BA199" i="2" s="1"/>
  <c r="BO198" i="2"/>
  <c r="BN198" i="2"/>
  <c r="BM198" i="2"/>
  <c r="BL198" i="2"/>
  <c r="BK198" i="2"/>
  <c r="BJ198" i="2"/>
  <c r="BI198" i="2"/>
  <c r="BH198" i="2"/>
  <c r="BG198" i="2"/>
  <c r="BF198" i="2"/>
  <c r="BE198" i="2"/>
  <c r="BD198" i="2"/>
  <c r="BC198" i="2"/>
  <c r="BB198" i="2"/>
  <c r="AY198" i="2"/>
  <c r="AP198" i="2"/>
  <c r="BO197" i="2"/>
  <c r="BN197" i="2"/>
  <c r="BM197" i="2"/>
  <c r="BL197" i="2"/>
  <c r="BK197" i="2"/>
  <c r="BJ197" i="2"/>
  <c r="BI197" i="2"/>
  <c r="BH197" i="2"/>
  <c r="BG197" i="2"/>
  <c r="BF197" i="2"/>
  <c r="BE197" i="2"/>
  <c r="BD197" i="2"/>
  <c r="BC197" i="2"/>
  <c r="BB197" i="2"/>
  <c r="AY197" i="2"/>
  <c r="AP197" i="2"/>
  <c r="BO196" i="2"/>
  <c r="BN196" i="2"/>
  <c r="BM196" i="2"/>
  <c r="BL196" i="2"/>
  <c r="BK196" i="2"/>
  <c r="BJ196" i="2"/>
  <c r="BI196" i="2"/>
  <c r="BH196" i="2"/>
  <c r="BG196" i="2"/>
  <c r="BF196" i="2"/>
  <c r="BE196" i="2"/>
  <c r="BD196" i="2"/>
  <c r="BC196" i="2"/>
  <c r="BB196" i="2"/>
  <c r="AY196" i="2"/>
  <c r="AP196" i="2"/>
  <c r="BO195" i="2"/>
  <c r="BN195" i="2"/>
  <c r="BM195" i="2"/>
  <c r="BL195" i="2"/>
  <c r="BK195" i="2"/>
  <c r="BJ195" i="2"/>
  <c r="BI195" i="2"/>
  <c r="BH195" i="2"/>
  <c r="BG195" i="2"/>
  <c r="BF195" i="2"/>
  <c r="BE195" i="2"/>
  <c r="BD195" i="2"/>
  <c r="BC195" i="2"/>
  <c r="BB195" i="2"/>
  <c r="AY195" i="2"/>
  <c r="AP195" i="2"/>
  <c r="BO194" i="2"/>
  <c r="BN194" i="2"/>
  <c r="BM194" i="2"/>
  <c r="BL194" i="2"/>
  <c r="BK194" i="2"/>
  <c r="BJ194" i="2"/>
  <c r="BI194" i="2"/>
  <c r="BH194" i="2"/>
  <c r="BG194" i="2"/>
  <c r="BF194" i="2"/>
  <c r="BE194" i="2"/>
  <c r="BD194" i="2"/>
  <c r="BC194" i="2"/>
  <c r="BB194" i="2"/>
  <c r="AY194" i="2"/>
  <c r="AP194" i="2"/>
  <c r="BA194" i="2" s="1"/>
  <c r="BO193" i="2"/>
  <c r="BN193" i="2"/>
  <c r="BM193" i="2"/>
  <c r="BL193" i="2"/>
  <c r="BK193" i="2"/>
  <c r="BJ193" i="2"/>
  <c r="BI193" i="2"/>
  <c r="BH193" i="2"/>
  <c r="BG193" i="2"/>
  <c r="BF193" i="2"/>
  <c r="BE193" i="2"/>
  <c r="BD193" i="2"/>
  <c r="BC193" i="2"/>
  <c r="BB193" i="2"/>
  <c r="AY193" i="2"/>
  <c r="AP193" i="2"/>
  <c r="BO192" i="2"/>
  <c r="BN192" i="2"/>
  <c r="BM192" i="2"/>
  <c r="BL192" i="2"/>
  <c r="BK192" i="2"/>
  <c r="BJ192" i="2"/>
  <c r="BI192" i="2"/>
  <c r="BH192" i="2"/>
  <c r="BG192" i="2"/>
  <c r="BF192" i="2"/>
  <c r="BE192" i="2"/>
  <c r="BD192" i="2"/>
  <c r="BC192" i="2"/>
  <c r="BB192" i="2"/>
  <c r="AY192" i="2"/>
  <c r="AP192" i="2"/>
  <c r="BO191" i="2"/>
  <c r="BN191" i="2"/>
  <c r="BM191" i="2"/>
  <c r="BL191" i="2"/>
  <c r="BK191" i="2"/>
  <c r="BJ191" i="2"/>
  <c r="BI191" i="2"/>
  <c r="BH191" i="2"/>
  <c r="BG191" i="2"/>
  <c r="BF191" i="2"/>
  <c r="BE191" i="2"/>
  <c r="BD191" i="2"/>
  <c r="BC191" i="2"/>
  <c r="BB191" i="2"/>
  <c r="AY191" i="2"/>
  <c r="AP191" i="2"/>
  <c r="BA191" i="2" s="1"/>
  <c r="BO190" i="2"/>
  <c r="BN190" i="2"/>
  <c r="BM190" i="2"/>
  <c r="BL190" i="2"/>
  <c r="BK190" i="2"/>
  <c r="BJ190" i="2"/>
  <c r="BI190" i="2"/>
  <c r="BH190" i="2"/>
  <c r="BG190" i="2"/>
  <c r="BF190" i="2"/>
  <c r="BE190" i="2"/>
  <c r="BD190" i="2"/>
  <c r="BC190" i="2"/>
  <c r="BB190" i="2"/>
  <c r="AY190" i="2"/>
  <c r="AP190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C189" i="2"/>
  <c r="BB189" i="2"/>
  <c r="AY189" i="2"/>
  <c r="AP189" i="2"/>
  <c r="BO188" i="2"/>
  <c r="BN188" i="2"/>
  <c r="BM188" i="2"/>
  <c r="BL188" i="2"/>
  <c r="BK188" i="2"/>
  <c r="BJ188" i="2"/>
  <c r="BI188" i="2"/>
  <c r="BH188" i="2"/>
  <c r="BG188" i="2"/>
  <c r="BF188" i="2"/>
  <c r="BE188" i="2"/>
  <c r="BD188" i="2"/>
  <c r="BC188" i="2"/>
  <c r="BB188" i="2"/>
  <c r="AY188" i="2"/>
  <c r="AP188" i="2"/>
  <c r="BO187" i="2"/>
  <c r="BN187" i="2"/>
  <c r="BM187" i="2"/>
  <c r="BL187" i="2"/>
  <c r="BK187" i="2"/>
  <c r="BJ187" i="2"/>
  <c r="BI187" i="2"/>
  <c r="BH187" i="2"/>
  <c r="BG187" i="2"/>
  <c r="BF187" i="2"/>
  <c r="BE187" i="2"/>
  <c r="BD187" i="2"/>
  <c r="BC187" i="2"/>
  <c r="BB187" i="2"/>
  <c r="AY187" i="2"/>
  <c r="AP187" i="2"/>
  <c r="BO186" i="2"/>
  <c r="BN186" i="2"/>
  <c r="BM186" i="2"/>
  <c r="BL186" i="2"/>
  <c r="BK186" i="2"/>
  <c r="BJ186" i="2"/>
  <c r="BI186" i="2"/>
  <c r="BH186" i="2"/>
  <c r="BG186" i="2"/>
  <c r="BF186" i="2"/>
  <c r="BE186" i="2"/>
  <c r="BD186" i="2"/>
  <c r="BC186" i="2"/>
  <c r="BB186" i="2"/>
  <c r="AY186" i="2"/>
  <c r="AP186" i="2"/>
  <c r="BO185" i="2"/>
  <c r="BN185" i="2"/>
  <c r="BM185" i="2"/>
  <c r="BL185" i="2"/>
  <c r="BK185" i="2"/>
  <c r="BJ185" i="2"/>
  <c r="BI185" i="2"/>
  <c r="BH185" i="2"/>
  <c r="BG185" i="2"/>
  <c r="BF185" i="2"/>
  <c r="BE185" i="2"/>
  <c r="BD185" i="2"/>
  <c r="BC185" i="2"/>
  <c r="BB185" i="2"/>
  <c r="AY185" i="2"/>
  <c r="AP185" i="2"/>
  <c r="BO184" i="2"/>
  <c r="BN184" i="2"/>
  <c r="BM184" i="2"/>
  <c r="BL184" i="2"/>
  <c r="BK184" i="2"/>
  <c r="BJ184" i="2"/>
  <c r="BI184" i="2"/>
  <c r="BH184" i="2"/>
  <c r="BG184" i="2"/>
  <c r="BF184" i="2"/>
  <c r="BE184" i="2"/>
  <c r="BD184" i="2"/>
  <c r="BC184" i="2"/>
  <c r="BB184" i="2"/>
  <c r="AY184" i="2"/>
  <c r="AP184" i="2"/>
  <c r="BO183" i="2"/>
  <c r="BN183" i="2"/>
  <c r="BM183" i="2"/>
  <c r="BL183" i="2"/>
  <c r="BK183" i="2"/>
  <c r="BJ183" i="2"/>
  <c r="BI183" i="2"/>
  <c r="BH183" i="2"/>
  <c r="BG183" i="2"/>
  <c r="BF183" i="2"/>
  <c r="BE183" i="2"/>
  <c r="BD183" i="2"/>
  <c r="BC183" i="2"/>
  <c r="BB183" i="2"/>
  <c r="AY183" i="2"/>
  <c r="AP183" i="2"/>
  <c r="BO182" i="2"/>
  <c r="BN182" i="2"/>
  <c r="BM182" i="2"/>
  <c r="BL182" i="2"/>
  <c r="BK182" i="2"/>
  <c r="BJ182" i="2"/>
  <c r="BI182" i="2"/>
  <c r="BH182" i="2"/>
  <c r="BG182" i="2"/>
  <c r="BF182" i="2"/>
  <c r="BE182" i="2"/>
  <c r="BD182" i="2"/>
  <c r="BC182" i="2"/>
  <c r="BB182" i="2"/>
  <c r="AY182" i="2"/>
  <c r="BA182" i="2" s="1"/>
  <c r="AP182" i="2"/>
  <c r="BO181" i="2"/>
  <c r="BN181" i="2"/>
  <c r="BM181" i="2"/>
  <c r="BL181" i="2"/>
  <c r="BK181" i="2"/>
  <c r="BJ181" i="2"/>
  <c r="BI181" i="2"/>
  <c r="BH181" i="2"/>
  <c r="BG181" i="2"/>
  <c r="BF181" i="2"/>
  <c r="BE181" i="2"/>
  <c r="BD181" i="2"/>
  <c r="BC181" i="2"/>
  <c r="BB181" i="2"/>
  <c r="AY181" i="2"/>
  <c r="BA181" i="2" s="1"/>
  <c r="AP181" i="2"/>
  <c r="BO180" i="2"/>
  <c r="BN180" i="2"/>
  <c r="BM180" i="2"/>
  <c r="BL180" i="2"/>
  <c r="BK180" i="2"/>
  <c r="BJ180" i="2"/>
  <c r="BI180" i="2"/>
  <c r="BH180" i="2"/>
  <c r="BG180" i="2"/>
  <c r="BF180" i="2"/>
  <c r="BE180" i="2"/>
  <c r="BD180" i="2"/>
  <c r="BC180" i="2"/>
  <c r="BB180" i="2"/>
  <c r="BA180" i="2"/>
  <c r="AY180" i="2"/>
  <c r="AP180" i="2"/>
  <c r="BO179" i="2"/>
  <c r="BN179" i="2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AY179" i="2"/>
  <c r="AP179" i="2"/>
  <c r="BO178" i="2"/>
  <c r="BN178" i="2"/>
  <c r="BM178" i="2"/>
  <c r="BL178" i="2"/>
  <c r="BK178" i="2"/>
  <c r="BJ178" i="2"/>
  <c r="BI178" i="2"/>
  <c r="BH178" i="2"/>
  <c r="BG178" i="2"/>
  <c r="BF178" i="2"/>
  <c r="BE178" i="2"/>
  <c r="BD178" i="2"/>
  <c r="BC178" i="2"/>
  <c r="BB178" i="2"/>
  <c r="AY178" i="2"/>
  <c r="AP178" i="2"/>
  <c r="BA178" i="2" s="1"/>
  <c r="BO177" i="2"/>
  <c r="BN177" i="2"/>
  <c r="BM177" i="2"/>
  <c r="BL177" i="2"/>
  <c r="BK177" i="2"/>
  <c r="BJ177" i="2"/>
  <c r="BI177" i="2"/>
  <c r="BH177" i="2"/>
  <c r="BG177" i="2"/>
  <c r="BF177" i="2"/>
  <c r="BE177" i="2"/>
  <c r="BD177" i="2"/>
  <c r="BC177" i="2"/>
  <c r="BB177" i="2"/>
  <c r="AY177" i="2"/>
  <c r="AP177" i="2"/>
  <c r="BO176" i="2"/>
  <c r="BN176" i="2"/>
  <c r="BM176" i="2"/>
  <c r="BL176" i="2"/>
  <c r="BK176" i="2"/>
  <c r="BJ176" i="2"/>
  <c r="BI176" i="2"/>
  <c r="BH176" i="2"/>
  <c r="BG176" i="2"/>
  <c r="BF176" i="2"/>
  <c r="BE176" i="2"/>
  <c r="BD176" i="2"/>
  <c r="BC176" i="2"/>
  <c r="BB176" i="2"/>
  <c r="AY176" i="2"/>
  <c r="AP176" i="2"/>
  <c r="BA176" i="2" s="1"/>
  <c r="BO175" i="2"/>
  <c r="BN175" i="2"/>
  <c r="BM175" i="2"/>
  <c r="BL175" i="2"/>
  <c r="BK175" i="2"/>
  <c r="BJ175" i="2"/>
  <c r="BI175" i="2"/>
  <c r="BH175" i="2"/>
  <c r="BG175" i="2"/>
  <c r="BF175" i="2"/>
  <c r="BE175" i="2"/>
  <c r="BD175" i="2"/>
  <c r="BC175" i="2"/>
  <c r="BB175" i="2"/>
  <c r="AY175" i="2"/>
  <c r="AP175" i="2"/>
  <c r="BA175" i="2" s="1"/>
  <c r="BO174" i="2"/>
  <c r="BN174" i="2"/>
  <c r="BM174" i="2"/>
  <c r="BL174" i="2"/>
  <c r="BK174" i="2"/>
  <c r="BJ174" i="2"/>
  <c r="BI174" i="2"/>
  <c r="BH174" i="2"/>
  <c r="BG174" i="2"/>
  <c r="BF174" i="2"/>
  <c r="BE174" i="2"/>
  <c r="BD174" i="2"/>
  <c r="BC174" i="2"/>
  <c r="BB174" i="2"/>
  <c r="AY174" i="2"/>
  <c r="AP174" i="2"/>
  <c r="BO173" i="2"/>
  <c r="BN173" i="2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AY173" i="2"/>
  <c r="AP173" i="2"/>
  <c r="BO172" i="2"/>
  <c r="BN172" i="2"/>
  <c r="BM172" i="2"/>
  <c r="BL172" i="2"/>
  <c r="BK172" i="2"/>
  <c r="BJ172" i="2"/>
  <c r="BI172" i="2"/>
  <c r="BH172" i="2"/>
  <c r="BG172" i="2"/>
  <c r="BF172" i="2"/>
  <c r="BE172" i="2"/>
  <c r="BD172" i="2"/>
  <c r="BC172" i="2"/>
  <c r="BB172" i="2"/>
  <c r="AY172" i="2"/>
  <c r="AP172" i="2"/>
  <c r="BO171" i="2"/>
  <c r="BN171" i="2"/>
  <c r="BM171" i="2"/>
  <c r="BL171" i="2"/>
  <c r="BK171" i="2"/>
  <c r="BJ171" i="2"/>
  <c r="BI171" i="2"/>
  <c r="BH171" i="2"/>
  <c r="BG171" i="2"/>
  <c r="BF171" i="2"/>
  <c r="BE171" i="2"/>
  <c r="BD171" i="2"/>
  <c r="BC171" i="2"/>
  <c r="BB171" i="2"/>
  <c r="AY171" i="2"/>
  <c r="AP171" i="2"/>
  <c r="BO170" i="2"/>
  <c r="BN170" i="2"/>
  <c r="BM170" i="2"/>
  <c r="BL170" i="2"/>
  <c r="BK170" i="2"/>
  <c r="BJ170" i="2"/>
  <c r="BI170" i="2"/>
  <c r="BH170" i="2"/>
  <c r="BG170" i="2"/>
  <c r="BF170" i="2"/>
  <c r="BE170" i="2"/>
  <c r="BD170" i="2"/>
  <c r="BC170" i="2"/>
  <c r="BB170" i="2"/>
  <c r="AY170" i="2"/>
  <c r="AP170" i="2"/>
  <c r="BO169" i="2"/>
  <c r="BN169" i="2"/>
  <c r="BM169" i="2"/>
  <c r="BL169" i="2"/>
  <c r="BK169" i="2"/>
  <c r="BJ169" i="2"/>
  <c r="BI169" i="2"/>
  <c r="BH169" i="2"/>
  <c r="BG169" i="2"/>
  <c r="BF169" i="2"/>
  <c r="BE169" i="2"/>
  <c r="BD169" i="2"/>
  <c r="BC169" i="2"/>
  <c r="BB169" i="2"/>
  <c r="AY169" i="2"/>
  <c r="AP169" i="2"/>
  <c r="BO168" i="2"/>
  <c r="BN168" i="2"/>
  <c r="BM168" i="2"/>
  <c r="BL168" i="2"/>
  <c r="BK168" i="2"/>
  <c r="BJ168" i="2"/>
  <c r="BI168" i="2"/>
  <c r="BH168" i="2"/>
  <c r="BG168" i="2"/>
  <c r="BF168" i="2"/>
  <c r="BE168" i="2"/>
  <c r="BD168" i="2"/>
  <c r="BC168" i="2"/>
  <c r="BB168" i="2"/>
  <c r="AY168" i="2"/>
  <c r="AP168" i="2"/>
  <c r="BO167" i="2"/>
  <c r="BN167" i="2"/>
  <c r="BM167" i="2"/>
  <c r="BL167" i="2"/>
  <c r="BK167" i="2"/>
  <c r="BJ167" i="2"/>
  <c r="BI167" i="2"/>
  <c r="BH167" i="2"/>
  <c r="BG167" i="2"/>
  <c r="BF167" i="2"/>
  <c r="BE167" i="2"/>
  <c r="BD167" i="2"/>
  <c r="BC167" i="2"/>
  <c r="BB167" i="2"/>
  <c r="AY167" i="2"/>
  <c r="AP167" i="2"/>
  <c r="BO166" i="2"/>
  <c r="BN166" i="2"/>
  <c r="BM166" i="2"/>
  <c r="BL166" i="2"/>
  <c r="BK166" i="2"/>
  <c r="BJ166" i="2"/>
  <c r="BI166" i="2"/>
  <c r="BH166" i="2"/>
  <c r="BG166" i="2"/>
  <c r="BF166" i="2"/>
  <c r="BE166" i="2"/>
  <c r="BD166" i="2"/>
  <c r="BC166" i="2"/>
  <c r="BB166" i="2"/>
  <c r="AY166" i="2"/>
  <c r="AP166" i="2"/>
  <c r="BO165" i="2"/>
  <c r="BN165" i="2"/>
  <c r="BM165" i="2"/>
  <c r="BL165" i="2"/>
  <c r="BK165" i="2"/>
  <c r="BJ165" i="2"/>
  <c r="BI165" i="2"/>
  <c r="BH165" i="2"/>
  <c r="BG165" i="2"/>
  <c r="BF165" i="2"/>
  <c r="BE165" i="2"/>
  <c r="BD165" i="2"/>
  <c r="BC165" i="2"/>
  <c r="BB165" i="2"/>
  <c r="AY165" i="2"/>
  <c r="AP165" i="2"/>
  <c r="BO164" i="2"/>
  <c r="BN164" i="2"/>
  <c r="BM164" i="2"/>
  <c r="BL164" i="2"/>
  <c r="BK164" i="2"/>
  <c r="BJ164" i="2"/>
  <c r="BI164" i="2"/>
  <c r="BH164" i="2"/>
  <c r="BG164" i="2"/>
  <c r="BF164" i="2"/>
  <c r="BE164" i="2"/>
  <c r="BD164" i="2"/>
  <c r="BC164" i="2"/>
  <c r="BB164" i="2"/>
  <c r="AY164" i="2"/>
  <c r="AP164" i="2"/>
  <c r="BO163" i="2"/>
  <c r="BN163" i="2"/>
  <c r="BM163" i="2"/>
  <c r="BL163" i="2"/>
  <c r="BK163" i="2"/>
  <c r="BJ163" i="2"/>
  <c r="BI163" i="2"/>
  <c r="BH163" i="2"/>
  <c r="BG163" i="2"/>
  <c r="BF163" i="2"/>
  <c r="BE163" i="2"/>
  <c r="BD163" i="2"/>
  <c r="BC163" i="2"/>
  <c r="BB163" i="2"/>
  <c r="AY163" i="2"/>
  <c r="AP163" i="2"/>
  <c r="BO162" i="2"/>
  <c r="BN162" i="2"/>
  <c r="BM162" i="2"/>
  <c r="BL162" i="2"/>
  <c r="BK162" i="2"/>
  <c r="BJ162" i="2"/>
  <c r="BI162" i="2"/>
  <c r="BH162" i="2"/>
  <c r="BG162" i="2"/>
  <c r="BF162" i="2"/>
  <c r="BE162" i="2"/>
  <c r="BD162" i="2"/>
  <c r="BC162" i="2"/>
  <c r="BB162" i="2"/>
  <c r="AY162" i="2"/>
  <c r="AP162" i="2"/>
  <c r="BO161" i="2"/>
  <c r="BN161" i="2"/>
  <c r="BM161" i="2"/>
  <c r="BL161" i="2"/>
  <c r="BK161" i="2"/>
  <c r="BJ161" i="2"/>
  <c r="BI161" i="2"/>
  <c r="BH161" i="2"/>
  <c r="BG161" i="2"/>
  <c r="BF161" i="2"/>
  <c r="BE161" i="2"/>
  <c r="BD161" i="2"/>
  <c r="BC161" i="2"/>
  <c r="BB161" i="2"/>
  <c r="AY161" i="2"/>
  <c r="AP161" i="2"/>
  <c r="BO160" i="2"/>
  <c r="BN160" i="2"/>
  <c r="BM160" i="2"/>
  <c r="BL160" i="2"/>
  <c r="BK160" i="2"/>
  <c r="BJ160" i="2"/>
  <c r="BI160" i="2"/>
  <c r="BH160" i="2"/>
  <c r="BG160" i="2"/>
  <c r="BF160" i="2"/>
  <c r="BE160" i="2"/>
  <c r="BD160" i="2"/>
  <c r="BC160" i="2"/>
  <c r="BB160" i="2"/>
  <c r="AY160" i="2"/>
  <c r="BA160" i="2" s="1"/>
  <c r="AP160" i="2"/>
  <c r="BO159" i="2"/>
  <c r="BN159" i="2"/>
  <c r="BM159" i="2"/>
  <c r="BL159" i="2"/>
  <c r="BK159" i="2"/>
  <c r="BJ159" i="2"/>
  <c r="BI159" i="2"/>
  <c r="BH159" i="2"/>
  <c r="BG159" i="2"/>
  <c r="BF159" i="2"/>
  <c r="BE159" i="2"/>
  <c r="BD159" i="2"/>
  <c r="BC159" i="2"/>
  <c r="BB159" i="2"/>
  <c r="AY159" i="2"/>
  <c r="AP159" i="2"/>
  <c r="BO158" i="2"/>
  <c r="BN158" i="2"/>
  <c r="BM158" i="2"/>
  <c r="BL158" i="2"/>
  <c r="BK158" i="2"/>
  <c r="BJ158" i="2"/>
  <c r="BI158" i="2"/>
  <c r="BH158" i="2"/>
  <c r="BG158" i="2"/>
  <c r="BF158" i="2"/>
  <c r="BE158" i="2"/>
  <c r="BD158" i="2"/>
  <c r="BC158" i="2"/>
  <c r="BB158" i="2"/>
  <c r="AY158" i="2"/>
  <c r="AP158" i="2"/>
  <c r="BO157" i="2"/>
  <c r="BN157" i="2"/>
  <c r="BM157" i="2"/>
  <c r="BL157" i="2"/>
  <c r="BK157" i="2"/>
  <c r="BJ157" i="2"/>
  <c r="BI157" i="2"/>
  <c r="BH157" i="2"/>
  <c r="BG157" i="2"/>
  <c r="BF157" i="2"/>
  <c r="BE157" i="2"/>
  <c r="BD157" i="2"/>
  <c r="BC157" i="2"/>
  <c r="BB157" i="2"/>
  <c r="AY157" i="2"/>
  <c r="AP157" i="2"/>
  <c r="BO156" i="2"/>
  <c r="BN156" i="2"/>
  <c r="BM156" i="2"/>
  <c r="BL156" i="2"/>
  <c r="BK156" i="2"/>
  <c r="BJ156" i="2"/>
  <c r="BI156" i="2"/>
  <c r="BH156" i="2"/>
  <c r="BG156" i="2"/>
  <c r="BF156" i="2"/>
  <c r="BE156" i="2"/>
  <c r="BD156" i="2"/>
  <c r="BC156" i="2"/>
  <c r="BB156" i="2"/>
  <c r="AY156" i="2"/>
  <c r="BA156" i="2" s="1"/>
  <c r="AP156" i="2"/>
  <c r="BO155" i="2"/>
  <c r="BN155" i="2"/>
  <c r="BM155" i="2"/>
  <c r="BL155" i="2"/>
  <c r="BK155" i="2"/>
  <c r="BJ155" i="2"/>
  <c r="BI155" i="2"/>
  <c r="BH155" i="2"/>
  <c r="BG155" i="2"/>
  <c r="BF155" i="2"/>
  <c r="BE155" i="2"/>
  <c r="BD155" i="2"/>
  <c r="BC155" i="2"/>
  <c r="BB155" i="2"/>
  <c r="AY155" i="2"/>
  <c r="BA155" i="2" s="1"/>
  <c r="AP155" i="2"/>
  <c r="BO154" i="2"/>
  <c r="BN154" i="2"/>
  <c r="BM154" i="2"/>
  <c r="BL154" i="2"/>
  <c r="BK154" i="2"/>
  <c r="BJ154" i="2"/>
  <c r="BI154" i="2"/>
  <c r="BH154" i="2"/>
  <c r="BG154" i="2"/>
  <c r="BF154" i="2"/>
  <c r="BE154" i="2"/>
  <c r="BD154" i="2"/>
  <c r="BC154" i="2"/>
  <c r="BB154" i="2"/>
  <c r="AY154" i="2"/>
  <c r="AP154" i="2"/>
  <c r="BO153" i="2"/>
  <c r="BN153" i="2"/>
  <c r="BM153" i="2"/>
  <c r="BL153" i="2"/>
  <c r="BK153" i="2"/>
  <c r="BJ153" i="2"/>
  <c r="BI153" i="2"/>
  <c r="BH153" i="2"/>
  <c r="BG153" i="2"/>
  <c r="BF153" i="2"/>
  <c r="BE153" i="2"/>
  <c r="BD153" i="2"/>
  <c r="BC153" i="2"/>
  <c r="BB153" i="2"/>
  <c r="AY153" i="2"/>
  <c r="BA153" i="2" s="1"/>
  <c r="AP153" i="2"/>
  <c r="BO152" i="2"/>
  <c r="BN152" i="2"/>
  <c r="BM152" i="2"/>
  <c r="BL152" i="2"/>
  <c r="BK152" i="2"/>
  <c r="BJ152" i="2"/>
  <c r="BI152" i="2"/>
  <c r="BH152" i="2"/>
  <c r="BG152" i="2"/>
  <c r="BF152" i="2"/>
  <c r="BE152" i="2"/>
  <c r="BD152" i="2"/>
  <c r="BC152" i="2"/>
  <c r="BB152" i="2"/>
  <c r="BA152" i="2"/>
  <c r="AY152" i="2"/>
  <c r="AP152" i="2"/>
  <c r="BO151" i="2"/>
  <c r="BN151" i="2"/>
  <c r="BM151" i="2"/>
  <c r="BL151" i="2"/>
  <c r="BK151" i="2"/>
  <c r="BJ151" i="2"/>
  <c r="BI151" i="2"/>
  <c r="BH151" i="2"/>
  <c r="BG151" i="2"/>
  <c r="BF151" i="2"/>
  <c r="BE151" i="2"/>
  <c r="BD151" i="2"/>
  <c r="BC151" i="2"/>
  <c r="BB151" i="2"/>
  <c r="BA151" i="2"/>
  <c r="BO150" i="2"/>
  <c r="BN150" i="2"/>
  <c r="BM150" i="2"/>
  <c r="BL150" i="2"/>
  <c r="BK150" i="2"/>
  <c r="BJ150" i="2"/>
  <c r="BI150" i="2"/>
  <c r="BH150" i="2"/>
  <c r="BG150" i="2"/>
  <c r="BF150" i="2"/>
  <c r="BE150" i="2"/>
  <c r="BD150" i="2"/>
  <c r="BC150" i="2"/>
  <c r="BB150" i="2"/>
  <c r="BA150" i="2"/>
  <c r="AY150" i="2"/>
  <c r="AP150" i="2"/>
  <c r="BO149" i="2"/>
  <c r="BN149" i="2"/>
  <c r="BM149" i="2"/>
  <c r="BL149" i="2"/>
  <c r="BK149" i="2"/>
  <c r="BJ149" i="2"/>
  <c r="BI149" i="2"/>
  <c r="BH149" i="2"/>
  <c r="BG149" i="2"/>
  <c r="BF149" i="2"/>
  <c r="BE149" i="2"/>
  <c r="BD149" i="2"/>
  <c r="BC149" i="2"/>
  <c r="BB149" i="2"/>
  <c r="AY149" i="2"/>
  <c r="AP149" i="2"/>
  <c r="BO148" i="2"/>
  <c r="BN148" i="2"/>
  <c r="BM148" i="2"/>
  <c r="BL148" i="2"/>
  <c r="BK148" i="2"/>
  <c r="BJ148" i="2"/>
  <c r="BI148" i="2"/>
  <c r="BH148" i="2"/>
  <c r="BG148" i="2"/>
  <c r="BF148" i="2"/>
  <c r="BE148" i="2"/>
  <c r="BD148" i="2"/>
  <c r="BC148" i="2"/>
  <c r="BB148" i="2"/>
  <c r="AY148" i="2"/>
  <c r="BA148" i="2" s="1"/>
  <c r="AP148" i="2"/>
  <c r="BO147" i="2"/>
  <c r="BN147" i="2"/>
  <c r="BM147" i="2"/>
  <c r="BL147" i="2"/>
  <c r="BK147" i="2"/>
  <c r="BJ147" i="2"/>
  <c r="BI147" i="2"/>
  <c r="BH147" i="2"/>
  <c r="BG147" i="2"/>
  <c r="BF147" i="2"/>
  <c r="BE147" i="2"/>
  <c r="BD147" i="2"/>
  <c r="BC147" i="2"/>
  <c r="BB147" i="2"/>
  <c r="AY147" i="2"/>
  <c r="BA147" i="2" s="1"/>
  <c r="AP147" i="2"/>
  <c r="BO146" i="2"/>
  <c r="BN146" i="2"/>
  <c r="BM146" i="2"/>
  <c r="BL146" i="2"/>
  <c r="BK146" i="2"/>
  <c r="BJ146" i="2"/>
  <c r="BI146" i="2"/>
  <c r="BH146" i="2"/>
  <c r="BG146" i="2"/>
  <c r="BF146" i="2"/>
  <c r="BE146" i="2"/>
  <c r="BD146" i="2"/>
  <c r="BC146" i="2"/>
  <c r="BB146" i="2"/>
  <c r="BA146" i="2"/>
  <c r="AY146" i="2"/>
  <c r="AP146" i="2"/>
  <c r="BO145" i="2"/>
  <c r="BN145" i="2"/>
  <c r="BM145" i="2"/>
  <c r="BL145" i="2"/>
  <c r="BK145" i="2"/>
  <c r="BJ145" i="2"/>
  <c r="BI145" i="2"/>
  <c r="BH145" i="2"/>
  <c r="BG145" i="2"/>
  <c r="BF145" i="2"/>
  <c r="BE145" i="2"/>
  <c r="BD145" i="2"/>
  <c r="BC145" i="2"/>
  <c r="BB145" i="2"/>
  <c r="AY145" i="2"/>
  <c r="BA145" i="2" s="1"/>
  <c r="AP145" i="2"/>
  <c r="BO144" i="2"/>
  <c r="BN144" i="2"/>
  <c r="BM144" i="2"/>
  <c r="BL144" i="2"/>
  <c r="BK144" i="2"/>
  <c r="BJ144" i="2"/>
  <c r="BI144" i="2"/>
  <c r="BH144" i="2"/>
  <c r="BG144" i="2"/>
  <c r="BF144" i="2"/>
  <c r="BE144" i="2"/>
  <c r="BD144" i="2"/>
  <c r="BC144" i="2"/>
  <c r="BB144" i="2"/>
  <c r="AY144" i="2"/>
  <c r="AP144" i="2"/>
  <c r="BO143" i="2"/>
  <c r="BN143" i="2"/>
  <c r="BM143" i="2"/>
  <c r="BL143" i="2"/>
  <c r="BK143" i="2"/>
  <c r="BJ143" i="2"/>
  <c r="BI143" i="2"/>
  <c r="BH143" i="2"/>
  <c r="BG143" i="2"/>
  <c r="BF143" i="2"/>
  <c r="BE143" i="2"/>
  <c r="BD143" i="2"/>
  <c r="BC143" i="2"/>
  <c r="BB143" i="2"/>
  <c r="AY143" i="2"/>
  <c r="BA143" i="2" s="1"/>
  <c r="AP143" i="2"/>
  <c r="BO142" i="2"/>
  <c r="BN142" i="2"/>
  <c r="BM142" i="2"/>
  <c r="BL142" i="2"/>
  <c r="BK142" i="2"/>
  <c r="BJ142" i="2"/>
  <c r="BI142" i="2"/>
  <c r="BH142" i="2"/>
  <c r="BG142" i="2"/>
  <c r="BF142" i="2"/>
  <c r="BE142" i="2"/>
  <c r="BD142" i="2"/>
  <c r="BC142" i="2"/>
  <c r="BB142" i="2"/>
  <c r="AY142" i="2"/>
  <c r="AP142" i="2"/>
  <c r="BO141" i="2"/>
  <c r="BN141" i="2"/>
  <c r="BM141" i="2"/>
  <c r="BL141" i="2"/>
  <c r="BK141" i="2"/>
  <c r="BJ141" i="2"/>
  <c r="BI141" i="2"/>
  <c r="BH141" i="2"/>
  <c r="BG141" i="2"/>
  <c r="BF141" i="2"/>
  <c r="BE141" i="2"/>
  <c r="BD141" i="2"/>
  <c r="BC141" i="2"/>
  <c r="BB141" i="2"/>
  <c r="AY141" i="2"/>
  <c r="AP141" i="2"/>
  <c r="BO140" i="2"/>
  <c r="BN140" i="2"/>
  <c r="BM140" i="2"/>
  <c r="BL140" i="2"/>
  <c r="BK140" i="2"/>
  <c r="BJ140" i="2"/>
  <c r="BI140" i="2"/>
  <c r="BH140" i="2"/>
  <c r="BG140" i="2"/>
  <c r="BF140" i="2"/>
  <c r="BE140" i="2"/>
  <c r="BD140" i="2"/>
  <c r="BC140" i="2"/>
  <c r="BB140" i="2"/>
  <c r="AY140" i="2"/>
  <c r="AP140" i="2"/>
  <c r="BO139" i="2"/>
  <c r="BN139" i="2"/>
  <c r="BM139" i="2"/>
  <c r="BL139" i="2"/>
  <c r="BK139" i="2"/>
  <c r="BJ139" i="2"/>
  <c r="BI139" i="2"/>
  <c r="BH139" i="2"/>
  <c r="BG139" i="2"/>
  <c r="BF139" i="2"/>
  <c r="BE139" i="2"/>
  <c r="BD139" i="2"/>
  <c r="BC139" i="2"/>
  <c r="BB139" i="2"/>
  <c r="AY139" i="2"/>
  <c r="AP139" i="2"/>
  <c r="BO138" i="2"/>
  <c r="BN138" i="2"/>
  <c r="BM138" i="2"/>
  <c r="BL138" i="2"/>
  <c r="BK138" i="2"/>
  <c r="BJ138" i="2"/>
  <c r="BI138" i="2"/>
  <c r="BH138" i="2"/>
  <c r="BG138" i="2"/>
  <c r="BF138" i="2"/>
  <c r="BE138" i="2"/>
  <c r="BD138" i="2"/>
  <c r="BC138" i="2"/>
  <c r="BB138" i="2"/>
  <c r="AY138" i="2"/>
  <c r="AP138" i="2"/>
  <c r="BO137" i="2"/>
  <c r="BN137" i="2"/>
  <c r="BM137" i="2"/>
  <c r="BL137" i="2"/>
  <c r="BK137" i="2"/>
  <c r="BJ137" i="2"/>
  <c r="BI137" i="2"/>
  <c r="BH137" i="2"/>
  <c r="BG137" i="2"/>
  <c r="BF137" i="2"/>
  <c r="BE137" i="2"/>
  <c r="BD137" i="2"/>
  <c r="BC137" i="2"/>
  <c r="BB137" i="2"/>
  <c r="AY137" i="2"/>
  <c r="AP137" i="2"/>
  <c r="BO136" i="2"/>
  <c r="BN136" i="2"/>
  <c r="BM136" i="2"/>
  <c r="BL136" i="2"/>
  <c r="BK136" i="2"/>
  <c r="BJ136" i="2"/>
  <c r="BI136" i="2"/>
  <c r="BH136" i="2"/>
  <c r="BG136" i="2"/>
  <c r="BF136" i="2"/>
  <c r="BE136" i="2"/>
  <c r="BD136" i="2"/>
  <c r="BC136" i="2"/>
  <c r="BB136" i="2"/>
  <c r="AY136" i="2"/>
  <c r="AP136" i="2"/>
  <c r="BO135" i="2"/>
  <c r="BN135" i="2"/>
  <c r="BM135" i="2"/>
  <c r="BL135" i="2"/>
  <c r="BK135" i="2"/>
  <c r="BJ135" i="2"/>
  <c r="BI135" i="2"/>
  <c r="BH135" i="2"/>
  <c r="BG135" i="2"/>
  <c r="BF135" i="2"/>
  <c r="BE135" i="2"/>
  <c r="BD135" i="2"/>
  <c r="BC135" i="2"/>
  <c r="BB135" i="2"/>
  <c r="AY135" i="2"/>
  <c r="AP135" i="2"/>
  <c r="BO134" i="2"/>
  <c r="BN134" i="2"/>
  <c r="BM134" i="2"/>
  <c r="BL134" i="2"/>
  <c r="BK134" i="2"/>
  <c r="BJ134" i="2"/>
  <c r="BI134" i="2"/>
  <c r="BH134" i="2"/>
  <c r="BG134" i="2"/>
  <c r="BF134" i="2"/>
  <c r="BE134" i="2"/>
  <c r="BD134" i="2"/>
  <c r="BC134" i="2"/>
  <c r="BB134" i="2"/>
  <c r="AY134" i="2"/>
  <c r="BA134" i="2" s="1"/>
  <c r="AP134" i="2"/>
  <c r="BO133" i="2"/>
  <c r="BN133" i="2"/>
  <c r="BM133" i="2"/>
  <c r="BL133" i="2"/>
  <c r="BK133" i="2"/>
  <c r="BJ133" i="2"/>
  <c r="BI133" i="2"/>
  <c r="BH133" i="2"/>
  <c r="BG133" i="2"/>
  <c r="BF133" i="2"/>
  <c r="BE133" i="2"/>
  <c r="BD133" i="2"/>
  <c r="BC133" i="2"/>
  <c r="BB133" i="2"/>
  <c r="AY133" i="2"/>
  <c r="AP133" i="2"/>
  <c r="BO132" i="2"/>
  <c r="BN132" i="2"/>
  <c r="BM132" i="2"/>
  <c r="BL132" i="2"/>
  <c r="BK132" i="2"/>
  <c r="BJ132" i="2"/>
  <c r="BI132" i="2"/>
  <c r="BH132" i="2"/>
  <c r="BG132" i="2"/>
  <c r="BF132" i="2"/>
  <c r="BE132" i="2"/>
  <c r="BD132" i="2"/>
  <c r="BC132" i="2"/>
  <c r="BB132" i="2"/>
  <c r="AY132" i="2"/>
  <c r="AP132" i="2"/>
  <c r="BO131" i="2"/>
  <c r="BN131" i="2"/>
  <c r="BM131" i="2"/>
  <c r="BL131" i="2"/>
  <c r="BK131" i="2"/>
  <c r="BJ131" i="2"/>
  <c r="BI131" i="2"/>
  <c r="BH131" i="2"/>
  <c r="BG131" i="2"/>
  <c r="BF131" i="2"/>
  <c r="BE131" i="2"/>
  <c r="BD131" i="2"/>
  <c r="BC131" i="2"/>
  <c r="BB131" i="2"/>
  <c r="AY131" i="2"/>
  <c r="AP131" i="2"/>
  <c r="BO130" i="2"/>
  <c r="BN130" i="2"/>
  <c r="BM130" i="2"/>
  <c r="BL130" i="2"/>
  <c r="BK130" i="2"/>
  <c r="BJ130" i="2"/>
  <c r="BI130" i="2"/>
  <c r="BH130" i="2"/>
  <c r="BG130" i="2"/>
  <c r="BF130" i="2"/>
  <c r="BE130" i="2"/>
  <c r="BD130" i="2"/>
  <c r="BC130" i="2"/>
  <c r="BB130" i="2"/>
  <c r="AY130" i="2"/>
  <c r="AP130" i="2"/>
  <c r="BO129" i="2"/>
  <c r="BN129" i="2"/>
  <c r="BM129" i="2"/>
  <c r="BL129" i="2"/>
  <c r="BK129" i="2"/>
  <c r="BJ129" i="2"/>
  <c r="BI129" i="2"/>
  <c r="BH129" i="2"/>
  <c r="BG129" i="2"/>
  <c r="BF129" i="2"/>
  <c r="BE129" i="2"/>
  <c r="BD129" i="2"/>
  <c r="BC129" i="2"/>
  <c r="BB129" i="2"/>
  <c r="AY129" i="2"/>
  <c r="AP129" i="2"/>
  <c r="BO128" i="2"/>
  <c r="BN128" i="2"/>
  <c r="BM128" i="2"/>
  <c r="BL128" i="2"/>
  <c r="BK128" i="2"/>
  <c r="BJ128" i="2"/>
  <c r="BI128" i="2"/>
  <c r="BH128" i="2"/>
  <c r="BG128" i="2"/>
  <c r="BF128" i="2"/>
  <c r="BE128" i="2"/>
  <c r="BD128" i="2"/>
  <c r="BC128" i="2"/>
  <c r="BB128" i="2"/>
  <c r="AY128" i="2"/>
  <c r="AP128" i="2"/>
  <c r="BO127" i="2"/>
  <c r="BN127" i="2"/>
  <c r="BM127" i="2"/>
  <c r="BL127" i="2"/>
  <c r="BK127" i="2"/>
  <c r="BJ127" i="2"/>
  <c r="BI127" i="2"/>
  <c r="BH127" i="2"/>
  <c r="BG127" i="2"/>
  <c r="BF127" i="2"/>
  <c r="BE127" i="2"/>
  <c r="BD127" i="2"/>
  <c r="BC127" i="2"/>
  <c r="BB127" i="2"/>
  <c r="AY127" i="2"/>
  <c r="AP127" i="2"/>
  <c r="BO126" i="2"/>
  <c r="BN126" i="2"/>
  <c r="BM126" i="2"/>
  <c r="BL126" i="2"/>
  <c r="BK126" i="2"/>
  <c r="BJ126" i="2"/>
  <c r="BI126" i="2"/>
  <c r="BH126" i="2"/>
  <c r="BG126" i="2"/>
  <c r="BF126" i="2"/>
  <c r="BE126" i="2"/>
  <c r="BD126" i="2"/>
  <c r="BC126" i="2"/>
  <c r="BB126" i="2"/>
  <c r="AY126" i="2"/>
  <c r="AP126" i="2"/>
  <c r="BO125" i="2"/>
  <c r="BN125" i="2"/>
  <c r="BM125" i="2"/>
  <c r="BL125" i="2"/>
  <c r="BK125" i="2"/>
  <c r="BJ125" i="2"/>
  <c r="BI125" i="2"/>
  <c r="BH125" i="2"/>
  <c r="BG125" i="2"/>
  <c r="BF125" i="2"/>
  <c r="BE125" i="2"/>
  <c r="BD125" i="2"/>
  <c r="BC125" i="2"/>
  <c r="BB125" i="2"/>
  <c r="AY125" i="2"/>
  <c r="AP125" i="2"/>
  <c r="BO124" i="2"/>
  <c r="BN124" i="2"/>
  <c r="BM124" i="2"/>
  <c r="BL124" i="2"/>
  <c r="BK124" i="2"/>
  <c r="BJ124" i="2"/>
  <c r="BI124" i="2"/>
  <c r="BH124" i="2"/>
  <c r="BG124" i="2"/>
  <c r="BF124" i="2"/>
  <c r="BE124" i="2"/>
  <c r="BD124" i="2"/>
  <c r="BC124" i="2"/>
  <c r="BB124" i="2"/>
  <c r="AY124" i="2"/>
  <c r="AP124" i="2"/>
  <c r="BO123" i="2"/>
  <c r="BN123" i="2"/>
  <c r="BM123" i="2"/>
  <c r="BL123" i="2"/>
  <c r="BK123" i="2"/>
  <c r="BJ123" i="2"/>
  <c r="BI123" i="2"/>
  <c r="BH123" i="2"/>
  <c r="BG123" i="2"/>
  <c r="BF123" i="2"/>
  <c r="BE123" i="2"/>
  <c r="BD123" i="2"/>
  <c r="BC123" i="2"/>
  <c r="BB123" i="2"/>
  <c r="AY123" i="2"/>
  <c r="AP123" i="2"/>
  <c r="BO122" i="2"/>
  <c r="BN122" i="2"/>
  <c r="BM122" i="2"/>
  <c r="BL122" i="2"/>
  <c r="BK122" i="2"/>
  <c r="BJ122" i="2"/>
  <c r="BI122" i="2"/>
  <c r="BH122" i="2"/>
  <c r="BG122" i="2"/>
  <c r="BF122" i="2"/>
  <c r="BE122" i="2"/>
  <c r="BD122" i="2"/>
  <c r="BC122" i="2"/>
  <c r="BB122" i="2"/>
  <c r="AY122" i="2"/>
  <c r="AP122" i="2"/>
  <c r="BO121" i="2"/>
  <c r="BN121" i="2"/>
  <c r="BM121" i="2"/>
  <c r="BL121" i="2"/>
  <c r="BK121" i="2"/>
  <c r="BJ121" i="2"/>
  <c r="BI121" i="2"/>
  <c r="BH121" i="2"/>
  <c r="BG121" i="2"/>
  <c r="BF121" i="2"/>
  <c r="BE121" i="2"/>
  <c r="BD121" i="2"/>
  <c r="BC121" i="2"/>
  <c r="BB121" i="2"/>
  <c r="AY121" i="2"/>
  <c r="AP121" i="2"/>
  <c r="BO120" i="2"/>
  <c r="BN120" i="2"/>
  <c r="BM120" i="2"/>
  <c r="BL120" i="2"/>
  <c r="BK120" i="2"/>
  <c r="BJ120" i="2"/>
  <c r="BI120" i="2"/>
  <c r="BH120" i="2"/>
  <c r="BG120" i="2"/>
  <c r="BF120" i="2"/>
  <c r="BE120" i="2"/>
  <c r="BD120" i="2"/>
  <c r="BC120" i="2"/>
  <c r="BB120" i="2"/>
  <c r="AY120" i="2"/>
  <c r="AP120" i="2"/>
  <c r="BO119" i="2"/>
  <c r="BN119" i="2"/>
  <c r="BM119" i="2"/>
  <c r="BL119" i="2"/>
  <c r="BK119" i="2"/>
  <c r="BJ119" i="2"/>
  <c r="BI119" i="2"/>
  <c r="BH119" i="2"/>
  <c r="BG119" i="2"/>
  <c r="BF119" i="2"/>
  <c r="BE119" i="2"/>
  <c r="BD119" i="2"/>
  <c r="BC119" i="2"/>
  <c r="BB119" i="2"/>
  <c r="AY119" i="2"/>
  <c r="BA119" i="2" s="1"/>
  <c r="AP119" i="2"/>
  <c r="BO118" i="2"/>
  <c r="BN118" i="2"/>
  <c r="BM118" i="2"/>
  <c r="BL118" i="2"/>
  <c r="BK118" i="2"/>
  <c r="BJ118" i="2"/>
  <c r="BI118" i="2"/>
  <c r="BH118" i="2"/>
  <c r="BG118" i="2"/>
  <c r="BF118" i="2"/>
  <c r="BE118" i="2"/>
  <c r="BD118" i="2"/>
  <c r="BC118" i="2"/>
  <c r="BB118" i="2"/>
  <c r="BA118" i="2"/>
  <c r="AY118" i="2"/>
  <c r="AP118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AY117" i="2"/>
  <c r="AP117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AY116" i="2"/>
  <c r="AP116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AY115" i="2"/>
  <c r="AP115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AY114" i="2"/>
  <c r="AP114" i="2"/>
  <c r="BA114" i="2" s="1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AY113" i="2"/>
  <c r="AP113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AY112" i="2"/>
  <c r="AP112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AY111" i="2"/>
  <c r="AP111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AY110" i="2"/>
  <c r="AP110" i="2"/>
  <c r="BA110" i="2" s="1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AY109" i="2"/>
  <c r="AP109" i="2"/>
  <c r="BA109" i="2" s="1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AY108" i="2"/>
  <c r="AP108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AY107" i="2"/>
  <c r="AP107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AY106" i="2"/>
  <c r="AP106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AY105" i="2"/>
  <c r="AP105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AY104" i="2"/>
  <c r="AP104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AY103" i="2"/>
  <c r="AP103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AY102" i="2"/>
  <c r="AP102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AY101" i="2"/>
  <c r="AP101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AY100" i="2"/>
  <c r="AP100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AY99" i="2"/>
  <c r="AP99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AY98" i="2"/>
  <c r="AP98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AY97" i="2"/>
  <c r="AP97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AY96" i="2"/>
  <c r="AP96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AY95" i="2"/>
  <c r="AP95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AY94" i="2"/>
  <c r="AP94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AY93" i="2"/>
  <c r="AP93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AY92" i="2"/>
  <c r="AP92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AY91" i="2"/>
  <c r="AP91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AY90" i="2"/>
  <c r="AP90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AY89" i="2"/>
  <c r="AP89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AY88" i="2"/>
  <c r="AP88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AY87" i="2"/>
  <c r="AP87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AY86" i="2"/>
  <c r="BA86" i="2" s="1"/>
  <c r="AP86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AY85" i="2"/>
  <c r="AP85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AY84" i="2"/>
  <c r="BA84" i="2" s="1"/>
  <c r="AP84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AY83" i="2"/>
  <c r="BA83" i="2" s="1"/>
  <c r="AP83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AY82" i="2"/>
  <c r="AP82" i="2"/>
  <c r="BA82" i="2" s="1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AY81" i="2"/>
  <c r="AP81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AY80" i="2"/>
  <c r="AP80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AY79" i="2"/>
  <c r="AP79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AY78" i="2"/>
  <c r="AP78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AY77" i="2"/>
  <c r="AP77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AY76" i="2"/>
  <c r="AP76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AY75" i="2"/>
  <c r="AP75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AY74" i="2"/>
  <c r="AP74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AY73" i="2"/>
  <c r="AP73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AY72" i="2"/>
  <c r="AP72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AY71" i="2"/>
  <c r="AP71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AY70" i="2"/>
  <c r="BA70" i="2" s="1"/>
  <c r="AP70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AY69" i="2"/>
  <c r="AP69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AY68" i="2"/>
  <c r="AP68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AY67" i="2"/>
  <c r="AP67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AY66" i="2"/>
  <c r="AP66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AY65" i="2"/>
  <c r="AP65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AY64" i="2"/>
  <c r="AP64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AY63" i="2"/>
  <c r="AP63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AY62" i="2"/>
  <c r="AP62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AY61" i="2"/>
  <c r="AP61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AY60" i="2"/>
  <c r="AP60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AY59" i="2"/>
  <c r="AP59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AY58" i="2"/>
  <c r="AP58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AY57" i="2"/>
  <c r="AP57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AY56" i="2"/>
  <c r="AP56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AY55" i="2"/>
  <c r="AP55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AY54" i="2"/>
  <c r="BA54" i="2" s="1"/>
  <c r="AP54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AY53" i="2"/>
  <c r="AP53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AY52" i="2"/>
  <c r="BA52" i="2" s="1"/>
  <c r="AP52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AY51" i="2"/>
  <c r="BA51" i="2" s="1"/>
  <c r="AP51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Y50" i="2"/>
  <c r="AP50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AY49" i="2"/>
  <c r="AP49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AY48" i="2"/>
  <c r="AP48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AY47" i="2"/>
  <c r="BA47" i="2" s="1"/>
  <c r="AP47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AY46" i="2"/>
  <c r="AP46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AY45" i="2"/>
  <c r="AP45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AY44" i="2"/>
  <c r="AP44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AY43" i="2"/>
  <c r="AP43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AY42" i="2"/>
  <c r="BA42" i="2" s="1"/>
  <c r="AP42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AY41" i="2"/>
  <c r="BA41" i="2" s="1"/>
  <c r="AP41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AY40" i="2"/>
  <c r="AP40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AY39" i="2"/>
  <c r="BA39" i="2" s="1"/>
  <c r="AP39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Y38" i="2"/>
  <c r="AP38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AY37" i="2"/>
  <c r="AP37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AY36" i="2"/>
  <c r="AP36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AY35" i="2"/>
  <c r="AP35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AY34" i="2"/>
  <c r="BA34" i="2" s="1"/>
  <c r="AP34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AY33" i="2"/>
  <c r="AP33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AY32" i="2"/>
  <c r="AP32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AY31" i="2"/>
  <c r="AP31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AY30" i="2"/>
  <c r="BA30" i="2" s="1"/>
  <c r="AP30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AY29" i="2"/>
  <c r="AP29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AY28" i="2"/>
  <c r="AP28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AY27" i="2"/>
  <c r="AP27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AY26" i="2"/>
  <c r="BA26" i="2" s="1"/>
  <c r="AP26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AY25" i="2"/>
  <c r="BA25" i="2" s="1"/>
  <c r="AP25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AY24" i="2"/>
  <c r="AP24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AY23" i="2"/>
  <c r="BA23" i="2" s="1"/>
  <c r="AP23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AY22" i="2"/>
  <c r="AP22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AY21" i="2"/>
  <c r="AP21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AY20" i="2"/>
  <c r="AP20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AY19" i="2"/>
  <c r="AP19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AY18" i="2"/>
  <c r="BA18" i="2" s="1"/>
  <c r="AP18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AY17" i="2"/>
  <c r="BA17" i="2" s="1"/>
  <c r="AP17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AY16" i="2"/>
  <c r="AP16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AY15" i="2"/>
  <c r="BA15" i="2" s="1"/>
  <c r="AP15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AY14" i="2"/>
  <c r="AP14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AY13" i="2"/>
  <c r="AP13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AY12" i="2"/>
  <c r="AP12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AY11" i="2"/>
  <c r="AP11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AY10" i="2"/>
  <c r="BA10" i="2" s="1"/>
  <c r="AP10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AY9" i="2"/>
  <c r="BA9" i="2" s="1"/>
  <c r="AP9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AY8" i="2"/>
  <c r="AP8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AY7" i="2"/>
  <c r="BA7" i="2" s="1"/>
  <c r="AP7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AY6" i="2"/>
  <c r="AP6" i="2"/>
  <c r="BA6" i="2" s="1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AY5" i="2"/>
  <c r="AP5" i="2"/>
  <c r="BA5" i="2" s="1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AY4" i="2"/>
  <c r="AP4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AY3" i="2"/>
  <c r="AP3" i="2"/>
  <c r="V200" i="1"/>
  <c r="R200" i="1"/>
  <c r="V199" i="1"/>
  <c r="R199" i="1"/>
  <c r="V198" i="1"/>
  <c r="R198" i="1"/>
  <c r="V197" i="1"/>
  <c r="R197" i="1"/>
  <c r="V196" i="1"/>
  <c r="R196" i="1"/>
  <c r="V195" i="1"/>
  <c r="R195" i="1"/>
  <c r="V194" i="1"/>
  <c r="R194" i="1"/>
  <c r="V193" i="1"/>
  <c r="R193" i="1"/>
  <c r="V192" i="1"/>
  <c r="R192" i="1"/>
  <c r="V191" i="1"/>
  <c r="R191" i="1"/>
  <c r="V190" i="1"/>
  <c r="R190" i="1"/>
  <c r="V189" i="1"/>
  <c r="R189" i="1"/>
  <c r="V188" i="1"/>
  <c r="R188" i="1"/>
  <c r="V187" i="1"/>
  <c r="R187" i="1"/>
  <c r="V186" i="1"/>
  <c r="R186" i="1"/>
  <c r="V185" i="1"/>
  <c r="R185" i="1"/>
  <c r="V184" i="1"/>
  <c r="R184" i="1"/>
  <c r="V183" i="1"/>
  <c r="R183" i="1"/>
  <c r="V182" i="1"/>
  <c r="R182" i="1"/>
  <c r="V181" i="1"/>
  <c r="R181" i="1"/>
  <c r="V180" i="1"/>
  <c r="R180" i="1"/>
  <c r="V179" i="1"/>
  <c r="R179" i="1"/>
  <c r="V178" i="1"/>
  <c r="R178" i="1"/>
  <c r="V177" i="1"/>
  <c r="R177" i="1"/>
  <c r="V176" i="1"/>
  <c r="R176" i="1"/>
  <c r="V175" i="1"/>
  <c r="R175" i="1"/>
  <c r="V174" i="1"/>
  <c r="R174" i="1"/>
  <c r="V173" i="1"/>
  <c r="R173" i="1"/>
  <c r="V172" i="1"/>
  <c r="R172" i="1"/>
  <c r="V171" i="1"/>
  <c r="R171" i="1"/>
  <c r="V170" i="1"/>
  <c r="R170" i="1"/>
  <c r="V169" i="1"/>
  <c r="R169" i="1"/>
  <c r="V168" i="1"/>
  <c r="R168" i="1"/>
  <c r="V167" i="1"/>
  <c r="R167" i="1"/>
  <c r="V166" i="1"/>
  <c r="R166" i="1"/>
  <c r="V165" i="1"/>
  <c r="R165" i="1"/>
  <c r="V164" i="1"/>
  <c r="R164" i="1"/>
  <c r="V163" i="1"/>
  <c r="R163" i="1"/>
  <c r="V162" i="1"/>
  <c r="R162" i="1"/>
  <c r="V161" i="1"/>
  <c r="R161" i="1"/>
  <c r="V160" i="1"/>
  <c r="R160" i="1"/>
  <c r="V159" i="1"/>
  <c r="R159" i="1"/>
  <c r="V158" i="1"/>
  <c r="R158" i="1"/>
  <c r="V157" i="1"/>
  <c r="R157" i="1"/>
  <c r="V156" i="1"/>
  <c r="R156" i="1"/>
  <c r="V155" i="1"/>
  <c r="R155" i="1"/>
  <c r="V154" i="1"/>
  <c r="R154" i="1"/>
  <c r="V153" i="1"/>
  <c r="R153" i="1"/>
  <c r="V152" i="1"/>
  <c r="R152" i="1"/>
  <c r="V151" i="1"/>
  <c r="R151" i="1"/>
  <c r="V150" i="1"/>
  <c r="R150" i="1"/>
  <c r="V149" i="1"/>
  <c r="R149" i="1"/>
  <c r="V148" i="1"/>
  <c r="R148" i="1"/>
  <c r="V147" i="1"/>
  <c r="R147" i="1"/>
  <c r="V146" i="1"/>
  <c r="R146" i="1"/>
  <c r="V145" i="1"/>
  <c r="R145" i="1"/>
  <c r="V144" i="1"/>
  <c r="R144" i="1"/>
  <c r="V143" i="1"/>
  <c r="R143" i="1"/>
  <c r="V142" i="1"/>
  <c r="R142" i="1"/>
  <c r="V141" i="1"/>
  <c r="R141" i="1"/>
  <c r="V140" i="1"/>
  <c r="R140" i="1"/>
  <c r="V139" i="1"/>
  <c r="R139" i="1"/>
  <c r="V138" i="1"/>
  <c r="R138" i="1"/>
  <c r="V137" i="1"/>
  <c r="R137" i="1"/>
  <c r="V136" i="1"/>
  <c r="R136" i="1"/>
  <c r="V135" i="1"/>
  <c r="R135" i="1"/>
  <c r="V134" i="1"/>
  <c r="R134" i="1"/>
  <c r="V133" i="1"/>
  <c r="R133" i="1"/>
  <c r="V132" i="1"/>
  <c r="R132" i="1"/>
  <c r="V131" i="1"/>
  <c r="R131" i="1"/>
  <c r="V130" i="1"/>
  <c r="R130" i="1"/>
  <c r="V129" i="1"/>
  <c r="R129" i="1"/>
  <c r="V128" i="1"/>
  <c r="R128" i="1"/>
  <c r="V127" i="1"/>
  <c r="R127" i="1"/>
  <c r="V126" i="1"/>
  <c r="R126" i="1"/>
  <c r="V125" i="1"/>
  <c r="R125" i="1"/>
  <c r="V124" i="1"/>
  <c r="R124" i="1"/>
  <c r="V123" i="1"/>
  <c r="R123" i="1"/>
  <c r="V122" i="1"/>
  <c r="R122" i="1"/>
  <c r="R121" i="1"/>
  <c r="V121" i="1" s="1"/>
  <c r="R120" i="1"/>
  <c r="V120" i="1" s="1"/>
  <c r="V119" i="1"/>
  <c r="R119" i="1"/>
  <c r="V118" i="1"/>
  <c r="R118" i="1"/>
  <c r="V117" i="1"/>
  <c r="R117" i="1"/>
  <c r="V116" i="1"/>
  <c r="R116" i="1"/>
  <c r="V115" i="1"/>
  <c r="R115" i="1"/>
  <c r="R114" i="1"/>
  <c r="V113" i="1"/>
  <c r="R113" i="1"/>
  <c r="V112" i="1"/>
  <c r="R112" i="1"/>
  <c r="V111" i="1"/>
  <c r="R111" i="1"/>
  <c r="V110" i="1"/>
  <c r="R110" i="1"/>
  <c r="V109" i="1"/>
  <c r="R109" i="1"/>
  <c r="V108" i="1"/>
  <c r="R108" i="1"/>
  <c r="V107" i="1"/>
  <c r="R107" i="1"/>
  <c r="V106" i="1"/>
  <c r="R106" i="1"/>
  <c r="V105" i="1"/>
  <c r="R105" i="1"/>
  <c r="V104" i="1"/>
  <c r="R104" i="1"/>
  <c r="V103" i="1"/>
  <c r="R103" i="1"/>
  <c r="V102" i="1"/>
  <c r="R102" i="1"/>
  <c r="V101" i="1"/>
  <c r="R101" i="1"/>
  <c r="V100" i="1"/>
  <c r="R100" i="1"/>
  <c r="V99" i="1"/>
  <c r="R99" i="1"/>
  <c r="V98" i="1"/>
  <c r="R98" i="1"/>
  <c r="V97" i="1"/>
  <c r="R97" i="1"/>
  <c r="V96" i="1"/>
  <c r="R96" i="1"/>
  <c r="V95" i="1"/>
  <c r="R95" i="1"/>
  <c r="V94" i="1"/>
  <c r="R94" i="1"/>
  <c r="V93" i="1"/>
  <c r="R93" i="1"/>
  <c r="V92" i="1"/>
  <c r="R92" i="1"/>
  <c r="V91" i="1"/>
  <c r="R91" i="1"/>
  <c r="V90" i="1"/>
  <c r="R90" i="1"/>
  <c r="V89" i="1"/>
  <c r="R89" i="1"/>
  <c r="V88" i="1"/>
  <c r="R88" i="1"/>
  <c r="V87" i="1"/>
  <c r="R87" i="1"/>
  <c r="V86" i="1"/>
  <c r="R86" i="1"/>
  <c r="V85" i="1"/>
  <c r="R85" i="1"/>
  <c r="V84" i="1"/>
  <c r="R84" i="1"/>
  <c r="V83" i="1"/>
  <c r="R83" i="1"/>
  <c r="V82" i="1"/>
  <c r="R82" i="1"/>
  <c r="V81" i="1"/>
  <c r="R81" i="1"/>
  <c r="V80" i="1"/>
  <c r="R80" i="1"/>
  <c r="V79" i="1"/>
  <c r="R79" i="1"/>
  <c r="V78" i="1"/>
  <c r="R78" i="1"/>
  <c r="V77" i="1"/>
  <c r="R77" i="1"/>
  <c r="V76" i="1"/>
  <c r="R76" i="1"/>
  <c r="V75" i="1"/>
  <c r="R75" i="1"/>
  <c r="V74" i="1"/>
  <c r="R74" i="1"/>
  <c r="V73" i="1"/>
  <c r="R73" i="1"/>
  <c r="V72" i="1"/>
  <c r="R72" i="1"/>
  <c r="V71" i="1"/>
  <c r="R71" i="1"/>
  <c r="V70" i="1"/>
  <c r="R70" i="1"/>
  <c r="V69" i="1"/>
  <c r="R69" i="1"/>
  <c r="V68" i="1"/>
  <c r="R68" i="1"/>
  <c r="V67" i="1"/>
  <c r="R67" i="1"/>
  <c r="V66" i="1"/>
  <c r="R66" i="1"/>
  <c r="V65" i="1"/>
  <c r="R65" i="1"/>
  <c r="V64" i="1"/>
  <c r="R64" i="1"/>
  <c r="V63" i="1"/>
  <c r="R63" i="1"/>
  <c r="V62" i="1"/>
  <c r="R62" i="1"/>
  <c r="V61" i="1"/>
  <c r="R61" i="1"/>
  <c r="V60" i="1"/>
  <c r="R60" i="1"/>
  <c r="V59" i="1"/>
  <c r="R59" i="1"/>
  <c r="V58" i="1"/>
  <c r="R58" i="1"/>
  <c r="V57" i="1"/>
  <c r="R57" i="1"/>
  <c r="V56" i="1"/>
  <c r="R56" i="1"/>
  <c r="V55" i="1"/>
  <c r="R55" i="1"/>
  <c r="V54" i="1"/>
  <c r="R54" i="1"/>
  <c r="V53" i="1"/>
  <c r="R53" i="1"/>
  <c r="V52" i="1"/>
  <c r="R52" i="1"/>
  <c r="V51" i="1"/>
  <c r="R51" i="1"/>
  <c r="V50" i="1"/>
  <c r="R50" i="1"/>
  <c r="V49" i="1"/>
  <c r="R49" i="1"/>
  <c r="V48" i="1"/>
  <c r="R48" i="1"/>
  <c r="V47" i="1"/>
  <c r="R47" i="1"/>
  <c r="V46" i="1"/>
  <c r="R46" i="1"/>
  <c r="V45" i="1"/>
  <c r="R45" i="1"/>
  <c r="V44" i="1"/>
  <c r="R44" i="1"/>
  <c r="V43" i="1"/>
  <c r="R43" i="1"/>
  <c r="V42" i="1"/>
  <c r="R42" i="1"/>
  <c r="V41" i="1"/>
  <c r="R41" i="1"/>
  <c r="V40" i="1"/>
  <c r="R40" i="1"/>
  <c r="V39" i="1"/>
  <c r="R39" i="1"/>
  <c r="V38" i="1"/>
  <c r="R38" i="1"/>
  <c r="V37" i="1"/>
  <c r="R37" i="1"/>
  <c r="V36" i="1"/>
  <c r="R36" i="1"/>
  <c r="V35" i="1"/>
  <c r="R35" i="1"/>
  <c r="V34" i="1"/>
  <c r="R34" i="1"/>
  <c r="V33" i="1"/>
  <c r="R33" i="1"/>
  <c r="V32" i="1"/>
  <c r="R32" i="1"/>
  <c r="V31" i="1"/>
  <c r="R31" i="1"/>
  <c r="V30" i="1"/>
  <c r="R30" i="1"/>
  <c r="V29" i="1"/>
  <c r="R29" i="1"/>
  <c r="V28" i="1"/>
  <c r="R28" i="1"/>
  <c r="V27" i="1"/>
  <c r="R27" i="1"/>
  <c r="V26" i="1"/>
  <c r="R26" i="1"/>
  <c r="V25" i="1"/>
  <c r="R25" i="1"/>
  <c r="V24" i="1"/>
  <c r="R24" i="1"/>
  <c r="V23" i="1"/>
  <c r="R23" i="1"/>
  <c r="V22" i="1"/>
  <c r="R22" i="1"/>
  <c r="V21" i="1"/>
  <c r="R21" i="1"/>
  <c r="V20" i="1"/>
  <c r="R20" i="1"/>
  <c r="V19" i="1"/>
  <c r="R19" i="1"/>
  <c r="V18" i="1"/>
  <c r="R18" i="1"/>
  <c r="V17" i="1"/>
  <c r="R17" i="1"/>
  <c r="V16" i="1"/>
  <c r="R16" i="1"/>
  <c r="V15" i="1"/>
  <c r="R15" i="1"/>
  <c r="V14" i="1"/>
  <c r="R14" i="1"/>
  <c r="V13" i="1"/>
  <c r="R13" i="1"/>
  <c r="V12" i="1"/>
  <c r="R12" i="1"/>
  <c r="V11" i="1"/>
  <c r="R11" i="1"/>
  <c r="V10" i="1"/>
  <c r="R10" i="1"/>
  <c r="V9" i="1"/>
  <c r="R9" i="1"/>
  <c r="V8" i="1"/>
  <c r="R8" i="1"/>
  <c r="V7" i="1"/>
  <c r="R7" i="1"/>
  <c r="V6" i="1"/>
  <c r="R6" i="1"/>
  <c r="V5" i="1"/>
  <c r="R5" i="1"/>
  <c r="V4" i="1"/>
  <c r="R4" i="1"/>
  <c r="V3" i="1"/>
  <c r="R3" i="1"/>
  <c r="V2" i="1"/>
  <c r="R2" i="1"/>
  <c r="E3" i="4"/>
  <c r="H2" i="4"/>
  <c r="H9" i="4" s="1"/>
  <c r="E2" i="4"/>
  <c r="E14" i="4" s="1"/>
  <c r="C144" i="6"/>
  <c r="C153" i="6" s="1"/>
  <c r="C130" i="6"/>
  <c r="C138" i="6" s="1"/>
  <c r="C116" i="6"/>
  <c r="C123" i="6" s="1"/>
  <c r="C102" i="6"/>
  <c r="C108" i="6" s="1"/>
  <c r="C88" i="6"/>
  <c r="C93" i="6" s="1"/>
  <c r="C74" i="6"/>
  <c r="C86" i="6" s="1"/>
  <c r="C60" i="6"/>
  <c r="C71" i="6" s="1"/>
  <c r="C46" i="6"/>
  <c r="C56" i="6" s="1"/>
  <c r="C32" i="6"/>
  <c r="C41" i="6" s="1"/>
  <c r="C18" i="6"/>
  <c r="C24" i="6" s="1"/>
  <c r="AD9" i="6"/>
  <c r="AA9" i="6"/>
  <c r="X9" i="6"/>
  <c r="U9" i="6"/>
  <c r="R9" i="6"/>
  <c r="O9" i="6"/>
  <c r="L9" i="6"/>
  <c r="I9" i="6"/>
  <c r="F9" i="6"/>
  <c r="AD8" i="6"/>
  <c r="AA8" i="6"/>
  <c r="X8" i="6"/>
  <c r="U8" i="6"/>
  <c r="R8" i="6"/>
  <c r="O8" i="6"/>
  <c r="L8" i="6"/>
  <c r="I8" i="6"/>
  <c r="F8" i="6"/>
  <c r="AD7" i="6"/>
  <c r="AA7" i="6"/>
  <c r="X7" i="6"/>
  <c r="U7" i="6"/>
  <c r="R7" i="6"/>
  <c r="O7" i="6"/>
  <c r="L7" i="6"/>
  <c r="I7" i="6"/>
  <c r="F7" i="6"/>
  <c r="AD6" i="6"/>
  <c r="AA6" i="6"/>
  <c r="X6" i="6"/>
  <c r="U6" i="6"/>
  <c r="R6" i="6"/>
  <c r="O6" i="6"/>
  <c r="L6" i="6"/>
  <c r="I6" i="6"/>
  <c r="F6" i="6"/>
  <c r="AD5" i="6"/>
  <c r="AA5" i="6"/>
  <c r="X5" i="6"/>
  <c r="U5" i="6"/>
  <c r="R5" i="6"/>
  <c r="O5" i="6"/>
  <c r="L5" i="6"/>
  <c r="I5" i="6"/>
  <c r="F5" i="6"/>
  <c r="AD4" i="6"/>
  <c r="AA4" i="6"/>
  <c r="X4" i="6"/>
  <c r="U4" i="6"/>
  <c r="R4" i="6"/>
  <c r="O4" i="6"/>
  <c r="L4" i="6"/>
  <c r="I4" i="6"/>
  <c r="F4" i="6"/>
  <c r="AD3" i="6"/>
  <c r="AA3" i="6"/>
  <c r="X3" i="6"/>
  <c r="U3" i="6"/>
  <c r="R3" i="6"/>
  <c r="O3" i="6"/>
  <c r="L3" i="6"/>
  <c r="I3" i="6"/>
  <c r="F3" i="6"/>
  <c r="AF2" i="6"/>
  <c r="AG6" i="6" s="1"/>
  <c r="AC2" i="6"/>
  <c r="Z2" i="6"/>
  <c r="W2" i="6"/>
  <c r="T2" i="6"/>
  <c r="Q2" i="6"/>
  <c r="N2" i="6"/>
  <c r="K2" i="6"/>
  <c r="H2" i="6"/>
  <c r="E2" i="6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E13" i="4" l="1"/>
  <c r="E8" i="4" s="1"/>
  <c r="E16" i="4"/>
  <c r="E17" i="4"/>
  <c r="H3" i="4"/>
  <c r="H4" i="4" s="1"/>
  <c r="BA61" i="2"/>
  <c r="BA64" i="2"/>
  <c r="BA69" i="2"/>
  <c r="BA164" i="2"/>
  <c r="BA168" i="2"/>
  <c r="BA184" i="2"/>
  <c r="BA71" i="2"/>
  <c r="BA73" i="2"/>
  <c r="BA74" i="2"/>
  <c r="BA79" i="2"/>
  <c r="BA81" i="2"/>
  <c r="BA87" i="2"/>
  <c r="BA89" i="2"/>
  <c r="BA90" i="2"/>
  <c r="BA94" i="2"/>
  <c r="BA98" i="2"/>
  <c r="BA102" i="2"/>
  <c r="BA115" i="2"/>
  <c r="BA116" i="2"/>
  <c r="BA125" i="2"/>
  <c r="BA128" i="2"/>
  <c r="BA133" i="2"/>
  <c r="BA141" i="2"/>
  <c r="BA22" i="2"/>
  <c r="BA135" i="2"/>
  <c r="BA137" i="2"/>
  <c r="BA138" i="2"/>
  <c r="BA45" i="2"/>
  <c r="BA19" i="2"/>
  <c r="BA20" i="2"/>
  <c r="BA29" i="2"/>
  <c r="BA32" i="2"/>
  <c r="BA37" i="2"/>
  <c r="BA103" i="2"/>
  <c r="BA105" i="2"/>
  <c r="BA106" i="2"/>
  <c r="BA111" i="2"/>
  <c r="BA113" i="2"/>
  <c r="BA185" i="2"/>
  <c r="BA187" i="2"/>
  <c r="BA188" i="2"/>
  <c r="BA192" i="2"/>
  <c r="BA196" i="2"/>
  <c r="BA46" i="2"/>
  <c r="BA49" i="2"/>
  <c r="BA121" i="2"/>
  <c r="BA122" i="2"/>
  <c r="BA126" i="2"/>
  <c r="BA130" i="2"/>
  <c r="BA142" i="2"/>
  <c r="BA209" i="2"/>
  <c r="BA55" i="2"/>
  <c r="BA57" i="2"/>
  <c r="BA58" i="2"/>
  <c r="BA62" i="2"/>
  <c r="BA66" i="2"/>
  <c r="BA77" i="2"/>
  <c r="BA78" i="2"/>
  <c r="BA159" i="2"/>
  <c r="BA162" i="2"/>
  <c r="BA167" i="2"/>
  <c r="BA223" i="2"/>
  <c r="BA224" i="2"/>
  <c r="BA13" i="2"/>
  <c r="BA14" i="2"/>
  <c r="BA93" i="2"/>
  <c r="BA96" i="2"/>
  <c r="BA101" i="2"/>
  <c r="BA169" i="2"/>
  <c r="BA171" i="2"/>
  <c r="BA172" i="2"/>
  <c r="H11" i="4"/>
  <c r="E15" i="4"/>
  <c r="E11" i="4"/>
  <c r="E12" i="4"/>
  <c r="H10" i="4"/>
  <c r="H14" i="4"/>
  <c r="H5" i="4"/>
  <c r="H6" i="4"/>
  <c r="H12" i="4"/>
  <c r="H7" i="4"/>
  <c r="H8" i="4"/>
  <c r="H13" i="4"/>
  <c r="AG3" i="6"/>
  <c r="AG7" i="6"/>
  <c r="AD12" i="6"/>
  <c r="R14" i="6"/>
  <c r="X11" i="6"/>
  <c r="BA24" i="2"/>
  <c r="BA56" i="2"/>
  <c r="BA88" i="2"/>
  <c r="BA120" i="2"/>
  <c r="BA154" i="2"/>
  <c r="BA186" i="2"/>
  <c r="BA219" i="2"/>
  <c r="BA221" i="2"/>
  <c r="BA27" i="2"/>
  <c r="BA28" i="2"/>
  <c r="BA59" i="2"/>
  <c r="BA60" i="2"/>
  <c r="BA91" i="2"/>
  <c r="BA92" i="2"/>
  <c r="BA123" i="2"/>
  <c r="BA124" i="2"/>
  <c r="BA157" i="2"/>
  <c r="BA158" i="2"/>
  <c r="BA189" i="2"/>
  <c r="BA190" i="2"/>
  <c r="BA225" i="2"/>
  <c r="BA226" i="2"/>
  <c r="BA31" i="2"/>
  <c r="BA33" i="2"/>
  <c r="BA63" i="2"/>
  <c r="BA65" i="2"/>
  <c r="BA95" i="2"/>
  <c r="BA97" i="2"/>
  <c r="BA127" i="2"/>
  <c r="BA129" i="2"/>
  <c r="BA161" i="2"/>
  <c r="BA163" i="2"/>
  <c r="BA193" i="2"/>
  <c r="BA195" i="2"/>
  <c r="BA3" i="2"/>
  <c r="BA4" i="2"/>
  <c r="BA8" i="2"/>
  <c r="BA35" i="2"/>
  <c r="BA36" i="2"/>
  <c r="BA40" i="2"/>
  <c r="BA67" i="2"/>
  <c r="BA68" i="2"/>
  <c r="BA72" i="2"/>
  <c r="BA99" i="2"/>
  <c r="BA100" i="2"/>
  <c r="BA104" i="2"/>
  <c r="BA131" i="2"/>
  <c r="BA132" i="2"/>
  <c r="BA136" i="2"/>
  <c r="BA165" i="2"/>
  <c r="BA166" i="2"/>
  <c r="BA170" i="2"/>
  <c r="BA197" i="2"/>
  <c r="BA198" i="2"/>
  <c r="BA11" i="2"/>
  <c r="BA12" i="2"/>
  <c r="BA16" i="2"/>
  <c r="BA43" i="2"/>
  <c r="BA44" i="2"/>
  <c r="BA48" i="2"/>
  <c r="BA75" i="2"/>
  <c r="BA76" i="2"/>
  <c r="BA80" i="2"/>
  <c r="BA107" i="2"/>
  <c r="BA108" i="2"/>
  <c r="BA112" i="2"/>
  <c r="BA139" i="2"/>
  <c r="BA140" i="2"/>
  <c r="BA144" i="2"/>
  <c r="BA173" i="2"/>
  <c r="BA174" i="2"/>
  <c r="BA210" i="2"/>
  <c r="BA21" i="2"/>
  <c r="BA53" i="2"/>
  <c r="BA85" i="2"/>
  <c r="BA117" i="2"/>
  <c r="BA149" i="2"/>
  <c r="BA177" i="2"/>
  <c r="BA179" i="2"/>
  <c r="BA183" i="2"/>
  <c r="C35" i="6"/>
  <c r="C105" i="6"/>
  <c r="C109" i="6"/>
  <c r="C47" i="6"/>
  <c r="C48" i="6" s="1"/>
  <c r="C49" i="6"/>
  <c r="C51" i="6"/>
  <c r="C121" i="6"/>
  <c r="C58" i="6"/>
  <c r="C65" i="6"/>
  <c r="C42" i="6"/>
  <c r="C53" i="6"/>
  <c r="C68" i="6"/>
  <c r="C110" i="6"/>
  <c r="C124" i="6"/>
  <c r="C43" i="6"/>
  <c r="F32" i="6" s="1"/>
  <c r="C54" i="6"/>
  <c r="C72" i="6"/>
  <c r="C111" i="6"/>
  <c r="C125" i="6"/>
  <c r="C131" i="6"/>
  <c r="C132" i="6" s="1"/>
  <c r="C55" i="6"/>
  <c r="C113" i="6"/>
  <c r="U102" i="6" s="1"/>
  <c r="C126" i="6"/>
  <c r="C133" i="6"/>
  <c r="C147" i="6"/>
  <c r="C57" i="6"/>
  <c r="AA46" i="6" s="1"/>
  <c r="C79" i="6"/>
  <c r="C103" i="6"/>
  <c r="C104" i="6" s="1"/>
  <c r="C114" i="6"/>
  <c r="C128" i="6"/>
  <c r="C135" i="6"/>
  <c r="C154" i="6"/>
  <c r="C139" i="6"/>
  <c r="C155" i="6"/>
  <c r="U144" i="6" s="1"/>
  <c r="C106" i="6"/>
  <c r="C117" i="6"/>
  <c r="C118" i="6" s="1"/>
  <c r="C140" i="6"/>
  <c r="C50" i="6"/>
  <c r="C64" i="6"/>
  <c r="C107" i="6"/>
  <c r="C120" i="6"/>
  <c r="C141" i="6"/>
  <c r="U130" i="6" s="1"/>
  <c r="R60" i="6"/>
  <c r="AG60" i="6"/>
  <c r="I60" i="6"/>
  <c r="O60" i="6"/>
  <c r="L60" i="6"/>
  <c r="AD60" i="6"/>
  <c r="F60" i="6"/>
  <c r="AA60" i="6"/>
  <c r="X60" i="6"/>
  <c r="U60" i="6"/>
  <c r="C94" i="6"/>
  <c r="C36" i="6"/>
  <c r="C44" i="6"/>
  <c r="C66" i="6"/>
  <c r="C81" i="6"/>
  <c r="C96" i="6"/>
  <c r="C148" i="6"/>
  <c r="C156" i="6"/>
  <c r="C37" i="6"/>
  <c r="C52" i="6"/>
  <c r="C67" i="6"/>
  <c r="C82" i="6"/>
  <c r="C89" i="6"/>
  <c r="C90" i="6" s="1"/>
  <c r="C97" i="6"/>
  <c r="C112" i="6"/>
  <c r="C119" i="6"/>
  <c r="C127" i="6"/>
  <c r="C134" i="6"/>
  <c r="C142" i="6"/>
  <c r="C149" i="6"/>
  <c r="C39" i="6"/>
  <c r="C61" i="6"/>
  <c r="C62" i="6" s="1"/>
  <c r="C69" i="6"/>
  <c r="C84" i="6"/>
  <c r="C91" i="6"/>
  <c r="C99" i="6"/>
  <c r="C136" i="6"/>
  <c r="C151" i="6"/>
  <c r="C80" i="6"/>
  <c r="C95" i="6"/>
  <c r="C38" i="6"/>
  <c r="C75" i="6"/>
  <c r="C76" i="6" s="1"/>
  <c r="C83" i="6"/>
  <c r="C98" i="6"/>
  <c r="C40" i="6"/>
  <c r="C70" i="6"/>
  <c r="C77" i="6"/>
  <c r="C85" i="6"/>
  <c r="C92" i="6"/>
  <c r="C100" i="6"/>
  <c r="C122" i="6"/>
  <c r="C137" i="6"/>
  <c r="C152" i="6"/>
  <c r="C150" i="6"/>
  <c r="C33" i="6"/>
  <c r="C34" i="6" s="1"/>
  <c r="C63" i="6"/>
  <c r="C78" i="6"/>
  <c r="C145" i="6"/>
  <c r="C146" i="6" s="1"/>
  <c r="C25" i="6"/>
  <c r="C26" i="6"/>
  <c r="C27" i="6"/>
  <c r="C30" i="6"/>
  <c r="C19" i="6"/>
  <c r="C20" i="6" s="1"/>
  <c r="C22" i="6"/>
  <c r="C23" i="6"/>
  <c r="C28" i="6"/>
  <c r="C21" i="6"/>
  <c r="C29" i="6"/>
  <c r="AG4" i="6"/>
  <c r="AG8" i="6"/>
  <c r="AG5" i="6"/>
  <c r="AG9" i="6"/>
  <c r="AG15" i="6" s="1"/>
  <c r="L15" i="6"/>
  <c r="L145" i="6" s="1"/>
  <c r="L16" i="6"/>
  <c r="L48" i="6" s="1"/>
  <c r="F12" i="6"/>
  <c r="L13" i="6"/>
  <c r="F15" i="6"/>
  <c r="AD15" i="6"/>
  <c r="F16" i="6"/>
  <c r="AD16" i="6"/>
  <c r="O15" i="6"/>
  <c r="R15" i="6"/>
  <c r="AA15" i="6"/>
  <c r="AA33" i="6" s="1"/>
  <c r="AA16" i="6"/>
  <c r="E9" i="4"/>
  <c r="AD14" i="6"/>
  <c r="X15" i="6"/>
  <c r="R16" i="6"/>
  <c r="X16" i="6"/>
  <c r="X48" i="6" s="1"/>
  <c r="O13" i="6"/>
  <c r="I15" i="6"/>
  <c r="I16" i="6"/>
  <c r="U15" i="6"/>
  <c r="U145" i="6" s="1"/>
  <c r="O16" i="6"/>
  <c r="O48" i="6" s="1"/>
  <c r="U16" i="6"/>
  <c r="R13" i="6"/>
  <c r="AD11" i="6"/>
  <c r="X12" i="6"/>
  <c r="AA11" i="6"/>
  <c r="AA12" i="6"/>
  <c r="U14" i="6"/>
  <c r="U13" i="6"/>
  <c r="X14" i="6"/>
  <c r="X13" i="6"/>
  <c r="L14" i="6"/>
  <c r="I12" i="6"/>
  <c r="I11" i="6"/>
  <c r="AA14" i="6"/>
  <c r="AA13" i="6"/>
  <c r="F14" i="6"/>
  <c r="F13" i="6"/>
  <c r="L12" i="6"/>
  <c r="L11" i="6"/>
  <c r="O12" i="6"/>
  <c r="O11" i="6"/>
  <c r="I14" i="6"/>
  <c r="I13" i="6"/>
  <c r="R12" i="6"/>
  <c r="R11" i="6"/>
  <c r="F11" i="6"/>
  <c r="U12" i="6"/>
  <c r="U11" i="6"/>
  <c r="O14" i="6"/>
  <c r="AD13" i="6"/>
  <c r="E7" i="4" l="1"/>
  <c r="B13" i="4" s="1"/>
  <c r="B15" i="4" s="1"/>
  <c r="B20" i="4" s="1"/>
  <c r="E5" i="4"/>
  <c r="E6" i="4"/>
  <c r="E4" i="4"/>
  <c r="X102" i="6"/>
  <c r="L102" i="6"/>
  <c r="AG13" i="6"/>
  <c r="AG11" i="6"/>
  <c r="L47" i="6"/>
  <c r="L49" i="6" s="1"/>
  <c r="L131" i="6"/>
  <c r="O102" i="6"/>
  <c r="AA144" i="6"/>
  <c r="AD144" i="6"/>
  <c r="X144" i="6"/>
  <c r="I144" i="6"/>
  <c r="AD46" i="6"/>
  <c r="U104" i="6"/>
  <c r="R104" i="6"/>
  <c r="AD130" i="6"/>
  <c r="I130" i="6"/>
  <c r="L46" i="6"/>
  <c r="AG89" i="6"/>
  <c r="X51" i="6"/>
  <c r="X53" i="6" s="1"/>
  <c r="AD52" i="6"/>
  <c r="AD54" i="6" s="1"/>
  <c r="X131" i="6"/>
  <c r="X46" i="6"/>
  <c r="AG144" i="6"/>
  <c r="F144" i="6"/>
  <c r="AG46" i="6"/>
  <c r="F46" i="6"/>
  <c r="U32" i="6"/>
  <c r="F19" i="6"/>
  <c r="R47" i="6"/>
  <c r="X32" i="6"/>
  <c r="O89" i="6"/>
  <c r="L89" i="6"/>
  <c r="F130" i="6"/>
  <c r="L32" i="6"/>
  <c r="R32" i="6"/>
  <c r="O32" i="6"/>
  <c r="I61" i="6"/>
  <c r="AA118" i="6"/>
  <c r="AG32" i="6"/>
  <c r="AA130" i="6"/>
  <c r="I46" i="6"/>
  <c r="U46" i="6"/>
  <c r="AA102" i="6"/>
  <c r="F102" i="6"/>
  <c r="I102" i="6"/>
  <c r="AG102" i="6"/>
  <c r="AD102" i="6"/>
  <c r="R102" i="6"/>
  <c r="I32" i="6"/>
  <c r="AA32" i="6"/>
  <c r="AD32" i="6"/>
  <c r="AG130" i="6"/>
  <c r="O130" i="6"/>
  <c r="L130" i="6"/>
  <c r="R130" i="6"/>
  <c r="X130" i="6"/>
  <c r="L144" i="6"/>
  <c r="R144" i="6"/>
  <c r="O144" i="6"/>
  <c r="O46" i="6"/>
  <c r="R46" i="6"/>
  <c r="U74" i="6"/>
  <c r="X74" i="6"/>
  <c r="R74" i="6"/>
  <c r="L74" i="6"/>
  <c r="AA74" i="6"/>
  <c r="O74" i="6"/>
  <c r="AG74" i="6"/>
  <c r="I74" i="6"/>
  <c r="AD74" i="6"/>
  <c r="F74" i="6"/>
  <c r="AD76" i="6"/>
  <c r="I104" i="6"/>
  <c r="AD19" i="6"/>
  <c r="AD116" i="6"/>
  <c r="F116" i="6"/>
  <c r="U116" i="6"/>
  <c r="AA116" i="6"/>
  <c r="AG116" i="6"/>
  <c r="I116" i="6"/>
  <c r="X116" i="6"/>
  <c r="R116" i="6"/>
  <c r="O116" i="6"/>
  <c r="L116" i="6"/>
  <c r="X88" i="6"/>
  <c r="U88" i="6"/>
  <c r="O88" i="6"/>
  <c r="AD88" i="6"/>
  <c r="F88" i="6"/>
  <c r="R88" i="6"/>
  <c r="L88" i="6"/>
  <c r="AG88" i="6"/>
  <c r="I88" i="6"/>
  <c r="AA88" i="6"/>
  <c r="F20" i="6"/>
  <c r="AG18" i="6"/>
  <c r="I18" i="6"/>
  <c r="AD18" i="6"/>
  <c r="F18" i="6"/>
  <c r="AA18" i="6"/>
  <c r="X18" i="6"/>
  <c r="U18" i="6"/>
  <c r="R18" i="6"/>
  <c r="O18" i="6"/>
  <c r="L18" i="6"/>
  <c r="AG12" i="6"/>
  <c r="AG14" i="6"/>
  <c r="AG16" i="6"/>
  <c r="AG34" i="6" s="1"/>
  <c r="L61" i="6"/>
  <c r="L103" i="6"/>
  <c r="L33" i="6"/>
  <c r="L75" i="6"/>
  <c r="L117" i="6"/>
  <c r="L19" i="6"/>
  <c r="L118" i="6"/>
  <c r="L132" i="6"/>
  <c r="L90" i="6"/>
  <c r="L62" i="6"/>
  <c r="L146" i="6"/>
  <c r="L76" i="6"/>
  <c r="L104" i="6"/>
  <c r="L34" i="6"/>
  <c r="L20" i="6"/>
  <c r="F61" i="6"/>
  <c r="F108" i="6"/>
  <c r="F110" i="6" s="1"/>
  <c r="F34" i="6"/>
  <c r="AG61" i="6"/>
  <c r="F47" i="6"/>
  <c r="O33" i="6"/>
  <c r="U146" i="6"/>
  <c r="U147" i="6" s="1"/>
  <c r="AG145" i="6"/>
  <c r="U62" i="6"/>
  <c r="U76" i="6"/>
  <c r="O61" i="6"/>
  <c r="O103" i="6"/>
  <c r="O75" i="6"/>
  <c r="O131" i="6"/>
  <c r="R117" i="6"/>
  <c r="AD103" i="6"/>
  <c r="O47" i="6"/>
  <c r="O49" i="6" s="1"/>
  <c r="O145" i="6"/>
  <c r="AD117" i="6"/>
  <c r="AD75" i="6"/>
  <c r="O117" i="6"/>
  <c r="AG103" i="6"/>
  <c r="AD145" i="6"/>
  <c r="O19" i="6"/>
  <c r="AD104" i="6"/>
  <c r="F33" i="6"/>
  <c r="AD62" i="6"/>
  <c r="F103" i="6"/>
  <c r="R61" i="6"/>
  <c r="R33" i="6"/>
  <c r="R131" i="6"/>
  <c r="R145" i="6"/>
  <c r="R75" i="6"/>
  <c r="R19" i="6"/>
  <c r="F132" i="6"/>
  <c r="AD38" i="6"/>
  <c r="AD40" i="6" s="1"/>
  <c r="AG19" i="6"/>
  <c r="U20" i="6"/>
  <c r="AD89" i="6"/>
  <c r="I146" i="6"/>
  <c r="AD20" i="6"/>
  <c r="F118" i="6"/>
  <c r="AG33" i="6"/>
  <c r="AG117" i="6"/>
  <c r="U34" i="6"/>
  <c r="U132" i="6"/>
  <c r="AD131" i="6"/>
  <c r="F145" i="6"/>
  <c r="AD34" i="6"/>
  <c r="F76" i="6"/>
  <c r="F146" i="6"/>
  <c r="AG131" i="6"/>
  <c r="U48" i="6"/>
  <c r="F117" i="6"/>
  <c r="F75" i="6"/>
  <c r="AD118" i="6"/>
  <c r="F104" i="6"/>
  <c r="F90" i="6"/>
  <c r="AD146" i="6"/>
  <c r="F48" i="6"/>
  <c r="AG75" i="6"/>
  <c r="U90" i="6"/>
  <c r="AD90" i="6"/>
  <c r="AG47" i="6"/>
  <c r="U118" i="6"/>
  <c r="AD33" i="6"/>
  <c r="F89" i="6"/>
  <c r="AD48" i="6"/>
  <c r="F62" i="6"/>
  <c r="AD61" i="6"/>
  <c r="AD47" i="6"/>
  <c r="AD132" i="6"/>
  <c r="F131" i="6"/>
  <c r="R146" i="6"/>
  <c r="B12" i="4"/>
  <c r="B14" i="4" s="1"/>
  <c r="AD23" i="6"/>
  <c r="AD25" i="6" s="1"/>
  <c r="AA48" i="6"/>
  <c r="AA76" i="6"/>
  <c r="I19" i="6"/>
  <c r="AA146" i="6"/>
  <c r="AA132" i="6"/>
  <c r="R89" i="6"/>
  <c r="AA90" i="6"/>
  <c r="AA20" i="6"/>
  <c r="AA62" i="6"/>
  <c r="R103" i="6"/>
  <c r="AA104" i="6"/>
  <c r="I75" i="6"/>
  <c r="AA34" i="6"/>
  <c r="O146" i="6"/>
  <c r="R20" i="6"/>
  <c r="R90" i="6"/>
  <c r="AD122" i="6"/>
  <c r="AD124" i="6" s="1"/>
  <c r="X19" i="6"/>
  <c r="X61" i="6"/>
  <c r="X89" i="6"/>
  <c r="X75" i="6"/>
  <c r="AD108" i="6"/>
  <c r="AD110" i="6" s="1"/>
  <c r="X47" i="6"/>
  <c r="X145" i="6"/>
  <c r="AD66" i="6"/>
  <c r="AD68" i="6" s="1"/>
  <c r="X103" i="6"/>
  <c r="AA131" i="6"/>
  <c r="X33" i="6"/>
  <c r="X117" i="6"/>
  <c r="AA19" i="6"/>
  <c r="AA61" i="6"/>
  <c r="I62" i="6"/>
  <c r="X20" i="6"/>
  <c r="AA75" i="6"/>
  <c r="I48" i="6"/>
  <c r="AA117" i="6"/>
  <c r="B11" i="4"/>
  <c r="AA89" i="6"/>
  <c r="AA103" i="6"/>
  <c r="I118" i="6"/>
  <c r="AA47" i="6"/>
  <c r="AA145" i="6"/>
  <c r="U103" i="6"/>
  <c r="I33" i="6"/>
  <c r="O132" i="6"/>
  <c r="I103" i="6"/>
  <c r="O20" i="6"/>
  <c r="I47" i="6"/>
  <c r="I131" i="6"/>
  <c r="R48" i="6"/>
  <c r="O104" i="6"/>
  <c r="I117" i="6"/>
  <c r="O62" i="6"/>
  <c r="I89" i="6"/>
  <c r="I145" i="6"/>
  <c r="R62" i="6"/>
  <c r="O76" i="6"/>
  <c r="O118" i="6"/>
  <c r="O34" i="6"/>
  <c r="R132" i="6"/>
  <c r="O90" i="6"/>
  <c r="U75" i="6"/>
  <c r="U47" i="6"/>
  <c r="R118" i="6"/>
  <c r="U19" i="6"/>
  <c r="U117" i="6"/>
  <c r="AD136" i="6"/>
  <c r="AD138" i="6" s="1"/>
  <c r="I20" i="6"/>
  <c r="X104" i="6"/>
  <c r="X90" i="6"/>
  <c r="R76" i="6"/>
  <c r="U61" i="6"/>
  <c r="U131" i="6"/>
  <c r="X23" i="6"/>
  <c r="X25" i="6" s="1"/>
  <c r="AD94" i="6"/>
  <c r="AD96" i="6" s="1"/>
  <c r="AD150" i="6"/>
  <c r="AD152" i="6" s="1"/>
  <c r="I34" i="6"/>
  <c r="X132" i="6"/>
  <c r="X146" i="6"/>
  <c r="U89" i="6"/>
  <c r="AD24" i="6"/>
  <c r="AD26" i="6" s="1"/>
  <c r="F136" i="6"/>
  <c r="F138" i="6" s="1"/>
  <c r="I132" i="6"/>
  <c r="X62" i="6"/>
  <c r="X76" i="6"/>
  <c r="U33" i="6"/>
  <c r="AD80" i="6"/>
  <c r="AD82" i="6" s="1"/>
  <c r="I90" i="6"/>
  <c r="I76" i="6"/>
  <c r="X34" i="6"/>
  <c r="X118" i="6"/>
  <c r="R34" i="6"/>
  <c r="AD107" i="6"/>
  <c r="AD109" i="6" s="1"/>
  <c r="F150" i="6"/>
  <c r="F152" i="6" s="1"/>
  <c r="X121" i="6"/>
  <c r="X123" i="6" s="1"/>
  <c r="AD65" i="6"/>
  <c r="AD67" i="6" s="1"/>
  <c r="X79" i="6"/>
  <c r="X81" i="6" s="1"/>
  <c r="AD121" i="6"/>
  <c r="AD123" i="6" s="1"/>
  <c r="X93" i="6"/>
  <c r="X95" i="6" s="1"/>
  <c r="X135" i="6"/>
  <c r="X137" i="6" s="1"/>
  <c r="F80" i="6"/>
  <c r="F82" i="6" s="1"/>
  <c r="F38" i="6"/>
  <c r="F40" i="6" s="1"/>
  <c r="F122" i="6"/>
  <c r="F124" i="6" s="1"/>
  <c r="R122" i="6"/>
  <c r="R124" i="6" s="1"/>
  <c r="R80" i="6"/>
  <c r="R82" i="6" s="1"/>
  <c r="R66" i="6"/>
  <c r="R68" i="6" s="1"/>
  <c r="R150" i="6"/>
  <c r="R152" i="6" s="1"/>
  <c r="R52" i="6"/>
  <c r="R54" i="6" s="1"/>
  <c r="R136" i="6"/>
  <c r="R138" i="6" s="1"/>
  <c r="R38" i="6"/>
  <c r="R40" i="6" s="1"/>
  <c r="R108" i="6"/>
  <c r="R110" i="6" s="1"/>
  <c r="R94" i="6"/>
  <c r="R96" i="6" s="1"/>
  <c r="R24" i="6"/>
  <c r="R26" i="6" s="1"/>
  <c r="R149" i="6"/>
  <c r="R151" i="6" s="1"/>
  <c r="R121" i="6"/>
  <c r="R123" i="6" s="1"/>
  <c r="R107" i="6"/>
  <c r="R109" i="6" s="1"/>
  <c r="R37" i="6"/>
  <c r="R39" i="6" s="1"/>
  <c r="R23" i="6"/>
  <c r="R25" i="6" s="1"/>
  <c r="R65" i="6"/>
  <c r="R67" i="6" s="1"/>
  <c r="R79" i="6"/>
  <c r="R81" i="6" s="1"/>
  <c r="R135" i="6"/>
  <c r="R137" i="6" s="1"/>
  <c r="R93" i="6"/>
  <c r="R95" i="6" s="1"/>
  <c r="R51" i="6"/>
  <c r="R53" i="6" s="1"/>
  <c r="AD93" i="6"/>
  <c r="AD95" i="6" s="1"/>
  <c r="L79" i="6"/>
  <c r="L81" i="6" s="1"/>
  <c r="L149" i="6"/>
  <c r="L151" i="6" s="1"/>
  <c r="L135" i="6"/>
  <c r="L137" i="6" s="1"/>
  <c r="L121" i="6"/>
  <c r="L123" i="6" s="1"/>
  <c r="L51" i="6"/>
  <c r="L53" i="6" s="1"/>
  <c r="L37" i="6"/>
  <c r="L39" i="6" s="1"/>
  <c r="L65" i="6"/>
  <c r="L67" i="6" s="1"/>
  <c r="L23" i="6"/>
  <c r="L25" i="6" s="1"/>
  <c r="L107" i="6"/>
  <c r="L109" i="6" s="1"/>
  <c r="L93" i="6"/>
  <c r="L95" i="6" s="1"/>
  <c r="I150" i="6"/>
  <c r="I152" i="6" s="1"/>
  <c r="I122" i="6"/>
  <c r="I124" i="6" s="1"/>
  <c r="I108" i="6"/>
  <c r="I110" i="6" s="1"/>
  <c r="I38" i="6"/>
  <c r="I40" i="6" s="1"/>
  <c r="I24" i="6"/>
  <c r="I26" i="6" s="1"/>
  <c r="I80" i="6"/>
  <c r="I82" i="6" s="1"/>
  <c r="I66" i="6"/>
  <c r="I68" i="6" s="1"/>
  <c r="I136" i="6"/>
  <c r="I138" i="6" s="1"/>
  <c r="I94" i="6"/>
  <c r="I96" i="6" s="1"/>
  <c r="I52" i="6"/>
  <c r="I54" i="6" s="1"/>
  <c r="F52" i="6"/>
  <c r="F54" i="6" s="1"/>
  <c r="X94" i="6"/>
  <c r="X96" i="6" s="1"/>
  <c r="X150" i="6"/>
  <c r="X152" i="6" s="1"/>
  <c r="X122" i="6"/>
  <c r="X124" i="6" s="1"/>
  <c r="X80" i="6"/>
  <c r="X82" i="6" s="1"/>
  <c r="X66" i="6"/>
  <c r="X68" i="6" s="1"/>
  <c r="X52" i="6"/>
  <c r="X54" i="6" s="1"/>
  <c r="X38" i="6"/>
  <c r="X40" i="6" s="1"/>
  <c r="X136" i="6"/>
  <c r="X138" i="6" s="1"/>
  <c r="X24" i="6"/>
  <c r="X26" i="6" s="1"/>
  <c r="X108" i="6"/>
  <c r="X110" i="6" s="1"/>
  <c r="AD79" i="6"/>
  <c r="AD81" i="6" s="1"/>
  <c r="L150" i="6"/>
  <c r="L152" i="6" s="1"/>
  <c r="L108" i="6"/>
  <c r="L110" i="6" s="1"/>
  <c r="L94" i="6"/>
  <c r="L96" i="6" s="1"/>
  <c r="L24" i="6"/>
  <c r="L26" i="6" s="1"/>
  <c r="L122" i="6"/>
  <c r="L124" i="6" s="1"/>
  <c r="L80" i="6"/>
  <c r="L82" i="6" s="1"/>
  <c r="L66" i="6"/>
  <c r="L68" i="6" s="1"/>
  <c r="L136" i="6"/>
  <c r="L138" i="6" s="1"/>
  <c r="L52" i="6"/>
  <c r="L54" i="6" s="1"/>
  <c r="L38" i="6"/>
  <c r="L40" i="6" s="1"/>
  <c r="AD135" i="6"/>
  <c r="AD137" i="6" s="1"/>
  <c r="F107" i="6"/>
  <c r="F109" i="6" s="1"/>
  <c r="F65" i="6"/>
  <c r="F67" i="6" s="1"/>
  <c r="F149" i="6"/>
  <c r="F151" i="6" s="1"/>
  <c r="F135" i="6"/>
  <c r="F137" i="6" s="1"/>
  <c r="F121" i="6"/>
  <c r="F123" i="6" s="1"/>
  <c r="F51" i="6"/>
  <c r="F53" i="6" s="1"/>
  <c r="F37" i="6"/>
  <c r="F39" i="6" s="1"/>
  <c r="F23" i="6"/>
  <c r="F25" i="6" s="1"/>
  <c r="F79" i="6"/>
  <c r="F81" i="6" s="1"/>
  <c r="F93" i="6"/>
  <c r="F95" i="6" s="1"/>
  <c r="F94" i="6"/>
  <c r="F96" i="6" s="1"/>
  <c r="X107" i="6"/>
  <c r="X109" i="6" s="1"/>
  <c r="U149" i="6"/>
  <c r="U151" i="6" s="1"/>
  <c r="U107" i="6"/>
  <c r="U109" i="6" s="1"/>
  <c r="U93" i="6"/>
  <c r="U95" i="6" s="1"/>
  <c r="U23" i="6"/>
  <c r="U25" i="6" s="1"/>
  <c r="U65" i="6"/>
  <c r="U67" i="6" s="1"/>
  <c r="U79" i="6"/>
  <c r="U81" i="6" s="1"/>
  <c r="U135" i="6"/>
  <c r="U137" i="6" s="1"/>
  <c r="U51" i="6"/>
  <c r="U53" i="6" s="1"/>
  <c r="U37" i="6"/>
  <c r="U39" i="6" s="1"/>
  <c r="U121" i="6"/>
  <c r="U123" i="6" s="1"/>
  <c r="I93" i="6"/>
  <c r="I95" i="6" s="1"/>
  <c r="I149" i="6"/>
  <c r="I151" i="6" s="1"/>
  <c r="I121" i="6"/>
  <c r="I123" i="6" s="1"/>
  <c r="I51" i="6"/>
  <c r="I53" i="6" s="1"/>
  <c r="I37" i="6"/>
  <c r="I39" i="6" s="1"/>
  <c r="I65" i="6"/>
  <c r="I67" i="6" s="1"/>
  <c r="I23" i="6"/>
  <c r="I25" i="6" s="1"/>
  <c r="I135" i="6"/>
  <c r="I137" i="6" s="1"/>
  <c r="I79" i="6"/>
  <c r="I81" i="6" s="1"/>
  <c r="I107" i="6"/>
  <c r="I109" i="6" s="1"/>
  <c r="AD149" i="6"/>
  <c r="AD151" i="6" s="1"/>
  <c r="X65" i="6"/>
  <c r="X67" i="6" s="1"/>
  <c r="AD37" i="6"/>
  <c r="AD39" i="6" s="1"/>
  <c r="U108" i="6"/>
  <c r="U110" i="6" s="1"/>
  <c r="U66" i="6"/>
  <c r="U68" i="6" s="1"/>
  <c r="U150" i="6"/>
  <c r="U152" i="6" s="1"/>
  <c r="U136" i="6"/>
  <c r="U138" i="6" s="1"/>
  <c r="U122" i="6"/>
  <c r="U124" i="6" s="1"/>
  <c r="U80" i="6"/>
  <c r="U82" i="6" s="1"/>
  <c r="U52" i="6"/>
  <c r="U54" i="6" s="1"/>
  <c r="U38" i="6"/>
  <c r="U40" i="6" s="1"/>
  <c r="U94" i="6"/>
  <c r="U96" i="6" s="1"/>
  <c r="U24" i="6"/>
  <c r="U26" i="6" s="1"/>
  <c r="O65" i="6"/>
  <c r="O67" i="6" s="1"/>
  <c r="O149" i="6"/>
  <c r="O151" i="6" s="1"/>
  <c r="O135" i="6"/>
  <c r="O137" i="6" s="1"/>
  <c r="O121" i="6"/>
  <c r="O123" i="6" s="1"/>
  <c r="O51" i="6"/>
  <c r="O53" i="6" s="1"/>
  <c r="O37" i="6"/>
  <c r="O39" i="6" s="1"/>
  <c r="O23" i="6"/>
  <c r="O25" i="6" s="1"/>
  <c r="O79" i="6"/>
  <c r="O81" i="6" s="1"/>
  <c r="O107" i="6"/>
  <c r="O109" i="6" s="1"/>
  <c r="O93" i="6"/>
  <c r="O95" i="6" s="1"/>
  <c r="AA80" i="6"/>
  <c r="AA82" i="6" s="1"/>
  <c r="AA150" i="6"/>
  <c r="AA152" i="6" s="1"/>
  <c r="AA136" i="6"/>
  <c r="AA138" i="6" s="1"/>
  <c r="AA122" i="6"/>
  <c r="AA124" i="6" s="1"/>
  <c r="AA66" i="6"/>
  <c r="AA68" i="6" s="1"/>
  <c r="AA52" i="6"/>
  <c r="AA54" i="6" s="1"/>
  <c r="AA38" i="6"/>
  <c r="AA40" i="6" s="1"/>
  <c r="AA24" i="6"/>
  <c r="AA26" i="6" s="1"/>
  <c r="AA108" i="6"/>
  <c r="AA110" i="6" s="1"/>
  <c r="AA94" i="6"/>
  <c r="AA96" i="6" s="1"/>
  <c r="AD51" i="6"/>
  <c r="AD53" i="6" s="1"/>
  <c r="O150" i="6"/>
  <c r="O152" i="6" s="1"/>
  <c r="O136" i="6"/>
  <c r="O138" i="6" s="1"/>
  <c r="O94" i="6"/>
  <c r="O96" i="6" s="1"/>
  <c r="O80" i="6"/>
  <c r="O82" i="6" s="1"/>
  <c r="O122" i="6"/>
  <c r="O124" i="6" s="1"/>
  <c r="O66" i="6"/>
  <c r="O68" i="6" s="1"/>
  <c r="O52" i="6"/>
  <c r="O54" i="6" s="1"/>
  <c r="O38" i="6"/>
  <c r="O40" i="6" s="1"/>
  <c r="O108" i="6"/>
  <c r="O110" i="6" s="1"/>
  <c r="O24" i="6"/>
  <c r="O26" i="6" s="1"/>
  <c r="F24" i="6"/>
  <c r="F26" i="6" s="1"/>
  <c r="F66" i="6"/>
  <c r="F68" i="6" s="1"/>
  <c r="AA121" i="6"/>
  <c r="AA123" i="6" s="1"/>
  <c r="AA79" i="6"/>
  <c r="AA81" i="6" s="1"/>
  <c r="AA65" i="6"/>
  <c r="AA67" i="6" s="1"/>
  <c r="AA149" i="6"/>
  <c r="AA151" i="6" s="1"/>
  <c r="AA135" i="6"/>
  <c r="AA137" i="6" s="1"/>
  <c r="AA107" i="6"/>
  <c r="AA109" i="6" s="1"/>
  <c r="AA93" i="6"/>
  <c r="AA95" i="6" s="1"/>
  <c r="AA51" i="6"/>
  <c r="AA53" i="6" s="1"/>
  <c r="AA37" i="6"/>
  <c r="AA39" i="6" s="1"/>
  <c r="AA23" i="6"/>
  <c r="AA25" i="6" s="1"/>
  <c r="X37" i="6"/>
  <c r="X39" i="6" s="1"/>
  <c r="X149" i="6"/>
  <c r="X151" i="6" s="1"/>
  <c r="AG79" i="6" l="1"/>
  <c r="AG81" i="6" s="1"/>
  <c r="AG107" i="6"/>
  <c r="AG109" i="6" s="1"/>
  <c r="AG121" i="6"/>
  <c r="AG123" i="6" s="1"/>
  <c r="AG37" i="6"/>
  <c r="AG39" i="6" s="1"/>
  <c r="AG132" i="6"/>
  <c r="AG133" i="6" s="1"/>
  <c r="AG146" i="6"/>
  <c r="AG147" i="6" s="1"/>
  <c r="AG135" i="6"/>
  <c r="AG137" i="6" s="1"/>
  <c r="AG51" i="6"/>
  <c r="AG53" i="6" s="1"/>
  <c r="AG93" i="6"/>
  <c r="AG95" i="6" s="1"/>
  <c r="AG90" i="6"/>
  <c r="AG91" i="6" s="1"/>
  <c r="AG65" i="6"/>
  <c r="AG67" i="6" s="1"/>
  <c r="AG149" i="6"/>
  <c r="AG151" i="6" s="1"/>
  <c r="AG76" i="6"/>
  <c r="AG77" i="6" s="1"/>
  <c r="AG23" i="6"/>
  <c r="AG25" i="6" s="1"/>
  <c r="AG20" i="6"/>
  <c r="AG21" i="6" s="1"/>
  <c r="AG24" i="6"/>
  <c r="AG26" i="6" s="1"/>
  <c r="AG150" i="6"/>
  <c r="AG152" i="6" s="1"/>
  <c r="AG94" i="6"/>
  <c r="AG96" i="6" s="1"/>
  <c r="AG38" i="6"/>
  <c r="AG40" i="6" s="1"/>
  <c r="AG66" i="6"/>
  <c r="AG68" i="6" s="1"/>
  <c r="AG80" i="6"/>
  <c r="AG82" i="6" s="1"/>
  <c r="AG108" i="6"/>
  <c r="AG110" i="6" s="1"/>
  <c r="AG52" i="6"/>
  <c r="AG54" i="6" s="1"/>
  <c r="AG122" i="6"/>
  <c r="AG124" i="6" s="1"/>
  <c r="AG136" i="6"/>
  <c r="AG138" i="6" s="1"/>
  <c r="AG104" i="6"/>
  <c r="AG105" i="6" s="1"/>
  <c r="AG48" i="6"/>
  <c r="AG49" i="6" s="1"/>
  <c r="AG118" i="6"/>
  <c r="AG119" i="6" s="1"/>
  <c r="U105" i="6"/>
  <c r="U111" i="6" s="1"/>
  <c r="U112" i="6" s="1"/>
  <c r="N9" i="5" s="1"/>
  <c r="O91" i="6"/>
  <c r="O97" i="6" s="1"/>
  <c r="AA119" i="6"/>
  <c r="AA125" i="6" s="1"/>
  <c r="L147" i="6"/>
  <c r="L153" i="6" s="1"/>
  <c r="I63" i="6"/>
  <c r="I69" i="6" s="1"/>
  <c r="I70" i="6" s="1"/>
  <c r="F6" i="5" s="1"/>
  <c r="L77" i="6"/>
  <c r="L83" i="6" s="1"/>
  <c r="G7" i="5" s="1"/>
  <c r="X49" i="6"/>
  <c r="X55" i="6" s="1"/>
  <c r="X56" i="6" s="1"/>
  <c r="R49" i="6"/>
  <c r="R55" i="6" s="1"/>
  <c r="R56" i="6" s="1"/>
  <c r="L5" i="5" s="1"/>
  <c r="L133" i="6"/>
  <c r="L139" i="6" s="1"/>
  <c r="L140" i="6" s="1"/>
  <c r="H11" i="5" s="1"/>
  <c r="AA35" i="6"/>
  <c r="AA41" i="6" s="1"/>
  <c r="Q4" i="5" s="1"/>
  <c r="L91" i="6"/>
  <c r="L97" i="6" s="1"/>
  <c r="AD21" i="6"/>
  <c r="AD27" i="6" s="1"/>
  <c r="S3" i="5" s="1"/>
  <c r="F49" i="6"/>
  <c r="F55" i="6" s="1"/>
  <c r="C5" i="5" s="1"/>
  <c r="AD77" i="6"/>
  <c r="AD83" i="6" s="1"/>
  <c r="AD84" i="6" s="1"/>
  <c r="T7" i="5" s="1"/>
  <c r="X133" i="6"/>
  <c r="X139" i="6" s="1"/>
  <c r="O11" i="5" s="1"/>
  <c r="AG35" i="6"/>
  <c r="I105" i="6"/>
  <c r="I111" i="6" s="1"/>
  <c r="I112" i="6" s="1"/>
  <c r="F9" i="5" s="1"/>
  <c r="R105" i="6"/>
  <c r="R111" i="6" s="1"/>
  <c r="R112" i="6" s="1"/>
  <c r="L9" i="5" s="1"/>
  <c r="L119" i="6"/>
  <c r="L125" i="6" s="1"/>
  <c r="L126" i="6" s="1"/>
  <c r="H10" i="5" s="1"/>
  <c r="F21" i="6"/>
  <c r="F27" i="6" s="1"/>
  <c r="C3" i="5" s="1"/>
  <c r="AG62" i="6"/>
  <c r="AG63" i="6" s="1"/>
  <c r="L35" i="6"/>
  <c r="L41" i="6" s="1"/>
  <c r="L63" i="6"/>
  <c r="L69" i="6" s="1"/>
  <c r="G6" i="5" s="1"/>
  <c r="L21" i="6"/>
  <c r="L27" i="6" s="1"/>
  <c r="L28" i="6" s="1"/>
  <c r="H3" i="5" s="1"/>
  <c r="L105" i="6"/>
  <c r="L111" i="6" s="1"/>
  <c r="L112" i="6" s="1"/>
  <c r="H9" i="5" s="1"/>
  <c r="U119" i="6"/>
  <c r="U125" i="6" s="1"/>
  <c r="U35" i="6"/>
  <c r="U41" i="6" s="1"/>
  <c r="M4" i="5" s="1"/>
  <c r="F63" i="6"/>
  <c r="F69" i="6" s="1"/>
  <c r="C6" i="5" s="1"/>
  <c r="F35" i="6"/>
  <c r="F41" i="6" s="1"/>
  <c r="C4" i="5" s="1"/>
  <c r="R133" i="6"/>
  <c r="R139" i="6" s="1"/>
  <c r="K11" i="5" s="1"/>
  <c r="U77" i="6"/>
  <c r="U83" i="6" s="1"/>
  <c r="U84" i="6" s="1"/>
  <c r="N7" i="5" s="1"/>
  <c r="O21" i="6"/>
  <c r="O27" i="6" s="1"/>
  <c r="O35" i="6"/>
  <c r="O41" i="6" s="1"/>
  <c r="O42" i="6" s="1"/>
  <c r="J4" i="5" s="1"/>
  <c r="AD105" i="6"/>
  <c r="AD111" i="6" s="1"/>
  <c r="AD112" i="6" s="1"/>
  <c r="T9" i="5" s="1"/>
  <c r="O105" i="6"/>
  <c r="O111" i="6" s="1"/>
  <c r="O112" i="6" s="1"/>
  <c r="J9" i="5" s="1"/>
  <c r="X91" i="6"/>
  <c r="X97" i="6" s="1"/>
  <c r="X98" i="6" s="1"/>
  <c r="P8" i="5" s="1"/>
  <c r="O63" i="6"/>
  <c r="O69" i="6" s="1"/>
  <c r="AD119" i="6"/>
  <c r="AD125" i="6" s="1"/>
  <c r="S10" i="5" s="1"/>
  <c r="F119" i="6"/>
  <c r="F125" i="6" s="1"/>
  <c r="F126" i="6" s="1"/>
  <c r="D10" i="5" s="1"/>
  <c r="O147" i="6"/>
  <c r="O153" i="6" s="1"/>
  <c r="O119" i="6"/>
  <c r="O125" i="6" s="1"/>
  <c r="U63" i="6"/>
  <c r="U69" i="6" s="1"/>
  <c r="R119" i="6"/>
  <c r="R125" i="6" s="1"/>
  <c r="R126" i="6" s="1"/>
  <c r="L10" i="5" s="1"/>
  <c r="O77" i="6"/>
  <c r="O83" i="6" s="1"/>
  <c r="AA77" i="6"/>
  <c r="AA83" i="6" s="1"/>
  <c r="Q7" i="5" s="1"/>
  <c r="U49" i="6"/>
  <c r="U55" i="6" s="1"/>
  <c r="R63" i="6"/>
  <c r="R69" i="6" s="1"/>
  <c r="K6" i="5" s="1"/>
  <c r="I147" i="6"/>
  <c r="I153" i="6" s="1"/>
  <c r="I154" i="6" s="1"/>
  <c r="F12" i="5" s="1"/>
  <c r="AA91" i="6"/>
  <c r="AA97" i="6" s="1"/>
  <c r="O133" i="6"/>
  <c r="O139" i="6" s="1"/>
  <c r="AD35" i="6"/>
  <c r="AD41" i="6" s="1"/>
  <c r="F77" i="6"/>
  <c r="F83" i="6" s="1"/>
  <c r="F84" i="6" s="1"/>
  <c r="D7" i="5" s="1"/>
  <c r="R21" i="6"/>
  <c r="R27" i="6" s="1"/>
  <c r="R28" i="6" s="1"/>
  <c r="L3" i="5" s="1"/>
  <c r="AD63" i="6"/>
  <c r="AD69" i="6" s="1"/>
  <c r="S6" i="5" s="1"/>
  <c r="U133" i="6"/>
  <c r="U139" i="6" s="1"/>
  <c r="U140" i="6" s="1"/>
  <c r="N11" i="5" s="1"/>
  <c r="U21" i="6"/>
  <c r="U27" i="6" s="1"/>
  <c r="M3" i="5" s="1"/>
  <c r="U91" i="6"/>
  <c r="U97" i="6" s="1"/>
  <c r="M8" i="5" s="1"/>
  <c r="R77" i="6"/>
  <c r="R83" i="6" s="1"/>
  <c r="R84" i="6" s="1"/>
  <c r="L7" i="5" s="1"/>
  <c r="R147" i="6"/>
  <c r="R153" i="6" s="1"/>
  <c r="R154" i="6" s="1"/>
  <c r="L12" i="5" s="1"/>
  <c r="F91" i="6"/>
  <c r="F97" i="6" s="1"/>
  <c r="F98" i="6" s="1"/>
  <c r="D8" i="5" s="1"/>
  <c r="AD147" i="6"/>
  <c r="AD153" i="6" s="1"/>
  <c r="AD154" i="6" s="1"/>
  <c r="T12" i="5" s="1"/>
  <c r="F147" i="6"/>
  <c r="F153" i="6" s="1"/>
  <c r="C12" i="5" s="1"/>
  <c r="F133" i="6"/>
  <c r="F139" i="6" s="1"/>
  <c r="C11" i="5" s="1"/>
  <c r="F105" i="6"/>
  <c r="F111" i="6" s="1"/>
  <c r="R35" i="6"/>
  <c r="R41" i="6" s="1"/>
  <c r="AD133" i="6"/>
  <c r="AD139" i="6" s="1"/>
  <c r="AD91" i="6"/>
  <c r="AD97" i="6" s="1"/>
  <c r="AD98" i="6" s="1"/>
  <c r="T8" i="5" s="1"/>
  <c r="AA21" i="6"/>
  <c r="AA27" i="6" s="1"/>
  <c r="AA28" i="6" s="1"/>
  <c r="R3" i="5" s="1"/>
  <c r="R91" i="6"/>
  <c r="R97" i="6" s="1"/>
  <c r="K8" i="5" s="1"/>
  <c r="AD49" i="6"/>
  <c r="AD55" i="6" s="1"/>
  <c r="S5" i="5" s="1"/>
  <c r="AA49" i="6"/>
  <c r="AA55" i="6" s="1"/>
  <c r="I77" i="6"/>
  <c r="I83" i="6" s="1"/>
  <c r="I84" i="6" s="1"/>
  <c r="F7" i="5" s="1"/>
  <c r="X77" i="6"/>
  <c r="X83" i="6" s="1"/>
  <c r="X84" i="6" s="1"/>
  <c r="P7" i="5" s="1"/>
  <c r="B21" i="4"/>
  <c r="AA133" i="6"/>
  <c r="AA139" i="6" s="1"/>
  <c r="AA147" i="6"/>
  <c r="AA153" i="6" s="1"/>
  <c r="X119" i="6"/>
  <c r="X125" i="6" s="1"/>
  <c r="O10" i="5" s="1"/>
  <c r="AA105" i="6"/>
  <c r="AA111" i="6" s="1"/>
  <c r="AA112" i="6" s="1"/>
  <c r="R9" i="5" s="1"/>
  <c r="X21" i="6"/>
  <c r="X27" i="6" s="1"/>
  <c r="X105" i="6"/>
  <c r="X111" i="6" s="1"/>
  <c r="O9" i="5" s="1"/>
  <c r="I21" i="6"/>
  <c r="I27" i="6" s="1"/>
  <c r="AA63" i="6"/>
  <c r="AA69" i="6" s="1"/>
  <c r="AA70" i="6" s="1"/>
  <c r="R6" i="5" s="1"/>
  <c r="I49" i="6"/>
  <c r="I55" i="6" s="1"/>
  <c r="X63" i="6"/>
  <c r="X69" i="6" s="1"/>
  <c r="X70" i="6" s="1"/>
  <c r="P6" i="5" s="1"/>
  <c r="X147" i="6"/>
  <c r="X153" i="6" s="1"/>
  <c r="X154" i="6" s="1"/>
  <c r="P12" i="5" s="1"/>
  <c r="I35" i="6"/>
  <c r="I41" i="6" s="1"/>
  <c r="B16" i="4"/>
  <c r="B17" i="4" s="1"/>
  <c r="O55" i="6"/>
  <c r="O56" i="6" s="1"/>
  <c r="J5" i="5" s="1"/>
  <c r="X35" i="6"/>
  <c r="X41" i="6" s="1"/>
  <c r="X42" i="6" s="1"/>
  <c r="P4" i="5" s="1"/>
  <c r="I119" i="6"/>
  <c r="I125" i="6" s="1"/>
  <c r="I91" i="6"/>
  <c r="I97" i="6" s="1"/>
  <c r="I133" i="6"/>
  <c r="I139" i="6" s="1"/>
  <c r="I140" i="6" s="1"/>
  <c r="F11" i="5" s="1"/>
  <c r="L55" i="6"/>
  <c r="U153" i="6"/>
  <c r="AG97" i="6" l="1"/>
  <c r="AG98" i="6" s="1"/>
  <c r="V8" i="5" s="1"/>
  <c r="AG69" i="6"/>
  <c r="U6" i="5" s="1"/>
  <c r="AG55" i="6"/>
  <c r="AG56" i="6" s="1"/>
  <c r="V5" i="5" s="1"/>
  <c r="AG27" i="6"/>
  <c r="U3" i="5" s="1"/>
  <c r="AG153" i="6"/>
  <c r="AG154" i="6" s="1"/>
  <c r="V12" i="5" s="1"/>
  <c r="AG83" i="6"/>
  <c r="AG84" i="6" s="1"/>
  <c r="V7" i="5" s="1"/>
  <c r="AG41" i="6"/>
  <c r="AG42" i="6" s="1"/>
  <c r="V4" i="5" s="1"/>
  <c r="AG125" i="6"/>
  <c r="AG126" i="6" s="1"/>
  <c r="V10" i="5" s="1"/>
  <c r="AG111" i="6"/>
  <c r="U9" i="5" s="1"/>
  <c r="AG139" i="6"/>
  <c r="AG140" i="6" s="1"/>
  <c r="V11" i="5" s="1"/>
  <c r="X140" i="6"/>
  <c r="P11" i="5" s="1"/>
  <c r="F28" i="6"/>
  <c r="D3" i="5" s="1"/>
  <c r="G3" i="5"/>
  <c r="AD56" i="6"/>
  <c r="T5" i="5" s="1"/>
  <c r="F70" i="6"/>
  <c r="D6" i="5" s="1"/>
  <c r="S9" i="5"/>
  <c r="O5" i="5"/>
  <c r="R140" i="6"/>
  <c r="L11" i="5" s="1"/>
  <c r="F56" i="6"/>
  <c r="D5" i="5" s="1"/>
  <c r="AA42" i="6"/>
  <c r="R4" i="5" s="1"/>
  <c r="AD28" i="6"/>
  <c r="T3" i="5" s="1"/>
  <c r="F42" i="6"/>
  <c r="D4" i="5" s="1"/>
  <c r="S8" i="5"/>
  <c r="AD140" i="6"/>
  <c r="T11" i="5" s="1"/>
  <c r="S11" i="5"/>
  <c r="K4" i="5"/>
  <c r="R42" i="6"/>
  <c r="L4" i="5" s="1"/>
  <c r="AA84" i="6"/>
  <c r="R7" i="5" s="1"/>
  <c r="F140" i="6"/>
  <c r="D11" i="5" s="1"/>
  <c r="Q3" i="5"/>
  <c r="L70" i="6"/>
  <c r="H6" i="5" s="1"/>
  <c r="S7" i="5"/>
  <c r="E9" i="5"/>
  <c r="E6" i="5"/>
  <c r="K3" i="5"/>
  <c r="AD70" i="6"/>
  <c r="T6" i="5" s="1"/>
  <c r="AD126" i="6"/>
  <c r="T10" i="5" s="1"/>
  <c r="C8" i="5"/>
  <c r="C10" i="5"/>
  <c r="S12" i="5"/>
  <c r="L84" i="6"/>
  <c r="H7" i="5" s="1"/>
  <c r="X28" i="6"/>
  <c r="P3" i="5" s="1"/>
  <c r="O3" i="5"/>
  <c r="U28" i="6"/>
  <c r="N3" i="5" s="1"/>
  <c r="G9" i="5"/>
  <c r="Q9" i="5"/>
  <c r="K7" i="5"/>
  <c r="E5" i="5"/>
  <c r="I56" i="6"/>
  <c r="F5" i="5" s="1"/>
  <c r="M7" i="5"/>
  <c r="E7" i="5"/>
  <c r="I5" i="5"/>
  <c r="G11" i="5"/>
  <c r="O7" i="5"/>
  <c r="F154" i="6"/>
  <c r="D12" i="5" s="1"/>
  <c r="G10" i="5"/>
  <c r="I42" i="6"/>
  <c r="F4" i="5" s="1"/>
  <c r="E4" i="5"/>
  <c r="K12" i="5"/>
  <c r="Q6" i="5"/>
  <c r="I126" i="6"/>
  <c r="F10" i="5" s="1"/>
  <c r="E10" i="5"/>
  <c r="C7" i="5"/>
  <c r="M9" i="5"/>
  <c r="E11" i="5"/>
  <c r="I9" i="5"/>
  <c r="E12" i="5"/>
  <c r="E8" i="5"/>
  <c r="I98" i="6"/>
  <c r="F8" i="5" s="1"/>
  <c r="K10" i="5"/>
  <c r="X126" i="6"/>
  <c r="P10" i="5" s="1"/>
  <c r="O8" i="5"/>
  <c r="K9" i="5"/>
  <c r="M11" i="5"/>
  <c r="X112" i="6"/>
  <c r="P9" i="5" s="1"/>
  <c r="I4" i="5"/>
  <c r="R70" i="6"/>
  <c r="L6" i="5" s="1"/>
  <c r="O12" i="5"/>
  <c r="U42" i="6"/>
  <c r="N4" i="5" s="1"/>
  <c r="R98" i="6"/>
  <c r="L8" i="5" s="1"/>
  <c r="O4" i="5"/>
  <c r="AD42" i="6"/>
  <c r="T4" i="5" s="1"/>
  <c r="S4" i="5"/>
  <c r="U98" i="6"/>
  <c r="N8" i="5" s="1"/>
  <c r="K5" i="5"/>
  <c r="F112" i="6"/>
  <c r="D9" i="5" s="1"/>
  <c r="C9" i="5"/>
  <c r="M5" i="5"/>
  <c r="U56" i="6"/>
  <c r="N5" i="5" s="1"/>
  <c r="O154" i="6"/>
  <c r="J12" i="5" s="1"/>
  <c r="I12" i="5"/>
  <c r="O84" i="6"/>
  <c r="J7" i="5" s="1"/>
  <c r="I7" i="5"/>
  <c r="P5" i="5"/>
  <c r="O6" i="5"/>
  <c r="L42" i="6"/>
  <c r="H4" i="5" s="1"/>
  <c r="G4" i="5"/>
  <c r="U154" i="6"/>
  <c r="N12" i="5" s="1"/>
  <c r="M12" i="5"/>
  <c r="AA56" i="6"/>
  <c r="R5" i="5" s="1"/>
  <c r="Q5" i="5"/>
  <c r="U70" i="6"/>
  <c r="N6" i="5" s="1"/>
  <c r="M6" i="5"/>
  <c r="O140" i="6"/>
  <c r="J11" i="5" s="1"/>
  <c r="I11" i="5"/>
  <c r="I28" i="6"/>
  <c r="F3" i="5" s="1"/>
  <c r="E3" i="5"/>
  <c r="AA126" i="6"/>
  <c r="R10" i="5" s="1"/>
  <c r="Q10" i="5"/>
  <c r="O126" i="6"/>
  <c r="J10" i="5" s="1"/>
  <c r="I10" i="5"/>
  <c r="O28" i="6"/>
  <c r="J3" i="5" s="1"/>
  <c r="I3" i="5"/>
  <c r="O98" i="6"/>
  <c r="J8" i="5" s="1"/>
  <c r="I8" i="5"/>
  <c r="AA98" i="6"/>
  <c r="R8" i="5" s="1"/>
  <c r="Q8" i="5"/>
  <c r="L154" i="6"/>
  <c r="H12" i="5" s="1"/>
  <c r="G12" i="5"/>
  <c r="L98" i="6"/>
  <c r="H8" i="5" s="1"/>
  <c r="G8" i="5"/>
  <c r="AA154" i="6"/>
  <c r="R12" i="5" s="1"/>
  <c r="Q12" i="5"/>
  <c r="L56" i="6"/>
  <c r="H5" i="5" s="1"/>
  <c r="G5" i="5"/>
  <c r="AA140" i="6"/>
  <c r="R11" i="5" s="1"/>
  <c r="Q11" i="5"/>
  <c r="O70" i="6"/>
  <c r="J6" i="5" s="1"/>
  <c r="I6" i="5"/>
  <c r="U126" i="6"/>
  <c r="N10" i="5" s="1"/>
  <c r="M10" i="5"/>
  <c r="U8" i="5" l="1"/>
  <c r="AG28" i="6"/>
  <c r="V3" i="5" s="1"/>
  <c r="AG70" i="6"/>
  <c r="V6" i="5" s="1"/>
  <c r="U5" i="5"/>
  <c r="U10" i="5"/>
  <c r="U4" i="5"/>
  <c r="AG112" i="6"/>
  <c r="V9" i="5" s="1"/>
  <c r="U12" i="5"/>
  <c r="U7" i="5"/>
  <c r="U1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pedro.sakuma</author>
  </authors>
  <commentList>
    <comment ref="B11" authorId="0" shapeId="0" xr:uid="{00000000-0006-0000-0200-000001000000}">
      <text>
        <r>
          <rPr>
            <b/>
            <sz val="9"/>
            <rFont val="Arial"/>
            <family val="2"/>
          </rPr>
          <t>pedro.sakuma:</t>
        </r>
        <r>
          <rPr>
            <sz val="9"/>
            <rFont val="Arial"/>
            <family val="2"/>
          </rPr>
          <t xml:space="preserve">
Escolhe entre o valor menor:
• Quant. Entradas por MPPT
• Corrente de Curto
• Corrente de Operação + Tolerância</t>
        </r>
      </text>
    </comment>
  </commentList>
</comments>
</file>

<file path=xl/sharedStrings.xml><?xml version="1.0" encoding="utf-8"?>
<sst xmlns="http://schemas.openxmlformats.org/spreadsheetml/2006/main" count="3210" uniqueCount="515">
  <si>
    <t>WPV 550 HMM3</t>
  </si>
  <si>
    <t>BYD550MLK-36</t>
  </si>
  <si>
    <t>JKM555M-72HL4</t>
  </si>
  <si>
    <t>JAM66D42-570/MB</t>
  </si>
  <si>
    <t>CHSM72N(DG)/F-BH-570</t>
  </si>
  <si>
    <t>JKM585N 72HL4-V</t>
  </si>
  <si>
    <t>CHSM78N(DG)/F-BH-635</t>
  </si>
  <si>
    <t>HS-210-B132 DS700</t>
  </si>
  <si>
    <t>TSM-710NEG21C.20</t>
  </si>
  <si>
    <t>RSM144-7-445M</t>
  </si>
  <si>
    <t>Sobrecarga</t>
  </si>
  <si>
    <t>Quantidade Máxima</t>
  </si>
  <si>
    <t>Potência (kWp)</t>
  </si>
  <si>
    <t>SIW300H M030 W00</t>
  </si>
  <si>
    <t>SIW610 T018 W0</t>
  </si>
  <si>
    <t>SIW610 T075 W0</t>
  </si>
  <si>
    <t>SIW500H T025 W00</t>
  </si>
  <si>
    <t>SIW500H ST036 M3</t>
  </si>
  <si>
    <t>SIW500H ST040 M3</t>
  </si>
  <si>
    <t>SIW500H SK020</t>
  </si>
  <si>
    <t>SIW400 T075</t>
  </si>
  <si>
    <t>T5</t>
  </si>
  <si>
    <t>T6</t>
  </si>
  <si>
    <t>Módulos</t>
  </si>
  <si>
    <t>Ambiente</t>
  </si>
  <si>
    <t>Pôtencia</t>
  </si>
  <si>
    <t>Temperatura mínima da célula (°C)</t>
  </si>
  <si>
    <t>Voc (STC)</t>
  </si>
  <si>
    <t>Vpmax (STC)</t>
  </si>
  <si>
    <t>Temperatura máxima da célula (°C)</t>
  </si>
  <si>
    <t>Isc (STC)</t>
  </si>
  <si>
    <t>Ipmax (STC)</t>
  </si>
  <si>
    <t>Coef. Temp Voc</t>
  </si>
  <si>
    <t>Tolerância de potência (%)</t>
  </si>
  <si>
    <t>Coef. Temp Isc</t>
  </si>
  <si>
    <t>Tolerância de corrente de operação (%)</t>
  </si>
  <si>
    <t>Tensão mínima de circuito aberto</t>
  </si>
  <si>
    <t>Tensão máxima de circuito aberto</t>
  </si>
  <si>
    <t>Tensão mínima em máxima potência</t>
  </si>
  <si>
    <t>Tensão máxima em máxima potência</t>
  </si>
  <si>
    <t>Corrente máxima de curto-circuito</t>
  </si>
  <si>
    <t>Corrente máxima em máxima potência</t>
  </si>
  <si>
    <t>INVERSORES</t>
  </si>
  <si>
    <t>Modelo</t>
  </si>
  <si>
    <t>Quant. Entradas por MPPT</t>
  </si>
  <si>
    <t>Potencia Nominal</t>
  </si>
  <si>
    <t>Quant. max por MPPT (Isc)</t>
  </si>
  <si>
    <t>Potência com Sobrecarga</t>
  </si>
  <si>
    <t>Quant. max por MPPT (Ipmax)</t>
  </si>
  <si>
    <t>Tensão mínima de entrada</t>
  </si>
  <si>
    <t>Quant. maxima de séries por MPPT</t>
  </si>
  <si>
    <t>Tensão máxima de entrada</t>
  </si>
  <si>
    <t>Tensão mínima de operação</t>
  </si>
  <si>
    <t>Quant. mínima de módulos (Partida)</t>
  </si>
  <si>
    <t>Tensão máxima de operação</t>
  </si>
  <si>
    <t>Quant. máxima de módulos (Partida)</t>
  </si>
  <si>
    <t>Tensão mínima em FL (220-230Vac)</t>
  </si>
  <si>
    <t>Quant. mínima em FL</t>
  </si>
  <si>
    <t>Tensão máxima em FL (220-230Vac)</t>
  </si>
  <si>
    <t>Quant. máxima em FL</t>
  </si>
  <si>
    <t>Corrente de curto-circuito por MPPT</t>
  </si>
  <si>
    <t>Quant. máxima em Sobrecarga</t>
  </si>
  <si>
    <t>Corrente max. Operação por MPPT</t>
  </si>
  <si>
    <t>Potencia em kWp</t>
  </si>
  <si>
    <t>Quant. MPPT</t>
  </si>
  <si>
    <t>Módulo</t>
  </si>
  <si>
    <t>Inversor</t>
  </si>
  <si>
    <t>SUN2000L-3KTL</t>
  </si>
  <si>
    <t>Quantidade de Módulos</t>
  </si>
  <si>
    <t>Potência de Sobrecarga</t>
  </si>
  <si>
    <t>Temp. Minima</t>
  </si>
  <si>
    <t>Temp. Maxima</t>
  </si>
  <si>
    <t>Tolerância de Potência (%)</t>
  </si>
  <si>
    <t>Tolerância de Corrente de Operação(%)</t>
  </si>
  <si>
    <t>Corrente máxima  em máxima potência</t>
  </si>
  <si>
    <t>Quant. Max séries por MPPT</t>
  </si>
  <si>
    <t>Tensão de circuito aberto (STC)</t>
  </si>
  <si>
    <t>Quant. mínima de módulos</t>
  </si>
  <si>
    <t>Tensão em máxima potência (STC)</t>
  </si>
  <si>
    <t>Quant. máxima de módulos</t>
  </si>
  <si>
    <t>Corrente de curto-circuito (STC)</t>
  </si>
  <si>
    <t>Corrente em máxima potência (STC)</t>
  </si>
  <si>
    <t>Coef. Temp PN</t>
  </si>
  <si>
    <t>Quantas strings utilizar em FL</t>
  </si>
  <si>
    <t>Max</t>
  </si>
  <si>
    <t>Min</t>
  </si>
  <si>
    <t>Fabricante</t>
  </si>
  <si>
    <t>Face</t>
  </si>
  <si>
    <t>Estrutura Cristalina</t>
  </si>
  <si>
    <t>Comprimento (mm)</t>
  </si>
  <si>
    <t>Largura (mm)</t>
  </si>
  <si>
    <t>Altura (mm)</t>
  </si>
  <si>
    <t>Peso (kg)</t>
  </si>
  <si>
    <t>Potência Nominal (Wp)</t>
  </si>
  <si>
    <t>Voc (V)</t>
  </si>
  <si>
    <t>Vpmax (V)</t>
  </si>
  <si>
    <t>Isc (A)</t>
  </si>
  <si>
    <t>Ipmax (A)</t>
  </si>
  <si>
    <t>Coef. Temp. Potência Nominal (%/°C)</t>
  </si>
  <si>
    <t>Coef. Temp. Tensão de Circuito Aberto (%/°C)</t>
  </si>
  <si>
    <t>Coef. Temp. Corrente de Curto-Circuito (%/°C)</t>
  </si>
  <si>
    <t>MANUFACTURER_ID</t>
  </si>
  <si>
    <t>CELL_TYPE</t>
  </si>
  <si>
    <t>ACTIVE</t>
  </si>
  <si>
    <t>MODULO</t>
  </si>
  <si>
    <t>CHSM72M-HC-405</t>
  </si>
  <si>
    <t>ASTRONERGY</t>
  </si>
  <si>
    <t>MONOFACIAL</t>
  </si>
  <si>
    <t>MONOCRISTALINO</t>
  </si>
  <si>
    <t>HALF CELL</t>
  </si>
  <si>
    <t>CHSM72M-HC-410</t>
  </si>
  <si>
    <t>CHSM72M-HC-415</t>
  </si>
  <si>
    <t>CHSM72M-HC-420</t>
  </si>
  <si>
    <t>BYD335PIK-36</t>
  </si>
  <si>
    <t>BYD</t>
  </si>
  <si>
    <t>POLICRISTALINO</t>
  </si>
  <si>
    <t>BYD340PIK-36</t>
  </si>
  <si>
    <t>BYD345PIK-36</t>
  </si>
  <si>
    <t>BYD350PIK-36</t>
  </si>
  <si>
    <t>TSM-390DE09</t>
  </si>
  <si>
    <t>TRINA SOLAR</t>
  </si>
  <si>
    <t>TSM-395DE09</t>
  </si>
  <si>
    <t>TSM-400DE09</t>
  </si>
  <si>
    <t>TSM-405DE09</t>
  </si>
  <si>
    <t>TSM-485DE18</t>
  </si>
  <si>
    <t>TSM-490DE18</t>
  </si>
  <si>
    <t>TSM-495DE18</t>
  </si>
  <si>
    <t>TSM-500DE18</t>
  </si>
  <si>
    <t>TSM-505DE18</t>
  </si>
  <si>
    <t>TSM-510DE18</t>
  </si>
  <si>
    <t>TSM-525DEG19C.20</t>
  </si>
  <si>
    <t>BIFACIAL</t>
  </si>
  <si>
    <t>TSM-530DEG19C.20</t>
  </si>
  <si>
    <t>TSM-535DEG19C.20</t>
  </si>
  <si>
    <t>TSM-540DEG19C.20</t>
  </si>
  <si>
    <t>TSM-545DEG19C.20</t>
  </si>
  <si>
    <t>TSM-550DEG19C.20</t>
  </si>
  <si>
    <t>RSM120-8-585BMGD</t>
  </si>
  <si>
    <t>RISEN</t>
  </si>
  <si>
    <t>RSM120-8-590BMGD</t>
  </si>
  <si>
    <t>RSM120-8-595BMGD</t>
  </si>
  <si>
    <t>RSM120-8-600BMGD</t>
  </si>
  <si>
    <t>RSM120-8-605BMGD</t>
  </si>
  <si>
    <t>CHSM72M-HC-525</t>
  </si>
  <si>
    <t>CHSM72M-HC-530</t>
  </si>
  <si>
    <t>CHSM72M-HC-535</t>
  </si>
  <si>
    <t>CHSM72M-HC-540</t>
  </si>
  <si>
    <t>CHSM72M-HC-545</t>
  </si>
  <si>
    <t>BYD325-P6K-36-5B</t>
  </si>
  <si>
    <t>FULL CELL</t>
  </si>
  <si>
    <t>BYD330-P6K-36-5B</t>
  </si>
  <si>
    <t>BYD335-P6K-36-5B</t>
  </si>
  <si>
    <t>BYD340-P6K-36-5B</t>
  </si>
  <si>
    <t>JKM320PP-72</t>
  </si>
  <si>
    <t>JINKO</t>
  </si>
  <si>
    <t>JKM325PP-72</t>
  </si>
  <si>
    <t>JKM330PP-72</t>
  </si>
  <si>
    <t>JKM335PP-72</t>
  </si>
  <si>
    <t>JKM340PP-72</t>
  </si>
  <si>
    <t>RSM144-6-330P</t>
  </si>
  <si>
    <t>RSM144-6-335P</t>
  </si>
  <si>
    <t>RSM144-6-340P</t>
  </si>
  <si>
    <t>RSM144-6-345P</t>
  </si>
  <si>
    <t>CHSM6612P-330</t>
  </si>
  <si>
    <t>CHSM6612P-335</t>
  </si>
  <si>
    <t>CHSM6612P-340</t>
  </si>
  <si>
    <t>CHSM6612P-345</t>
  </si>
  <si>
    <t>TSM-340PE15H</t>
  </si>
  <si>
    <t>TSM-345PE15H</t>
  </si>
  <si>
    <t>TSM-350PE15H</t>
  </si>
  <si>
    <t>TSM-355PE15H</t>
  </si>
  <si>
    <t>TSM-390DE15M(II)</t>
  </si>
  <si>
    <t>TSM-395DE15M(II)</t>
  </si>
  <si>
    <t>TSM-400DE15M(II)</t>
  </si>
  <si>
    <t>TSM-405DE15M(II)</t>
  </si>
  <si>
    <t>TSM-410DE15M(II)</t>
  </si>
  <si>
    <t>TSM-415DE15M(II)</t>
  </si>
  <si>
    <t>BYD 520 MLTK-36</t>
  </si>
  <si>
    <t>BYD 525 MLTK-36</t>
  </si>
  <si>
    <t>BYD 530 MLTK-36</t>
  </si>
  <si>
    <t>BYD 535 MLTK-36</t>
  </si>
  <si>
    <t>BYD 540 MLTK-36</t>
  </si>
  <si>
    <t>RSM144-7-430M</t>
  </si>
  <si>
    <t>RSM144-7-435M</t>
  </si>
  <si>
    <t>RSM144-7-440M</t>
  </si>
  <si>
    <t>RSM144-7-450M</t>
  </si>
  <si>
    <t>RSM156-6-425M</t>
  </si>
  <si>
    <t>RSM156-6-430M</t>
  </si>
  <si>
    <t>RSM156-6-435M</t>
  </si>
  <si>
    <t>RSM156-6-440M</t>
  </si>
  <si>
    <t>RSM156-6-445M</t>
  </si>
  <si>
    <t>SS-535-72MDH</t>
  </si>
  <si>
    <t>SUNOVA</t>
  </si>
  <si>
    <t>SS-540-72MDH</t>
  </si>
  <si>
    <t>SS-545-72MDH</t>
  </si>
  <si>
    <t>SS-550-72MDH</t>
  </si>
  <si>
    <t>TSM-430DE17M.TO(II)</t>
  </si>
  <si>
    <t>TSM-435DE17M.TO(II)</t>
  </si>
  <si>
    <t>TSM-440DE17M.TO(II)</t>
  </si>
  <si>
    <t>TSM-445DE17M.TO(II)</t>
  </si>
  <si>
    <t>TSM-450DE17M.TO(II)</t>
  </si>
  <si>
    <t>TP7F72M(H)-530</t>
  </si>
  <si>
    <t>TALESUN</t>
  </si>
  <si>
    <t>TP7F72M(H)-535</t>
  </si>
  <si>
    <t>TP7F72M(H)-540</t>
  </si>
  <si>
    <t>TP7F72M(H)-545</t>
  </si>
  <si>
    <t>TP7F72M(H)-550</t>
  </si>
  <si>
    <t>TSM-585DEG20C.20</t>
  </si>
  <si>
    <t>TSM-590DEG20C.20</t>
  </si>
  <si>
    <t>TSM-595DEG20C.20</t>
  </si>
  <si>
    <t>TSM-600DEG20C.20</t>
  </si>
  <si>
    <t>TSM-605DEG20C.20</t>
  </si>
  <si>
    <t>WEG</t>
  </si>
  <si>
    <t>LR5-72HPH-525M</t>
  </si>
  <si>
    <t>LONGI</t>
  </si>
  <si>
    <t>LR5-72HPH-530M</t>
  </si>
  <si>
    <t>LR5-72HPH-535M</t>
  </si>
  <si>
    <t>LR5-72HPH-540M</t>
  </si>
  <si>
    <t>LR5-72HPH-545M</t>
  </si>
  <si>
    <t>LR5-72HPH-550M</t>
  </si>
  <si>
    <t>LR5-72HPH-555M</t>
  </si>
  <si>
    <t>CHSM78N(DG)/F-BH-630</t>
  </si>
  <si>
    <t>JA SOLAR</t>
  </si>
  <si>
    <t>HUASUN</t>
  </si>
  <si>
    <t>Dimensões</t>
  </si>
  <si>
    <t>Comunicação</t>
  </si>
  <si>
    <t>Potência</t>
  </si>
  <si>
    <t>MPPT</t>
  </si>
  <si>
    <t>CA</t>
  </si>
  <si>
    <t>Ventilação</t>
  </si>
  <si>
    <t>Wifi</t>
  </si>
  <si>
    <t>RS485</t>
  </si>
  <si>
    <t>Display</t>
  </si>
  <si>
    <t>Led</t>
  </si>
  <si>
    <t>USB</t>
  </si>
  <si>
    <t>Potência Nominal (W)</t>
  </si>
  <si>
    <t>Potência máxima (VA)</t>
  </si>
  <si>
    <t>Entradas por MPPT</t>
  </si>
  <si>
    <t>Quantidade de MPPT</t>
  </si>
  <si>
    <t>Tensão máxima de partida do MPPT (Vcc)</t>
  </si>
  <si>
    <t>Tensão mínima de partida do MPPT (Vcc)</t>
  </si>
  <si>
    <t>Tensão máxima de operação do MPPT (Vcc)</t>
  </si>
  <si>
    <t>Tensão mínima de operação do MPPT (Vcc)</t>
  </si>
  <si>
    <t>Tensão máxima FL (220Vac) do MPPT (Vcc)</t>
  </si>
  <si>
    <t>Tensão mínima FL (220Vac) do MPPT (Vcc)</t>
  </si>
  <si>
    <t>Tensão Nominal de operação do MPPT (Vcc)</t>
  </si>
  <si>
    <t>Corrente de Curto circuito do MPPT (Vcc)</t>
  </si>
  <si>
    <t>Corrente máxima de operação do MPPT (Vcc)</t>
  </si>
  <si>
    <t>SINGLE_PHASE</t>
  </si>
  <si>
    <t>THREE_PHASE_THREE_WIRE</t>
  </si>
  <si>
    <t>THREE_PHASE_FOUR_WIRE</t>
  </si>
  <si>
    <t>Tensão nominal de saída (Vac)</t>
  </si>
  <si>
    <t>Tensão nominal mínima de saída (Vac)</t>
  </si>
  <si>
    <t>Corrente máxima de saída (Aac)</t>
  </si>
  <si>
    <t>RATED OUTPUT CURRENT</t>
  </si>
  <si>
    <t>Sobrecarga Permitida (%)</t>
  </si>
  <si>
    <t>MAX OPERATING TEMPERATURE</t>
  </si>
  <si>
    <t>MIN OPERATION TEMPERATURE</t>
  </si>
  <si>
    <t>PROTECTION DEGREE</t>
  </si>
  <si>
    <t>TOPOLOGY</t>
  </si>
  <si>
    <t>INVERTER ID</t>
  </si>
  <si>
    <t>MPPT INDEX</t>
  </si>
  <si>
    <t>TOTAL INPUTS</t>
  </si>
  <si>
    <t>ON-GRID</t>
  </si>
  <si>
    <t>OFF-GRID</t>
  </si>
  <si>
    <t>GRIDZERO</t>
  </si>
  <si>
    <t>HYBRID</t>
  </si>
  <si>
    <t>4G</t>
  </si>
  <si>
    <t>MANUFACTURER ID</t>
  </si>
  <si>
    <t>INVERSOR</t>
  </si>
  <si>
    <t>WIFI</t>
  </si>
  <si>
    <t>DISPLAY</t>
  </si>
  <si>
    <t>LED</t>
  </si>
  <si>
    <t>SUN2000L-2KTL</t>
  </si>
  <si>
    <t>HUAWEI</t>
  </si>
  <si>
    <t>CONVECÇÃO NATURAL</t>
  </si>
  <si>
    <t>IP65</t>
  </si>
  <si>
    <t>TRANSFORMERLESS</t>
  </si>
  <si>
    <t>SUN2000L-3.68KTL</t>
  </si>
  <si>
    <t>SUN2000L-4KTL</t>
  </si>
  <si>
    <t>SUN2000L-4.6KTL</t>
  </si>
  <si>
    <t>SUN2000L-5KTL</t>
  </si>
  <si>
    <t>SUN2000-8KTL</t>
  </si>
  <si>
    <t>SUN2000-10KTL</t>
  </si>
  <si>
    <t>SUN2000-12KTL</t>
  </si>
  <si>
    <t>SUN2000-15KTL</t>
  </si>
  <si>
    <t>SUN2000-17KTL</t>
  </si>
  <si>
    <t>SUN2000-20KTL</t>
  </si>
  <si>
    <t>SUN2000-23KTL</t>
  </si>
  <si>
    <t>SUN2000-28KTL</t>
  </si>
  <si>
    <t>SUN2000-29.9KTL</t>
  </si>
  <si>
    <t>SUN2000-33KTL-A</t>
  </si>
  <si>
    <t>SUN2000-36KTL</t>
  </si>
  <si>
    <t>SUN2000-42KTL</t>
  </si>
  <si>
    <t>SUN2000-8KTL-M0</t>
  </si>
  <si>
    <t>SUN2000-10KTL-M0</t>
  </si>
  <si>
    <t>SUN2000-12KTL-M0</t>
  </si>
  <si>
    <t>SUN2000-15KTL-M0</t>
  </si>
  <si>
    <t>SUN2000-17KTL-M0</t>
  </si>
  <si>
    <t>SUN2000-20KTL-M0</t>
  </si>
  <si>
    <t>SUN2000-8KTL-M2</t>
  </si>
  <si>
    <t>SUN2000-10KTL-M2</t>
  </si>
  <si>
    <t>SUN2000-12KTL-M2</t>
  </si>
  <si>
    <t>SUN2000-15KTL-M2</t>
  </si>
  <si>
    <t>SUN2000-17KTL-M2</t>
  </si>
  <si>
    <t>SUN2000-20KTL-M2</t>
  </si>
  <si>
    <t>SUN2000-20KTL-M3</t>
  </si>
  <si>
    <t>IP66</t>
  </si>
  <si>
    <t>SUN2000-29.9KTL-M3</t>
  </si>
  <si>
    <t>SUN2000-30KTL-M3</t>
  </si>
  <si>
    <t>SUN2000-36KTL-M3</t>
  </si>
  <si>
    <t>SUN2000-40KTL-M3</t>
  </si>
  <si>
    <t>SUN2000-50KTL-M0</t>
  </si>
  <si>
    <t>SUN2000-60KTL-M0</t>
  </si>
  <si>
    <t>SUN2000-65KTL-M0</t>
  </si>
  <si>
    <t>SUN2000-75KTL-M1</t>
  </si>
  <si>
    <t>COOLER</t>
  </si>
  <si>
    <t>SUN2000-100KTL-M0</t>
  </si>
  <si>
    <t>SUN2000-110KTL-M0</t>
  </si>
  <si>
    <t>SUN2000-125KTL-M0</t>
  </si>
  <si>
    <t>SUN2000-100KTL-M1</t>
  </si>
  <si>
    <t>SUN2000-90KTL-H0</t>
  </si>
  <si>
    <t>SUN2000-90KTL-H1</t>
  </si>
  <si>
    <t>SUN2000-90KTL-H2</t>
  </si>
  <si>
    <t>SUN2000-100KTL-H0</t>
  </si>
  <si>
    <t>SUN2000-100KTL-H1</t>
  </si>
  <si>
    <t>SUN2000-100KTL-H2</t>
  </si>
  <si>
    <t>SUN2000-105KTL-H1</t>
  </si>
  <si>
    <t>SUN2000-196KTL-H0</t>
  </si>
  <si>
    <t>SUN2000-200KTL-H2</t>
  </si>
  <si>
    <t>SUN2000-215KTL-H0</t>
  </si>
  <si>
    <t>GW700-XS</t>
  </si>
  <si>
    <t>GOODWE</t>
  </si>
  <si>
    <t>GW1000-XS</t>
  </si>
  <si>
    <t>GW1500-XS</t>
  </si>
  <si>
    <t>GW2000-XS</t>
  </si>
  <si>
    <t>GW2500-XS</t>
  </si>
  <si>
    <t>GW3000-XS</t>
  </si>
  <si>
    <t>GW3300-XS</t>
  </si>
  <si>
    <t>GW2500N-XS</t>
  </si>
  <si>
    <t>GW3000N-XS</t>
  </si>
  <si>
    <t>GW5000-MS</t>
  </si>
  <si>
    <t>GW6000-MS</t>
  </si>
  <si>
    <t>GW7000-MS</t>
  </si>
  <si>
    <t>GW8500-MS</t>
  </si>
  <si>
    <t>GW10K-MS</t>
  </si>
  <si>
    <t>GW2900D-NS</t>
  </si>
  <si>
    <t>GW3000D-NS</t>
  </si>
  <si>
    <t>GW3600D-NS</t>
  </si>
  <si>
    <t>GW4200D-NS</t>
  </si>
  <si>
    <t>GW5000D-NS</t>
  </si>
  <si>
    <t>GW6000D-NS</t>
  </si>
  <si>
    <t>GW3000T-DS</t>
  </si>
  <si>
    <t>GW3600T-DS</t>
  </si>
  <si>
    <t>GW4200T-DS</t>
  </si>
  <si>
    <t>GW5000T-DS</t>
  </si>
  <si>
    <t>GW6000T-DS</t>
  </si>
  <si>
    <t>GW75K-MT</t>
  </si>
  <si>
    <t>G7</t>
  </si>
  <si>
    <t>FOX ESS</t>
  </si>
  <si>
    <t>G8</t>
  </si>
  <si>
    <t>G9</t>
  </si>
  <si>
    <t>G10</t>
  </si>
  <si>
    <t>G10.5</t>
  </si>
  <si>
    <t>T3</t>
  </si>
  <si>
    <t>T4</t>
  </si>
  <si>
    <t>T8</t>
  </si>
  <si>
    <t>T10</t>
  </si>
  <si>
    <t>T12</t>
  </si>
  <si>
    <t>T15</t>
  </si>
  <si>
    <t>T17</t>
  </si>
  <si>
    <t>T20</t>
  </si>
  <si>
    <t>T25</t>
  </si>
  <si>
    <t>T8 (Dual)</t>
  </si>
  <si>
    <t>T10 (Dual)</t>
  </si>
  <si>
    <t>T12 (Dual)</t>
  </si>
  <si>
    <t>T15 (Dual)</t>
  </si>
  <si>
    <t>R75</t>
  </si>
  <si>
    <t>R100</t>
  </si>
  <si>
    <t>R110</t>
  </si>
  <si>
    <t>F3000</t>
  </si>
  <si>
    <t>F3600</t>
  </si>
  <si>
    <t>F4600</t>
  </si>
  <si>
    <t>F5000</t>
  </si>
  <si>
    <t>F5300</t>
  </si>
  <si>
    <t>F6000</t>
  </si>
  <si>
    <t>PHB1500-NS</t>
  </si>
  <si>
    <t>PHB</t>
  </si>
  <si>
    <t>PHB3000-NS</t>
  </si>
  <si>
    <t>PHB5000D-NS</t>
  </si>
  <si>
    <t>PHB14K-DT</t>
  </si>
  <si>
    <t>PHB20K-DT</t>
  </si>
  <si>
    <t>PHB25K-DT</t>
  </si>
  <si>
    <t>PHB35K-MT</t>
  </si>
  <si>
    <t>PHB50K-MT</t>
  </si>
  <si>
    <t>PHB60K-MT</t>
  </si>
  <si>
    <t>SIW100G M006 W00</t>
  </si>
  <si>
    <t>IP67</t>
  </si>
  <si>
    <t>REINFORCE ISOLATION</t>
  </si>
  <si>
    <t>SIW100G M008 W00</t>
  </si>
  <si>
    <t>SIW100G M010 W00</t>
  </si>
  <si>
    <t>SIW100G M012 W00</t>
  </si>
  <si>
    <t>SIW200 M030</t>
  </si>
  <si>
    <t>SIW200 M050</t>
  </si>
  <si>
    <t>SIW200 M085</t>
  </si>
  <si>
    <t>SIW200 M100</t>
  </si>
  <si>
    <t>SIW200F M030</t>
  </si>
  <si>
    <t>SIW200F M036</t>
  </si>
  <si>
    <t>SIW200F M046</t>
  </si>
  <si>
    <t>SIW200F M050</t>
  </si>
  <si>
    <t>SIW200F M060</t>
  </si>
  <si>
    <t>SIW200G M030 W0</t>
  </si>
  <si>
    <t>SIW200G M050 W0</t>
  </si>
  <si>
    <t>SIW200G M060 W0</t>
  </si>
  <si>
    <t>SIW200G M070 W0</t>
  </si>
  <si>
    <t>SIW200G M080 W0</t>
  </si>
  <si>
    <t>SIW200G M090 W0</t>
  </si>
  <si>
    <t>SIW200G M105 W0</t>
  </si>
  <si>
    <t>SIW200G M030 W1</t>
  </si>
  <si>
    <t>SIW200G M050 W1</t>
  </si>
  <si>
    <t>SIW200G M060 W1</t>
  </si>
  <si>
    <t>SIW200G M070 W1</t>
  </si>
  <si>
    <t>SIW200G M075 W1</t>
  </si>
  <si>
    <t>SIW200G M080 W1</t>
  </si>
  <si>
    <t>SIW200G M090 W1</t>
  </si>
  <si>
    <t>SIW200G M105 W1</t>
  </si>
  <si>
    <t>SIW200H M030 W00</t>
  </si>
  <si>
    <t>SIW200H M037 W00</t>
  </si>
  <si>
    <t>SIW200H M046 W00</t>
  </si>
  <si>
    <t>SIW200H M050 W00</t>
  </si>
  <si>
    <t>1</t>
  </si>
  <si>
    <t>SIW200H M060 W00</t>
  </si>
  <si>
    <t>SIW200H M070 W10</t>
  </si>
  <si>
    <t>SIW200H M075 W10</t>
  </si>
  <si>
    <t>SIW200H M080 W10</t>
  </si>
  <si>
    <t>SIW200H M090 W10</t>
  </si>
  <si>
    <t>SIW200H M100 W10</t>
  </si>
  <si>
    <t>SIW200H M105 W10</t>
  </si>
  <si>
    <t>SIW300 M030 W00</t>
  </si>
  <si>
    <t>SIW300 M050 W00</t>
  </si>
  <si>
    <t>SIW300 M060 W00</t>
  </si>
  <si>
    <t>SIW300 M080 W00</t>
  </si>
  <si>
    <t>SIW300 M100 W00</t>
  </si>
  <si>
    <t>SIW300H M020</t>
  </si>
  <si>
    <t>SIW300H M030</t>
  </si>
  <si>
    <t>SIW300H M040</t>
  </si>
  <si>
    <t>SIW300H M050</t>
  </si>
  <si>
    <t>SIW300H M020 L1</t>
  </si>
  <si>
    <t>SIW300H M030 L1</t>
  </si>
  <si>
    <t>SIW300H M040 L1</t>
  </si>
  <si>
    <t>SIW300H M050 L1</t>
  </si>
  <si>
    <t>SIW300H M060 L1</t>
  </si>
  <si>
    <t>SIW300H M075 W00</t>
  </si>
  <si>
    <t>SIW300H M080 W00</t>
  </si>
  <si>
    <t>SIW300H M100 W00</t>
  </si>
  <si>
    <t>SIW400G T012 W0</t>
  </si>
  <si>
    <t>SIW400G T015 W0</t>
  </si>
  <si>
    <t>SIW400G T020 W0</t>
  </si>
  <si>
    <t>SIW400G T025 W0</t>
  </si>
  <si>
    <t>SIW400G T075 W0</t>
  </si>
  <si>
    <t>SIW400G T100 W0</t>
  </si>
  <si>
    <t>SIW400G T012 W1</t>
  </si>
  <si>
    <t>SIW400G T015 W1</t>
  </si>
  <si>
    <t>SIW400G T020 W1</t>
  </si>
  <si>
    <t>SIW400G T025 W1</t>
  </si>
  <si>
    <t>SIW400G T050 W00</t>
  </si>
  <si>
    <t>SIW400G T060 W00</t>
  </si>
  <si>
    <t>SIW400G T075 W01</t>
  </si>
  <si>
    <t>SIW400G K015 W00</t>
  </si>
  <si>
    <t>SIW400G K020 W00</t>
  </si>
  <si>
    <t>SIW400G K025 W00</t>
  </si>
  <si>
    <t>SIW400G K030 W00</t>
  </si>
  <si>
    <t>SIW400G K037 W00</t>
  </si>
  <si>
    <t>SIW400H T010 W10</t>
  </si>
  <si>
    <t>SIW400H T012 W10</t>
  </si>
  <si>
    <t>SIW400H T015 W10</t>
  </si>
  <si>
    <t>SIW400H T020 W10</t>
  </si>
  <si>
    <t>SIW400H T025 W10</t>
  </si>
  <si>
    <t>SIW400H T030 W10</t>
  </si>
  <si>
    <t>SIW420G K025 W00</t>
  </si>
  <si>
    <t>SIW420G K075 W00</t>
  </si>
  <si>
    <t>SIW500G T075 W0</t>
  </si>
  <si>
    <t>SIW500G T100 W0</t>
  </si>
  <si>
    <t>SIW500G H250 W0</t>
  </si>
  <si>
    <t>SIW500H ST012</t>
  </si>
  <si>
    <t xml:space="preserve">SIW500H ST015 </t>
  </si>
  <si>
    <t>SIW500H ST020</t>
  </si>
  <si>
    <t>SIW500H ST030</t>
  </si>
  <si>
    <t>SIW500H ST036</t>
  </si>
  <si>
    <t>SIW500H ST040</t>
  </si>
  <si>
    <t>SIW500H ST050</t>
  </si>
  <si>
    <t>SIW500H ST060</t>
  </si>
  <si>
    <t>SIW500H ST100</t>
  </si>
  <si>
    <t>SIW500H ST012 M2</t>
  </si>
  <si>
    <t>SIW500H ST015 M2</t>
  </si>
  <si>
    <t>SIW500H ST020 M2</t>
  </si>
  <si>
    <t>SIW500H ST030 M3</t>
  </si>
  <si>
    <t>SIW500H T012 W00</t>
  </si>
  <si>
    <t>SIW500H T015 W00</t>
  </si>
  <si>
    <t>SIW500H T020 W00</t>
  </si>
  <si>
    <t>SIW500H ST060 HV</t>
  </si>
  <si>
    <t>SIW500H ST100 HV</t>
  </si>
  <si>
    <t>SIW500H ST200 H0</t>
  </si>
  <si>
    <t>SIW500H ST200 H3</t>
  </si>
  <si>
    <t>SIW600 T020-44</t>
  </si>
  <si>
    <t>CHSM72N(DG)/F-BH-575</t>
  </si>
  <si>
    <t>CHSM72N(DG)/F-BH-580</t>
  </si>
  <si>
    <t>CHSM72N(DG)/F-BH-585</t>
  </si>
  <si>
    <t>CHSM72N(DG)/F-BH-590</t>
  </si>
  <si>
    <t>CHSM72N(DG)/F-BH-595</t>
  </si>
  <si>
    <t>LR5-72HTH-565M</t>
  </si>
  <si>
    <t>LR5-72HTH-570M</t>
  </si>
  <si>
    <t>LR5-72HTH-575M</t>
  </si>
  <si>
    <t>LR5-72HTH-585M</t>
  </si>
  <si>
    <t>LR5-72HTH-580M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</si>
</sst>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662EE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5117038483843"/>
        <bgColor theme="9" tint="0.79995117038483843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theme="9"/>
      </left>
      <right/>
      <top style="thin">
        <color theme="9"/>
      </top>
      <bottom style="thin">
        <color theme="9" tint="0.39994506668294322"/>
      </bottom>
      <diagonal/>
    </border>
    <border>
      <left/>
      <right/>
      <top style="thin">
        <color theme="9"/>
      </top>
      <bottom style="thin">
        <color theme="9" tint="0.39994506668294322"/>
      </bottom>
      <diagonal/>
    </border>
    <border>
      <left style="thin">
        <color theme="9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  <border>
      <left/>
      <right style="thin">
        <color theme="9"/>
      </right>
      <top style="thin">
        <color theme="9" tint="0.39994506668294322"/>
      </top>
      <bottom style="thin">
        <color theme="9" tint="0.39994506668294322"/>
      </bottom>
      <diagonal/>
    </border>
  </borders>
  <cellStyleXfs count="8">
    <xf numFmtId="0" fontId="0" fillId="0" borderId="0"/>
    <xf numFmtId="0" fontId="9" fillId="0" borderId="2"/>
    <xf numFmtId="0" fontId="9" fillId="0" borderId="0"/>
    <xf numFmtId="0" fontId="9" fillId="6" borderId="0"/>
    <xf numFmtId="0" fontId="9" fillId="8" borderId="2"/>
    <xf numFmtId="0" fontId="9" fillId="5" borderId="2"/>
    <xf numFmtId="0" fontId="9" fillId="9" borderId="2"/>
    <xf numFmtId="0" fontId="6" fillId="7" borderId="2"/>
  </cellStyleXfs>
  <cellXfs count="108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6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0" fillId="0" borderId="9" xfId="0" applyBorder="1"/>
    <xf numFmtId="0" fontId="0" fillId="0" borderId="10" xfId="0" applyBorder="1"/>
    <xf numFmtId="0" fontId="3" fillId="0" borderId="12" xfId="0" applyFont="1" applyBorder="1"/>
    <xf numFmtId="0" fontId="0" fillId="0" borderId="13" xfId="0" applyBorder="1"/>
    <xf numFmtId="0" fontId="3" fillId="0" borderId="2" xfId="0" applyFont="1" applyBorder="1"/>
    <xf numFmtId="0" fontId="0" fillId="0" borderId="0" xfId="0" applyAlignment="1">
      <alignment wrapText="1"/>
    </xf>
    <xf numFmtId="0" fontId="0" fillId="0" borderId="14" xfId="0" applyBorder="1"/>
    <xf numFmtId="0" fontId="3" fillId="0" borderId="15" xfId="0" applyFont="1" applyBorder="1"/>
    <xf numFmtId="0" fontId="3" fillId="0" borderId="16" xfId="0" applyFont="1" applyBorder="1"/>
    <xf numFmtId="0" fontId="0" fillId="0" borderId="17" xfId="0" applyBorder="1"/>
    <xf numFmtId="0" fontId="3" fillId="0" borderId="18" xfId="0" applyFont="1" applyBorder="1"/>
    <xf numFmtId="0" fontId="0" fillId="0" borderId="19" xfId="0" applyBorder="1"/>
    <xf numFmtId="0" fontId="0" fillId="0" borderId="14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4" borderId="20" xfId="0" applyFill="1" applyBorder="1"/>
    <xf numFmtId="0" fontId="0" fillId="4" borderId="18" xfId="0" applyFill="1" applyBorder="1" applyAlignment="1">
      <alignment horizontal="right"/>
    </xf>
    <xf numFmtId="0" fontId="0" fillId="2" borderId="9" xfId="0" applyFill="1" applyBorder="1"/>
    <xf numFmtId="0" fontId="0" fillId="2" borderId="13" xfId="0" applyFill="1" applyBorder="1" applyAlignment="1">
      <alignment horizontal="right"/>
    </xf>
    <xf numFmtId="0" fontId="0" fillId="3" borderId="1" xfId="0" applyFill="1" applyBorder="1"/>
    <xf numFmtId="0" fontId="0" fillId="3" borderId="3" xfId="0" applyFill="1" applyBorder="1" applyAlignment="1">
      <alignment horizontal="right"/>
    </xf>
    <xf numFmtId="0" fontId="0" fillId="4" borderId="1" xfId="0" applyFill="1" applyBorder="1"/>
    <xf numFmtId="0" fontId="0" fillId="4" borderId="3" xfId="0" applyFill="1" applyBorder="1" applyAlignment="1">
      <alignment horizontal="right"/>
    </xf>
    <xf numFmtId="0" fontId="0" fillId="2" borderId="1" xfId="0" applyFill="1" applyBorder="1"/>
    <xf numFmtId="1" fontId="0" fillId="2" borderId="3" xfId="0" applyNumberFormat="1" applyFill="1" applyBorder="1"/>
    <xf numFmtId="0" fontId="0" fillId="3" borderId="3" xfId="0" applyFill="1" applyBorder="1"/>
    <xf numFmtId="0" fontId="0" fillId="4" borderId="3" xfId="0" applyFill="1" applyBorder="1"/>
    <xf numFmtId="2" fontId="0" fillId="2" borderId="3" xfId="0" applyNumberFormat="1" applyFill="1" applyBorder="1"/>
    <xf numFmtId="0" fontId="0" fillId="4" borderId="21" xfId="0" applyFill="1" applyBorder="1"/>
    <xf numFmtId="0" fontId="0" fillId="4" borderId="22" xfId="0" applyFill="1" applyBorder="1"/>
    <xf numFmtId="0" fontId="0" fillId="2" borderId="21" xfId="0" applyFill="1" applyBorder="1"/>
    <xf numFmtId="2" fontId="0" fillId="2" borderId="22" xfId="0" applyNumberFormat="1" applyFill="1" applyBorder="1"/>
    <xf numFmtId="0" fontId="0" fillId="2" borderId="23" xfId="0" applyFill="1" applyBorder="1"/>
    <xf numFmtId="0" fontId="0" fillId="2" borderId="24" xfId="0" applyFill="1" applyBorder="1"/>
    <xf numFmtId="0" fontId="0" fillId="5" borderId="20" xfId="0" applyFill="1" applyBorder="1"/>
    <xf numFmtId="0" fontId="0" fillId="5" borderId="18" xfId="0" applyFill="1" applyBorder="1"/>
    <xf numFmtId="0" fontId="0" fillId="2" borderId="20" xfId="0" applyFill="1" applyBorder="1"/>
    <xf numFmtId="0" fontId="0" fillId="2" borderId="18" xfId="0" applyFill="1" applyBorder="1"/>
    <xf numFmtId="0" fontId="0" fillId="5" borderId="1" xfId="0" applyFill="1" applyBorder="1"/>
    <xf numFmtId="1" fontId="0" fillId="5" borderId="3" xfId="0" applyNumberFormat="1" applyFill="1" applyBorder="1"/>
    <xf numFmtId="0" fontId="0" fillId="2" borderId="3" xfId="0" applyFill="1" applyBorder="1"/>
    <xf numFmtId="0" fontId="0" fillId="3" borderId="21" xfId="0" applyFill="1" applyBorder="1"/>
    <xf numFmtId="0" fontId="0" fillId="3" borderId="22" xfId="0" applyFill="1" applyBorder="1"/>
    <xf numFmtId="0" fontId="0" fillId="5" borderId="21" xfId="0" applyFill="1" applyBorder="1"/>
    <xf numFmtId="1" fontId="0" fillId="5" borderId="22" xfId="0" applyNumberFormat="1" applyFill="1" applyBorder="1"/>
    <xf numFmtId="0" fontId="0" fillId="5" borderId="25" xfId="0" applyFill="1" applyBorder="1"/>
    <xf numFmtId="1" fontId="0" fillId="5" borderId="25" xfId="0" applyNumberFormat="1" applyFill="1" applyBorder="1"/>
    <xf numFmtId="0" fontId="0" fillId="2" borderId="22" xfId="0" applyFill="1" applyBorder="1"/>
    <xf numFmtId="0" fontId="9" fillId="6" borderId="2" xfId="3" applyBorder="1"/>
    <xf numFmtId="0" fontId="9" fillId="6" borderId="0" xfId="3"/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9" fillId="6" borderId="0" xfId="3" applyAlignment="1">
      <alignment vertical="center"/>
    </xf>
    <xf numFmtId="0" fontId="5" fillId="7" borderId="2" xfId="7" applyFont="1" applyAlignment="1">
      <alignment horizontal="center" vertical="center"/>
    </xf>
    <xf numFmtId="0" fontId="6" fillId="7" borderId="2" xfId="7"/>
    <xf numFmtId="0" fontId="9" fillId="5" borderId="2" xfId="5" applyAlignment="1">
      <alignment horizontal="left" vertical="center"/>
    </xf>
    <xf numFmtId="0" fontId="9" fillId="5" borderId="2" xfId="5" applyAlignment="1">
      <alignment horizontal="right" vertical="center"/>
    </xf>
    <xf numFmtId="0" fontId="5" fillId="7" borderId="2" xfId="7" applyFont="1"/>
    <xf numFmtId="164" fontId="9" fillId="5" borderId="2" xfId="5" applyNumberFormat="1" applyAlignment="1">
      <alignment horizontal="right" vertical="center"/>
    </xf>
    <xf numFmtId="0" fontId="9" fillId="6" borderId="0" xfId="3" applyAlignment="1">
      <alignment horizontal="right" vertical="center"/>
    </xf>
    <xf numFmtId="0" fontId="9" fillId="6" borderId="0" xfId="3" applyAlignment="1">
      <alignment horizontal="left" vertical="center"/>
    </xf>
    <xf numFmtId="0" fontId="9" fillId="8" borderId="2" xfId="4"/>
    <xf numFmtId="0" fontId="3" fillId="8" borderId="2" xfId="4" applyFont="1" applyAlignment="1">
      <alignment horizontal="right" vertical="center"/>
    </xf>
    <xf numFmtId="0" fontId="9" fillId="9" borderId="2" xfId="6"/>
    <xf numFmtId="0" fontId="9" fillId="8" borderId="2" xfId="4" applyAlignment="1">
      <alignment horizontal="right" vertical="center"/>
    </xf>
    <xf numFmtId="0" fontId="5" fillId="10" borderId="26" xfId="0" applyFont="1" applyFill="1" applyBorder="1"/>
    <xf numFmtId="0" fontId="5" fillId="10" borderId="27" xfId="0" applyFont="1" applyFill="1" applyBorder="1"/>
    <xf numFmtId="0" fontId="0" fillId="11" borderId="28" xfId="0" applyFill="1" applyBorder="1"/>
    <xf numFmtId="0" fontId="0" fillId="11" borderId="29" xfId="0" applyFill="1" applyBorder="1"/>
    <xf numFmtId="0" fontId="3" fillId="0" borderId="28" xfId="0" applyFont="1" applyBorder="1"/>
    <xf numFmtId="0" fontId="0" fillId="0" borderId="29" xfId="0" applyBorder="1"/>
    <xf numFmtId="1" fontId="3" fillId="0" borderId="29" xfId="0" applyNumberFormat="1" applyFont="1" applyBorder="1" applyAlignment="1">
      <alignment horizontal="right"/>
    </xf>
    <xf numFmtId="1" fontId="0" fillId="0" borderId="29" xfId="0" applyNumberFormat="1" applyBorder="1" applyAlignment="1">
      <alignment horizontal="right"/>
    </xf>
    <xf numFmtId="0" fontId="3" fillId="11" borderId="28" xfId="0" applyFont="1" applyFill="1" applyBorder="1"/>
    <xf numFmtId="1" fontId="3" fillId="11" borderId="29" xfId="0" applyNumberFormat="1" applyFont="1" applyFill="1" applyBorder="1" applyAlignment="1">
      <alignment horizontal="right"/>
    </xf>
    <xf numFmtId="1" fontId="0" fillId="11" borderId="29" xfId="0" applyNumberFormat="1" applyFill="1" applyBorder="1" applyAlignment="1">
      <alignment horizontal="right"/>
    </xf>
    <xf numFmtId="0" fontId="0" fillId="11" borderId="30" xfId="0" applyFill="1" applyBorder="1"/>
    <xf numFmtId="1" fontId="0" fillId="0" borderId="30" xfId="0" applyNumberFormat="1" applyBorder="1" applyAlignment="1">
      <alignment horizontal="right"/>
    </xf>
    <xf numFmtId="1" fontId="0" fillId="11" borderId="30" xfId="0" applyNumberFormat="1" applyFill="1" applyBorder="1" applyAlignment="1">
      <alignment horizontal="right"/>
    </xf>
    <xf numFmtId="0" fontId="2" fillId="0" borderId="14" xfId="0" applyFont="1" applyBorder="1"/>
    <xf numFmtId="0" fontId="2" fillId="0" borderId="2" xfId="0" applyFont="1" applyBorder="1"/>
    <xf numFmtId="0" fontId="0" fillId="0" borderId="2" xfId="0" quotePrefix="1" applyBorder="1"/>
    <xf numFmtId="0" fontId="1" fillId="0" borderId="0" xfId="0" applyFont="1"/>
    <xf numFmtId="0" fontId="5" fillId="10" borderId="27" xfId="0" applyFont="1" applyFill="1" applyBorder="1" applyAlignment="1">
      <alignment horizontal="center"/>
    </xf>
    <xf numFmtId="0" fontId="4" fillId="6" borderId="0" xfId="3" applyFont="1" applyAlignment="1">
      <alignment horizontal="center" vertical="center" textRotation="90"/>
    </xf>
    <xf numFmtId="0" fontId="4" fillId="6" borderId="0" xfId="3" applyFont="1" applyAlignment="1">
      <alignment horizontal="center" vertical="center"/>
    </xf>
    <xf numFmtId="0" fontId="3" fillId="5" borderId="2" xfId="5" applyFont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6" borderId="2" xfId="3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8">
    <cellStyle name="Ambiente" xfId="7" xr:uid="{00000000-0005-0000-0000-000037000000}"/>
    <cellStyle name="Estilo 1" xfId="3" xr:uid="{00000000-0005-0000-0000-000033000000}"/>
    <cellStyle name="Inv x Mod" xfId="6" xr:uid="{00000000-0005-0000-0000-000036000000}"/>
    <cellStyle name="Normal" xfId="0" builtinId="0"/>
    <cellStyle name="Sem bordas" xfId="2" xr:uid="{00000000-0005-0000-0000-000032000000}"/>
    <cellStyle name="Tabela Inversores" xfId="4" xr:uid="{00000000-0005-0000-0000-000034000000}"/>
    <cellStyle name="Tabela Módulo" xfId="5" xr:uid="{00000000-0005-0000-0000-000035000000}"/>
    <cellStyle name="Todas as bordas" xfId="1" xr:uid="{00000000-0005-0000-0000-000031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662EE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1"/>
  <sheetViews>
    <sheetView topLeftCell="F1" zoomScale="85" zoomScaleNormal="85" workbookViewId="0">
      <pane ySplit="1" topLeftCell="A2" activePane="bottomLeft" state="frozen"/>
      <selection pane="bottomLeft" activeCell="U1" sqref="U1:V1"/>
    </sheetView>
  </sheetViews>
  <sheetFormatPr defaultColWidth="9.140625" defaultRowHeight="15"/>
  <cols>
    <col min="1" max="2" width="24" customWidth="1"/>
    <col min="3" max="3" width="20.5703125" customWidth="1"/>
    <col min="4" max="4" width="15.7109375" customWidth="1"/>
    <col min="5" max="5" width="20.5703125" customWidth="1"/>
    <col min="6" max="6" width="15.7109375" customWidth="1"/>
    <col min="7" max="7" width="20.5703125" customWidth="1"/>
    <col min="8" max="8" width="15.7109375" customWidth="1"/>
    <col min="9" max="9" width="20.5703125" customWidth="1"/>
    <col min="10" max="10" width="15.7109375" customWidth="1"/>
    <col min="11" max="11" width="20.5703125" customWidth="1"/>
    <col min="12" max="12" width="15.7109375" customWidth="1"/>
    <col min="13" max="13" width="20.5703125" customWidth="1"/>
    <col min="14" max="14" width="15.7109375" customWidth="1"/>
    <col min="15" max="15" width="20.5703125" customWidth="1"/>
    <col min="16" max="16" width="15.7109375" customWidth="1"/>
    <col min="17" max="17" width="20.5703125" customWidth="1"/>
    <col min="18" max="18" width="15.7109375" customWidth="1"/>
    <col min="19" max="19" width="20.5703125" customWidth="1"/>
    <col min="20" max="20" width="15.7109375" customWidth="1"/>
    <col min="21" max="21" width="20.5703125" customWidth="1"/>
    <col min="22" max="22" width="15.7109375" customWidth="1"/>
  </cols>
  <sheetData>
    <row r="1" spans="1:22">
      <c r="A1" s="77"/>
      <c r="B1" s="78"/>
      <c r="C1" s="95" t="s">
        <v>0</v>
      </c>
      <c r="D1" s="95"/>
      <c r="E1" s="95" t="s">
        <v>1</v>
      </c>
      <c r="F1" s="95"/>
      <c r="G1" s="95" t="s">
        <v>2</v>
      </c>
      <c r="H1" s="95"/>
      <c r="I1" s="95" t="s">
        <v>3</v>
      </c>
      <c r="J1" s="95"/>
      <c r="K1" s="95" t="s">
        <v>4</v>
      </c>
      <c r="L1" s="95"/>
      <c r="M1" s="95" t="s">
        <v>5</v>
      </c>
      <c r="N1" s="95"/>
      <c r="O1" s="95" t="s">
        <v>6</v>
      </c>
      <c r="P1" s="95"/>
      <c r="Q1" s="95" t="s">
        <v>7</v>
      </c>
      <c r="R1" s="95"/>
      <c r="S1" s="95" t="s">
        <v>8</v>
      </c>
      <c r="T1" s="95"/>
      <c r="U1" s="95" t="s">
        <v>512</v>
      </c>
      <c r="V1" s="95"/>
    </row>
    <row r="2" spans="1:22">
      <c r="A2" s="79"/>
      <c r="B2" s="80" t="s">
        <v>10</v>
      </c>
      <c r="C2" s="80" t="s">
        <v>11</v>
      </c>
      <c r="D2" s="80" t="s">
        <v>12</v>
      </c>
      <c r="E2" s="80" t="s">
        <v>11</v>
      </c>
      <c r="F2" s="80" t="s">
        <v>12</v>
      </c>
      <c r="G2" s="80" t="s">
        <v>11</v>
      </c>
      <c r="H2" s="80" t="s">
        <v>12</v>
      </c>
      <c r="I2" s="80" t="s">
        <v>11</v>
      </c>
      <c r="J2" s="80" t="s">
        <v>12</v>
      </c>
      <c r="K2" s="80" t="s">
        <v>11</v>
      </c>
      <c r="L2" s="80" t="s">
        <v>12</v>
      </c>
      <c r="M2" s="80" t="s">
        <v>11</v>
      </c>
      <c r="N2" s="80" t="s">
        <v>12</v>
      </c>
      <c r="O2" s="80" t="s">
        <v>11</v>
      </c>
      <c r="P2" s="80" t="s">
        <v>12</v>
      </c>
      <c r="Q2" s="80" t="s">
        <v>11</v>
      </c>
      <c r="R2" s="80" t="s">
        <v>12</v>
      </c>
      <c r="S2" s="80" t="s">
        <v>11</v>
      </c>
      <c r="T2" s="80" t="s">
        <v>12</v>
      </c>
      <c r="U2" s="80" t="s">
        <v>11</v>
      </c>
      <c r="V2" s="88" t="s">
        <v>12</v>
      </c>
    </row>
    <row r="3" spans="1:22">
      <c r="A3" s="81" t="s">
        <v>481</v>
      </c>
      <c r="B3" s="82">
        <f>VLOOKUP($A3,inv_Dados,13,0)*(1+VLOOKUP($A3,inv_Dados,32,0)/100)</f>
        <v>160200</v>
      </c>
      <c r="C3" s="83">
        <f>IF(Formulas!$F27=0,"Não suporta",Formulas!$F27)</f>
        <v>205</v>
      </c>
      <c r="D3" s="84">
        <f>Formulas!$F28</f>
        <v>112750</v>
      </c>
      <c r="E3" s="83">
        <f>IF(Formulas!$I27=0,"Não suporta",Formulas!$I27)</f>
        <v>205</v>
      </c>
      <c r="F3" s="84">
        <f>Formulas!$I28</f>
        <v>112750</v>
      </c>
      <c r="G3" s="83">
        <f>IF(Formulas!$L27=0,"Não suporta",Formulas!$L27)</f>
        <v>203</v>
      </c>
      <c r="H3" s="84">
        <f>Formulas!$L28</f>
        <v>112665</v>
      </c>
      <c r="I3" s="83">
        <f>IF(Formulas!$O27=0,"Não suporta",Formulas!$O27)</f>
        <v>198</v>
      </c>
      <c r="J3" s="84">
        <f>Formulas!$O28</f>
        <v>112860</v>
      </c>
      <c r="K3" s="83">
        <f>IF(Formulas!$R27=0,"Não suporta",Formulas!$R27)</f>
        <v>198</v>
      </c>
      <c r="L3" s="84">
        <f>Formulas!$R28</f>
        <v>112860</v>
      </c>
      <c r="M3" s="83">
        <f>IF(Formulas!$U27=0,"Não suporta",Formulas!$U27)</f>
        <v>193</v>
      </c>
      <c r="N3" s="84">
        <f>Formulas!$U28</f>
        <v>112905</v>
      </c>
      <c r="O3" s="83">
        <f>IF(Formulas!$X27=0,"Não suporta",Formulas!$X27)</f>
        <v>178</v>
      </c>
      <c r="P3" s="84">
        <f>Formulas!$X28</f>
        <v>113030</v>
      </c>
      <c r="Q3" s="83">
        <f>IF(Formulas!$AA27=0,"Não suporta",Formulas!$AA27)</f>
        <v>161</v>
      </c>
      <c r="R3" s="84">
        <f>Formulas!$AA28</f>
        <v>112700</v>
      </c>
      <c r="S3" s="83">
        <f>IF(Formulas!$AD27=0,"Não suporta",Formulas!$AD27)</f>
        <v>159</v>
      </c>
      <c r="T3" s="84">
        <f>Formulas!$AD28</f>
        <v>112890</v>
      </c>
      <c r="U3" s="83">
        <f>IF(Formulas!$AG27=0,"Não suporta",Formulas!$AG27)</f>
        <v>196</v>
      </c>
      <c r="V3" s="89">
        <f>Formulas!$AG28</f>
        <v>112700</v>
      </c>
    </row>
    <row r="4" spans="1:22">
      <c r="A4" s="85" t="s">
        <v>13</v>
      </c>
      <c r="B4" s="80">
        <f t="shared" ref="B4:B66" si="0">VLOOKUP($A4,inv_Dados,13,0)*(1+VLOOKUP($A4,inv_Dados,32,0)/100)</f>
        <v>3449.9999999999995</v>
      </c>
      <c r="C4" s="86">
        <f>IF(Formulas!$F41=0,"Não suporta",Formulas!$F41)</f>
        <v>10</v>
      </c>
      <c r="D4" s="87">
        <f>Formulas!$F42</f>
        <v>5500</v>
      </c>
      <c r="E4" s="86">
        <f>IF(Formulas!$I41=0,"Não suporta",Formulas!$I41)</f>
        <v>10</v>
      </c>
      <c r="F4" s="87">
        <f>Formulas!$I42</f>
        <v>5500</v>
      </c>
      <c r="G4" s="86">
        <f>IF(Formulas!$L41=0,"Não suporta",Formulas!$L41)</f>
        <v>10</v>
      </c>
      <c r="H4" s="87">
        <f>Formulas!$L42</f>
        <v>5550</v>
      </c>
      <c r="I4" s="86">
        <f>IF(Formulas!$O41=0,"Não suporta",Formulas!$O41)</f>
        <v>10</v>
      </c>
      <c r="J4" s="87">
        <f>Formulas!$O42</f>
        <v>5700</v>
      </c>
      <c r="K4" s="86">
        <f>IF(Formulas!$R41=0,"Não suporta",Formulas!$R41)</f>
        <v>10</v>
      </c>
      <c r="L4" s="87">
        <f>Formulas!$R42</f>
        <v>5700</v>
      </c>
      <c r="M4" s="86">
        <f>IF(Formulas!$U41=0,"Não suporta",Formulas!$U41)</f>
        <v>10</v>
      </c>
      <c r="N4" s="87">
        <f>Formulas!$U42</f>
        <v>5850</v>
      </c>
      <c r="O4" s="86">
        <f>IF(Formulas!$X41=0,"Não suporta",Formulas!$X41)</f>
        <v>9</v>
      </c>
      <c r="P4" s="87">
        <f>Formulas!$X42</f>
        <v>5715</v>
      </c>
      <c r="Q4" s="86" t="str">
        <f>IF(Formulas!$AA41=0,"Não suporta",Formulas!$AA41)</f>
        <v>Não suporta</v>
      </c>
      <c r="R4" s="87">
        <f>Formulas!$AA42</f>
        <v>0</v>
      </c>
      <c r="S4" s="86" t="str">
        <f>IF(Formulas!$AD41=0,"Não suporta",Formulas!$AD41)</f>
        <v>Não suporta</v>
      </c>
      <c r="T4" s="87">
        <f>Formulas!$AD42</f>
        <v>0</v>
      </c>
      <c r="U4" s="86">
        <f>IF(Formulas!$AG41=0,"Não suporta",Formulas!$AG41)</f>
        <v>10</v>
      </c>
      <c r="V4" s="90">
        <f>Formulas!$AG42</f>
        <v>5750</v>
      </c>
    </row>
    <row r="5" spans="1:22">
      <c r="A5" s="81" t="s">
        <v>14</v>
      </c>
      <c r="B5" s="82">
        <f t="shared" si="0"/>
        <v>23040</v>
      </c>
      <c r="C5" s="83">
        <f>IF(Formulas!$F55=0,"Não suporta",Formulas!$F55)</f>
        <v>32</v>
      </c>
      <c r="D5" s="84">
        <f>Formulas!$F56</f>
        <v>17600</v>
      </c>
      <c r="E5" s="83">
        <f>IF(Formulas!$I55=0,"Não suporta",Formulas!$I55)</f>
        <v>32</v>
      </c>
      <c r="F5" s="84">
        <f>Formulas!$I56</f>
        <v>17600</v>
      </c>
      <c r="G5" s="83">
        <f>IF(Formulas!$L55=0,"Não suporta",Formulas!$L55)</f>
        <v>32</v>
      </c>
      <c r="H5" s="84">
        <f>Formulas!$L56</f>
        <v>17760</v>
      </c>
      <c r="I5" s="83">
        <f>IF(Formulas!$O55=0,"Não suporta",Formulas!$O55)</f>
        <v>31</v>
      </c>
      <c r="J5" s="84">
        <f>Formulas!$O56</f>
        <v>17670</v>
      </c>
      <c r="K5" s="83">
        <f>IF(Formulas!$R55=0,"Não suporta",Formulas!$R55)</f>
        <v>31</v>
      </c>
      <c r="L5" s="84">
        <f>Formulas!$R56</f>
        <v>17670</v>
      </c>
      <c r="M5" s="83">
        <f>IF(Formulas!$U55=0,"Não suporta",Formulas!$U55)</f>
        <v>30</v>
      </c>
      <c r="N5" s="84">
        <f>Formulas!$U56</f>
        <v>17550</v>
      </c>
      <c r="O5" s="83">
        <f>IF(Formulas!$X55=0,"Não suporta",Formulas!$X55)</f>
        <v>28</v>
      </c>
      <c r="P5" s="84">
        <f>Formulas!$X56</f>
        <v>17780</v>
      </c>
      <c r="Q5" s="83">
        <f>IF(Formulas!$AA55=0,"Não suporta",Formulas!$AA55)</f>
        <v>25</v>
      </c>
      <c r="R5" s="84">
        <f>Formulas!$AA56</f>
        <v>17500</v>
      </c>
      <c r="S5" s="83">
        <f>IF(Formulas!$AD55=0,"Não suporta",Formulas!$AD55)</f>
        <v>25</v>
      </c>
      <c r="T5" s="84">
        <f>Formulas!$AD56</f>
        <v>17750</v>
      </c>
      <c r="U5" s="83">
        <f>IF(Formulas!$AG55=0,"Não suporta",Formulas!$AG55)</f>
        <v>31</v>
      </c>
      <c r="V5" s="89">
        <f>Formulas!$AG56</f>
        <v>17825</v>
      </c>
    </row>
    <row r="6" spans="1:22">
      <c r="A6" s="85" t="s">
        <v>15</v>
      </c>
      <c r="B6" s="80">
        <f t="shared" si="0"/>
        <v>160499.99999999997</v>
      </c>
      <c r="C6" s="86">
        <f>IF(Formulas!$F69=0,"Não suporta",Formulas!$F69)</f>
        <v>137</v>
      </c>
      <c r="D6" s="87">
        <f>Formulas!$F70</f>
        <v>75350</v>
      </c>
      <c r="E6" s="86">
        <f>IF(Formulas!$I69=0,"Não suporta",Formulas!$I69)</f>
        <v>137</v>
      </c>
      <c r="F6" s="87">
        <f>Formulas!$I70</f>
        <v>75350</v>
      </c>
      <c r="G6" s="86">
        <f>IF(Formulas!$L69=0,"Não suporta",Formulas!$L69)</f>
        <v>135</v>
      </c>
      <c r="H6" s="87">
        <f>Formulas!$L70</f>
        <v>74925</v>
      </c>
      <c r="I6" s="86">
        <f>IF(Formulas!$O69=0,"Não suporta",Formulas!$O69)</f>
        <v>132</v>
      </c>
      <c r="J6" s="87">
        <f>Formulas!$O70</f>
        <v>75240</v>
      </c>
      <c r="K6" s="86">
        <f>IF(Formulas!$R69=0,"Não suporta",Formulas!$R69)</f>
        <v>132</v>
      </c>
      <c r="L6" s="87">
        <f>Formulas!$R70</f>
        <v>75240</v>
      </c>
      <c r="M6" s="86">
        <f>IF(Formulas!$U69=0,"Não suporta",Formulas!$U69)</f>
        <v>128</v>
      </c>
      <c r="N6" s="87">
        <f>Formulas!$U70</f>
        <v>74880</v>
      </c>
      <c r="O6" s="86">
        <f>IF(Formulas!$X56=0,"Não suporta",Formulas!$X69)</f>
        <v>118</v>
      </c>
      <c r="P6" s="87">
        <f>Formulas!$X70</f>
        <v>74930</v>
      </c>
      <c r="Q6" s="86">
        <f>IF(Formulas!$AA69=0,"Não suporta",Formulas!$AA69)</f>
        <v>107</v>
      </c>
      <c r="R6" s="87">
        <f>Formulas!$AA70</f>
        <v>74900</v>
      </c>
      <c r="S6" s="86">
        <f>IF(Formulas!$AD69=0,"Não suporta",Formulas!$AD69)</f>
        <v>106</v>
      </c>
      <c r="T6" s="87">
        <f>Formulas!$AD70</f>
        <v>75260</v>
      </c>
      <c r="U6" s="86">
        <f>IF(Formulas!$AG69=0,"Não suporta",Formulas!$AG69)</f>
        <v>131</v>
      </c>
      <c r="V6" s="90">
        <f>Formulas!$AG70</f>
        <v>75325</v>
      </c>
    </row>
    <row r="7" spans="1:22">
      <c r="A7" s="81" t="s">
        <v>368</v>
      </c>
      <c r="B7" s="82">
        <f t="shared" si="0"/>
        <v>14088</v>
      </c>
      <c r="C7" s="83">
        <f>IF(Formulas!$F83=0,"Não suporta",Formulas!$F83)</f>
        <v>32</v>
      </c>
      <c r="D7" s="84">
        <f>Formulas!$F84</f>
        <v>17600</v>
      </c>
      <c r="E7" s="83">
        <f>IF(Formulas!$I83=0,"Não suporta",Formulas!$I83)</f>
        <v>32</v>
      </c>
      <c r="F7" s="84">
        <f>Formulas!$I84</f>
        <v>17600</v>
      </c>
      <c r="G7" s="83">
        <f>IF(Formulas!$L83=0,"Não suporta",Formulas!$L83)</f>
        <v>32</v>
      </c>
      <c r="H7" s="84">
        <f>Formulas!$L84</f>
        <v>17760</v>
      </c>
      <c r="I7" s="83" t="str">
        <f>IF(Formulas!$O83=0,"Não suporta",Formulas!$O83)</f>
        <v>Não suporta</v>
      </c>
      <c r="J7" s="84">
        <f>Formulas!$O84</f>
        <v>0</v>
      </c>
      <c r="K7" s="83">
        <f>IF(Formulas!$R83=0,"Não suporta",Formulas!$R83)</f>
        <v>31</v>
      </c>
      <c r="L7" s="84">
        <f>Formulas!$R84</f>
        <v>17670</v>
      </c>
      <c r="M7" s="83">
        <f>IF(Formulas!$U83=0,"Não suporta",Formulas!$U83)</f>
        <v>30</v>
      </c>
      <c r="N7" s="84">
        <f>Formulas!$U84</f>
        <v>17550</v>
      </c>
      <c r="O7" s="83" t="str">
        <f>IF(Formulas!$X83=0,"Não suporta",Formulas!$X83)</f>
        <v>Não suporta</v>
      </c>
      <c r="P7" s="84">
        <f>Formulas!$X84</f>
        <v>0</v>
      </c>
      <c r="Q7" s="83" t="str">
        <f>IF(Formulas!$AA83=0,"Não suporta",Formulas!$AA83)</f>
        <v>Não suporta</v>
      </c>
      <c r="R7" s="84">
        <f>Formulas!$AA84</f>
        <v>0</v>
      </c>
      <c r="S7" s="83" t="str">
        <f>IF(Formulas!$AD83=0,"Não suporta",Formulas!$AD83)</f>
        <v>Não suporta</v>
      </c>
      <c r="T7" s="84">
        <f>Formulas!$AD84</f>
        <v>0</v>
      </c>
      <c r="U7" s="83">
        <f>IF(Formulas!$AG83=0,"Não suporta",Formulas!$AG83)</f>
        <v>31</v>
      </c>
      <c r="V7" s="89">
        <f>Formulas!$AG84</f>
        <v>17825</v>
      </c>
    </row>
    <row r="8" spans="1:22">
      <c r="A8" s="85" t="s">
        <v>448</v>
      </c>
      <c r="B8" s="80">
        <f t="shared" si="0"/>
        <v>3449.9999999999995</v>
      </c>
      <c r="C8" s="86">
        <f>IF(Formulas!$F97=0,"Não suporta",Formulas!$F97)</f>
        <v>8</v>
      </c>
      <c r="D8" s="87">
        <f>Formulas!$F98</f>
        <v>4400</v>
      </c>
      <c r="E8" s="86">
        <f>IF(Formulas!$I97=0,"Não suporta",Formulas!$I97)</f>
        <v>8</v>
      </c>
      <c r="F8" s="87">
        <f>Formulas!$I98</f>
        <v>4400</v>
      </c>
      <c r="G8" s="86">
        <f>IF(Formulas!$L97=0,"Não suporta",Formulas!$L97)</f>
        <v>8</v>
      </c>
      <c r="H8" s="87">
        <f>Formulas!$L98</f>
        <v>4440</v>
      </c>
      <c r="I8" s="86" t="str">
        <f>IF(Formulas!$O97=0,"Não suporta",Formulas!$O97)</f>
        <v>Não suporta</v>
      </c>
      <c r="J8" s="87">
        <f>Formulas!$O98</f>
        <v>0</v>
      </c>
      <c r="K8" s="86">
        <f>IF(Formulas!$R97=0,"Não suporta",Formulas!$R97)</f>
        <v>7</v>
      </c>
      <c r="L8" s="87">
        <f>Formulas!$R98</f>
        <v>3990</v>
      </c>
      <c r="M8" s="86">
        <f>IF(Formulas!$U97=0,"Não suporta",Formulas!$U97)</f>
        <v>7</v>
      </c>
      <c r="N8" s="87">
        <f>Formulas!$U98</f>
        <v>4095</v>
      </c>
      <c r="O8" s="86" t="str">
        <f>IF(Formulas!$X97=0,"Não suporta",Formulas!$X97)</f>
        <v>Não suporta</v>
      </c>
      <c r="P8" s="87">
        <f>Formulas!$X98</f>
        <v>0</v>
      </c>
      <c r="Q8" s="86" t="str">
        <f>IF(Formulas!$AA97=0,"Não suporta",Formulas!$AA97)</f>
        <v>Não suporta</v>
      </c>
      <c r="R8" s="87">
        <f>Formulas!$AA98</f>
        <v>0</v>
      </c>
      <c r="S8" s="86" t="str">
        <f>IF(Formulas!$AD97=0,"Não suporta",Formulas!$AD97)</f>
        <v>Não suporta</v>
      </c>
      <c r="T8" s="87">
        <f>Formulas!$AD98</f>
        <v>0</v>
      </c>
      <c r="U8" s="86">
        <f>IF(Formulas!$AG97=0,"Não suporta",Formulas!$AG97)</f>
        <v>7</v>
      </c>
      <c r="V8" s="90">
        <f>Formulas!$AG98</f>
        <v>4025</v>
      </c>
    </row>
    <row r="9" spans="1:22">
      <c r="A9" s="81" t="s">
        <v>451</v>
      </c>
      <c r="B9" s="82">
        <f t="shared" si="0"/>
        <v>7620</v>
      </c>
      <c r="C9" s="83">
        <f>IF(Formulas!$F111=0,"Não suporta",Formulas!$F111)</f>
        <v>16</v>
      </c>
      <c r="D9" s="84">
        <f>Formulas!$F112</f>
        <v>8800</v>
      </c>
      <c r="E9" s="83">
        <f>IF(Formulas!$I111=0,"Não suporta",Formulas!$I111)</f>
        <v>16</v>
      </c>
      <c r="F9" s="84">
        <f>Formulas!$I112</f>
        <v>8800</v>
      </c>
      <c r="G9" s="83">
        <f>IF(Formulas!$L111=0,"Não suporta",Formulas!$L111)</f>
        <v>16</v>
      </c>
      <c r="H9" s="84">
        <f>Formulas!$L112</f>
        <v>8880</v>
      </c>
      <c r="I9" s="83" t="str">
        <f>IF(Formulas!$O111=0,"Não suporta",Formulas!$O111)</f>
        <v>Não suporta</v>
      </c>
      <c r="J9" s="84">
        <f>Formulas!$O112</f>
        <v>0</v>
      </c>
      <c r="K9" s="83">
        <f>IF(Formulas!$R111=0,"Não suporta",Formulas!$R111)</f>
        <v>15</v>
      </c>
      <c r="L9" s="84">
        <f>Formulas!$R112</f>
        <v>8550</v>
      </c>
      <c r="M9" s="83">
        <f>IF(Formulas!$U111=0,"Não suporta",Formulas!$U111)</f>
        <v>15</v>
      </c>
      <c r="N9" s="84">
        <f>Formulas!$U112</f>
        <v>8775</v>
      </c>
      <c r="O9" s="83" t="str">
        <f>IF(Formulas!$X111=0,"Não suporta",Formulas!$X111)</f>
        <v>Não suporta</v>
      </c>
      <c r="P9" s="84">
        <f>Formulas!$X112</f>
        <v>0</v>
      </c>
      <c r="Q9" s="83" t="str">
        <f>IF(Formulas!$AA111=0,"Não suporta",Formulas!$AA111)</f>
        <v>Não suporta</v>
      </c>
      <c r="R9" s="84">
        <f>Formulas!$AA112</f>
        <v>0</v>
      </c>
      <c r="S9" s="83" t="str">
        <f>IF(Formulas!$AD111=0,"Não suporta",Formulas!$AD111)</f>
        <v>Não suporta</v>
      </c>
      <c r="T9" s="84">
        <f>Formulas!$AD112</f>
        <v>0</v>
      </c>
      <c r="U9" s="83">
        <f>IF(Formulas!$AG111=0,"Não suporta",Formulas!$AG111)</f>
        <v>15</v>
      </c>
      <c r="V9" s="89">
        <f>Formulas!$AG112</f>
        <v>8625</v>
      </c>
    </row>
    <row r="10" spans="1:22">
      <c r="A10" s="85" t="s">
        <v>452</v>
      </c>
      <c r="B10" s="80">
        <f t="shared" si="0"/>
        <v>10056.75</v>
      </c>
      <c r="C10" s="86">
        <f>IF(Formulas!$F125=0,"Não suporta",Formulas!$F125)</f>
        <v>20</v>
      </c>
      <c r="D10" s="87">
        <f>Formulas!$F126</f>
        <v>11000</v>
      </c>
      <c r="E10" s="86">
        <f>IF(Formulas!$I125=0,"Não suporta",Formulas!$I125)</f>
        <v>20</v>
      </c>
      <c r="F10" s="87">
        <f>Formulas!$I126</f>
        <v>11000</v>
      </c>
      <c r="G10" s="86">
        <f>IF(Formulas!$L125=0,"Não suporta",Formulas!$L125)</f>
        <v>20</v>
      </c>
      <c r="H10" s="87">
        <f>Formulas!$L126</f>
        <v>11100</v>
      </c>
      <c r="I10" s="86">
        <f>IF(Formulas!$O125=0,"Não suporta",Formulas!$O125)</f>
        <v>19</v>
      </c>
      <c r="J10" s="87">
        <f>Formulas!$O126</f>
        <v>10830</v>
      </c>
      <c r="K10" s="86">
        <f>IF(Formulas!$R125=0,"Não suporta",Formulas!$R125)</f>
        <v>19</v>
      </c>
      <c r="L10" s="87">
        <f>Formulas!$R126</f>
        <v>10830</v>
      </c>
      <c r="M10" s="86">
        <f>IF(Formulas!$U125=0,"Não suporta",Formulas!$U125)</f>
        <v>19</v>
      </c>
      <c r="N10" s="87">
        <f>Formulas!$U126</f>
        <v>11115</v>
      </c>
      <c r="O10" s="86">
        <f>IF(Formulas!$X125=0,"Não suporta",Formulas!$X125)</f>
        <v>17</v>
      </c>
      <c r="P10" s="87">
        <f>Formulas!$X126</f>
        <v>10795</v>
      </c>
      <c r="Q10" s="86">
        <f>IF(Formulas!$AA125=0,"Não suporta",Formulas!$AA125)</f>
        <v>16</v>
      </c>
      <c r="R10" s="87">
        <f>Formulas!$AA126</f>
        <v>11200</v>
      </c>
      <c r="S10" s="86">
        <f>IF(Formulas!$AD125=0,"Não suporta",Formulas!$AD125)</f>
        <v>15</v>
      </c>
      <c r="T10" s="87">
        <f>Formulas!$AD126</f>
        <v>10650</v>
      </c>
      <c r="U10" s="86">
        <f>IF(Formulas!$AG125=0,"Não suporta",Formulas!$AG125)</f>
        <v>19</v>
      </c>
      <c r="V10" s="90">
        <f>Formulas!$AG126</f>
        <v>10925</v>
      </c>
    </row>
    <row r="11" spans="1:22">
      <c r="A11" s="81" t="s">
        <v>465</v>
      </c>
      <c r="B11" s="82">
        <f t="shared" si="0"/>
        <v>91799.999999999985</v>
      </c>
      <c r="C11" s="83">
        <f>IF(Formulas!$F139=0,"Não suporta",Formulas!$F139)</f>
        <v>137</v>
      </c>
      <c r="D11" s="84">
        <f>Formulas!$F140</f>
        <v>75350</v>
      </c>
      <c r="E11" s="83">
        <f>IF(Formulas!$I139=0,"Não suporta",Formulas!$I139)</f>
        <v>137</v>
      </c>
      <c r="F11" s="84">
        <f>Formulas!$I140</f>
        <v>75350</v>
      </c>
      <c r="G11" s="83">
        <f>IF(Formulas!$L139=0,"Não suporta",Formulas!$L139)</f>
        <v>135</v>
      </c>
      <c r="H11" s="84">
        <f>Formulas!$L140</f>
        <v>74925</v>
      </c>
      <c r="I11" s="83">
        <f>IF(Formulas!$O139=0,"Não suporta",Formulas!$O139)</f>
        <v>132</v>
      </c>
      <c r="J11" s="84">
        <f>Formulas!$O140</f>
        <v>75240</v>
      </c>
      <c r="K11" s="83">
        <f>IF(Formulas!$R139=0,"Não suporta",Formulas!$R139)</f>
        <v>132</v>
      </c>
      <c r="L11" s="84">
        <f>Formulas!$R140</f>
        <v>75240</v>
      </c>
      <c r="M11" s="83">
        <f>IF(Formulas!$U139=0,"Não suporta",Formulas!$U139)</f>
        <v>128</v>
      </c>
      <c r="N11" s="84">
        <f>Formulas!$U140</f>
        <v>74880</v>
      </c>
      <c r="O11" s="83">
        <f>IF(Formulas!$X139=0,"Não suporta",Formulas!$X139)</f>
        <v>118</v>
      </c>
      <c r="P11" s="84">
        <f>Formulas!$X140</f>
        <v>74930</v>
      </c>
      <c r="Q11" s="83">
        <f>IF(Formulas!$AA139=0,"Não suporta",Formulas!$AA139)</f>
        <v>107</v>
      </c>
      <c r="R11" s="84">
        <f>Formulas!$AA140</f>
        <v>74900</v>
      </c>
      <c r="S11" s="83">
        <f>IF(Formulas!$AD139=0,"Não suporta",Formulas!$AD139)</f>
        <v>106</v>
      </c>
      <c r="T11" s="84">
        <f>Formulas!$AD140</f>
        <v>75260</v>
      </c>
      <c r="U11" s="83">
        <f>IF(Formulas!$AG139=0,"Não suporta",Formulas!$AG139)</f>
        <v>131</v>
      </c>
      <c r="V11" s="89">
        <f>Formulas!$AG140</f>
        <v>75325</v>
      </c>
    </row>
    <row r="12" spans="1:22">
      <c r="A12" s="85" t="s">
        <v>466</v>
      </c>
      <c r="B12" s="80">
        <f t="shared" si="0"/>
        <v>120180</v>
      </c>
      <c r="C12" s="86">
        <f>IF(Formulas!$F153=0,"Não suporta",Formulas!$F153)</f>
        <v>164</v>
      </c>
      <c r="D12" s="87">
        <f>Formulas!$F154</f>
        <v>90200</v>
      </c>
      <c r="E12" s="86">
        <f>IF(Formulas!$I153=0,"Não suporta",Formulas!$I153)</f>
        <v>164</v>
      </c>
      <c r="F12" s="87">
        <f>Formulas!$I154</f>
        <v>90200</v>
      </c>
      <c r="G12" s="86">
        <f>IF(Formulas!$L153=0,"Não suporta",Formulas!$L153)</f>
        <v>162</v>
      </c>
      <c r="H12" s="87">
        <f>Formulas!$L154</f>
        <v>89910</v>
      </c>
      <c r="I12" s="86">
        <f>IF(Formulas!$O153=0,"Não suporta",Formulas!$O153)</f>
        <v>158</v>
      </c>
      <c r="J12" s="87">
        <f>Formulas!$O154</f>
        <v>90060</v>
      </c>
      <c r="K12" s="86">
        <f>IF(Formulas!$R153=0,"Não suporta",Formulas!$R153)</f>
        <v>158</v>
      </c>
      <c r="L12" s="87">
        <f>Formulas!$R154</f>
        <v>90060</v>
      </c>
      <c r="M12" s="86">
        <f>IF(Formulas!$U153=0,"Não suporta",Formulas!$U153)</f>
        <v>154</v>
      </c>
      <c r="N12" s="87">
        <f>Formulas!$U154</f>
        <v>90090</v>
      </c>
      <c r="O12" s="86">
        <f>IF(Formulas!$X153=0,"Não suporta",Formulas!$X153)</f>
        <v>142</v>
      </c>
      <c r="P12" s="87">
        <f>Formulas!$X154</f>
        <v>90170</v>
      </c>
      <c r="Q12" s="86">
        <f>IF(Formulas!$AA153=0,"Não suporta",Formulas!$AA153)</f>
        <v>129</v>
      </c>
      <c r="R12" s="87">
        <f>Formulas!$AA154</f>
        <v>90300</v>
      </c>
      <c r="S12" s="86">
        <f>IF(Formulas!$AD153=0,"Não suporta",Formulas!$AD153)</f>
        <v>127</v>
      </c>
      <c r="T12" s="87">
        <f>Formulas!$AD154</f>
        <v>90170</v>
      </c>
      <c r="U12" s="86">
        <f>IF(Formulas!$AG153=0,"Não suporta",Formulas!$AG153)</f>
        <v>157</v>
      </c>
      <c r="V12" s="90">
        <f>Formulas!$AG154</f>
        <v>90275</v>
      </c>
    </row>
    <row r="13" spans="1:22">
      <c r="B13" t="e">
        <f t="shared" si="0"/>
        <v>#N/A</v>
      </c>
    </row>
    <row r="14" spans="1:22">
      <c r="B14" t="e">
        <f t="shared" si="0"/>
        <v>#N/A</v>
      </c>
    </row>
    <row r="15" spans="1:22">
      <c r="B15" t="e">
        <f t="shared" si="0"/>
        <v>#N/A</v>
      </c>
    </row>
    <row r="16" spans="1:22">
      <c r="B16" t="e">
        <f t="shared" si="0"/>
        <v>#N/A</v>
      </c>
    </row>
    <row r="17" spans="2:2">
      <c r="B17" t="e">
        <f t="shared" si="0"/>
        <v>#N/A</v>
      </c>
    </row>
    <row r="18" spans="2:2">
      <c r="B18" t="e">
        <f t="shared" si="0"/>
        <v>#N/A</v>
      </c>
    </row>
    <row r="19" spans="2:2">
      <c r="B19" t="e">
        <f t="shared" si="0"/>
        <v>#N/A</v>
      </c>
    </row>
    <row r="20" spans="2:2">
      <c r="B20" t="e">
        <f t="shared" si="0"/>
        <v>#N/A</v>
      </c>
    </row>
    <row r="21" spans="2:2">
      <c r="B21" t="e">
        <f t="shared" si="0"/>
        <v>#N/A</v>
      </c>
    </row>
    <row r="22" spans="2:2">
      <c r="B22" t="e">
        <f t="shared" si="0"/>
        <v>#N/A</v>
      </c>
    </row>
    <row r="23" spans="2:2">
      <c r="B23" t="e">
        <f t="shared" si="0"/>
        <v>#N/A</v>
      </c>
    </row>
    <row r="24" spans="2:2">
      <c r="B24" t="e">
        <f t="shared" si="0"/>
        <v>#N/A</v>
      </c>
    </row>
    <row r="25" spans="2:2">
      <c r="B25" t="e">
        <f t="shared" si="0"/>
        <v>#N/A</v>
      </c>
    </row>
    <row r="26" spans="2:2">
      <c r="B26" t="e">
        <f t="shared" si="0"/>
        <v>#N/A</v>
      </c>
    </row>
    <row r="27" spans="2:2">
      <c r="B27" t="e">
        <f t="shared" si="0"/>
        <v>#N/A</v>
      </c>
    </row>
    <row r="28" spans="2:2">
      <c r="B28" t="e">
        <f t="shared" si="0"/>
        <v>#N/A</v>
      </c>
    </row>
    <row r="29" spans="2:2">
      <c r="B29" t="e">
        <f t="shared" si="0"/>
        <v>#N/A</v>
      </c>
    </row>
    <row r="30" spans="2:2">
      <c r="B30" t="e">
        <f t="shared" si="0"/>
        <v>#N/A</v>
      </c>
    </row>
    <row r="31" spans="2:2">
      <c r="B31" t="e">
        <f t="shared" si="0"/>
        <v>#N/A</v>
      </c>
    </row>
    <row r="32" spans="2:2">
      <c r="B32" t="e">
        <f t="shared" si="0"/>
        <v>#N/A</v>
      </c>
    </row>
    <row r="33" spans="2:2">
      <c r="B33" t="e">
        <f t="shared" si="0"/>
        <v>#N/A</v>
      </c>
    </row>
    <row r="34" spans="2:2">
      <c r="B34" t="e">
        <f t="shared" si="0"/>
        <v>#N/A</v>
      </c>
    </row>
    <row r="35" spans="2:2">
      <c r="B35" t="e">
        <f t="shared" si="0"/>
        <v>#N/A</v>
      </c>
    </row>
    <row r="36" spans="2:2">
      <c r="B36" t="e">
        <f t="shared" si="0"/>
        <v>#N/A</v>
      </c>
    </row>
    <row r="37" spans="2:2">
      <c r="B37" t="e">
        <f t="shared" si="0"/>
        <v>#N/A</v>
      </c>
    </row>
    <row r="38" spans="2:2">
      <c r="B38" t="e">
        <f t="shared" si="0"/>
        <v>#N/A</v>
      </c>
    </row>
    <row r="39" spans="2:2">
      <c r="B39" t="e">
        <f t="shared" si="0"/>
        <v>#N/A</v>
      </c>
    </row>
    <row r="40" spans="2:2">
      <c r="B40" t="e">
        <f t="shared" si="0"/>
        <v>#N/A</v>
      </c>
    </row>
    <row r="41" spans="2:2">
      <c r="B41" t="e">
        <f t="shared" si="0"/>
        <v>#N/A</v>
      </c>
    </row>
    <row r="42" spans="2:2">
      <c r="B42" t="e">
        <f t="shared" si="0"/>
        <v>#N/A</v>
      </c>
    </row>
    <row r="43" spans="2:2">
      <c r="B43" t="e">
        <f t="shared" si="0"/>
        <v>#N/A</v>
      </c>
    </row>
    <row r="44" spans="2:2">
      <c r="B44" t="e">
        <f t="shared" si="0"/>
        <v>#N/A</v>
      </c>
    </row>
    <row r="45" spans="2:2">
      <c r="B45" t="e">
        <f t="shared" si="0"/>
        <v>#N/A</v>
      </c>
    </row>
    <row r="46" spans="2:2">
      <c r="B46" t="e">
        <f t="shared" si="0"/>
        <v>#N/A</v>
      </c>
    </row>
    <row r="47" spans="2:2">
      <c r="B47" t="e">
        <f t="shared" si="0"/>
        <v>#N/A</v>
      </c>
    </row>
    <row r="48" spans="2:2">
      <c r="B48" t="e">
        <f t="shared" si="0"/>
        <v>#N/A</v>
      </c>
    </row>
    <row r="49" spans="2:2">
      <c r="B49" t="e">
        <f t="shared" si="0"/>
        <v>#N/A</v>
      </c>
    </row>
    <row r="50" spans="2:2">
      <c r="B50" t="e">
        <f t="shared" si="0"/>
        <v>#N/A</v>
      </c>
    </row>
    <row r="51" spans="2:2">
      <c r="B51" t="e">
        <f t="shared" si="0"/>
        <v>#N/A</v>
      </c>
    </row>
    <row r="52" spans="2:2">
      <c r="B52" t="e">
        <f t="shared" si="0"/>
        <v>#N/A</v>
      </c>
    </row>
    <row r="53" spans="2:2">
      <c r="B53" t="e">
        <f t="shared" si="0"/>
        <v>#N/A</v>
      </c>
    </row>
    <row r="54" spans="2:2">
      <c r="B54" t="e">
        <f t="shared" si="0"/>
        <v>#N/A</v>
      </c>
    </row>
    <row r="55" spans="2:2">
      <c r="B55" t="e">
        <f t="shared" si="0"/>
        <v>#N/A</v>
      </c>
    </row>
    <row r="56" spans="2:2">
      <c r="B56" t="e">
        <f t="shared" si="0"/>
        <v>#N/A</v>
      </c>
    </row>
    <row r="57" spans="2:2">
      <c r="B57" t="e">
        <f t="shared" si="0"/>
        <v>#N/A</v>
      </c>
    </row>
    <row r="58" spans="2:2">
      <c r="B58" t="e">
        <f t="shared" si="0"/>
        <v>#N/A</v>
      </c>
    </row>
    <row r="59" spans="2:2">
      <c r="B59" t="e">
        <f t="shared" si="0"/>
        <v>#N/A</v>
      </c>
    </row>
    <row r="60" spans="2:2">
      <c r="B60" t="e">
        <f t="shared" si="0"/>
        <v>#N/A</v>
      </c>
    </row>
    <row r="61" spans="2:2">
      <c r="B61" t="e">
        <f t="shared" si="0"/>
        <v>#N/A</v>
      </c>
    </row>
    <row r="62" spans="2:2">
      <c r="B62" t="e">
        <f t="shared" si="0"/>
        <v>#N/A</v>
      </c>
    </row>
    <row r="63" spans="2:2">
      <c r="B63" t="e">
        <f t="shared" si="0"/>
        <v>#N/A</v>
      </c>
    </row>
    <row r="64" spans="2:2">
      <c r="B64" t="e">
        <f t="shared" si="0"/>
        <v>#N/A</v>
      </c>
    </row>
    <row r="65" spans="2:2">
      <c r="B65" t="e">
        <f t="shared" si="0"/>
        <v>#N/A</v>
      </c>
    </row>
    <row r="66" spans="2:2">
      <c r="B66" t="e">
        <f t="shared" si="0"/>
        <v>#N/A</v>
      </c>
    </row>
    <row r="67" spans="2:2">
      <c r="B67" t="e">
        <f t="shared" ref="B67:B130" si="1">VLOOKUP($A67,inv_Dados,13,0)*(1+VLOOKUP($A67,inv_Dados,32,0)/100)</f>
        <v>#N/A</v>
      </c>
    </row>
    <row r="68" spans="2:2">
      <c r="B68" t="e">
        <f t="shared" si="1"/>
        <v>#N/A</v>
      </c>
    </row>
    <row r="69" spans="2:2">
      <c r="B69" t="e">
        <f t="shared" si="1"/>
        <v>#N/A</v>
      </c>
    </row>
    <row r="70" spans="2:2">
      <c r="B70" t="e">
        <f t="shared" si="1"/>
        <v>#N/A</v>
      </c>
    </row>
    <row r="71" spans="2:2">
      <c r="B71" t="e">
        <f t="shared" si="1"/>
        <v>#N/A</v>
      </c>
    </row>
    <row r="72" spans="2:2">
      <c r="B72" t="e">
        <f t="shared" si="1"/>
        <v>#N/A</v>
      </c>
    </row>
    <row r="73" spans="2:2">
      <c r="B73" t="e">
        <f t="shared" si="1"/>
        <v>#N/A</v>
      </c>
    </row>
    <row r="74" spans="2:2">
      <c r="B74" t="e">
        <f t="shared" si="1"/>
        <v>#N/A</v>
      </c>
    </row>
    <row r="75" spans="2:2">
      <c r="B75" t="e">
        <f t="shared" si="1"/>
        <v>#N/A</v>
      </c>
    </row>
    <row r="76" spans="2:2">
      <c r="B76" t="e">
        <f t="shared" si="1"/>
        <v>#N/A</v>
      </c>
    </row>
    <row r="77" spans="2:2">
      <c r="B77" t="e">
        <f t="shared" si="1"/>
        <v>#N/A</v>
      </c>
    </row>
    <row r="78" spans="2:2">
      <c r="B78" t="e">
        <f t="shared" si="1"/>
        <v>#N/A</v>
      </c>
    </row>
    <row r="79" spans="2:2">
      <c r="B79" t="e">
        <f t="shared" si="1"/>
        <v>#N/A</v>
      </c>
    </row>
    <row r="80" spans="2:2">
      <c r="B80" t="e">
        <f t="shared" si="1"/>
        <v>#N/A</v>
      </c>
    </row>
    <row r="81" spans="2:2">
      <c r="B81" t="e">
        <f t="shared" si="1"/>
        <v>#N/A</v>
      </c>
    </row>
    <row r="82" spans="2:2">
      <c r="B82" t="e">
        <f t="shared" si="1"/>
        <v>#N/A</v>
      </c>
    </row>
    <row r="83" spans="2:2">
      <c r="B83" t="e">
        <f t="shared" si="1"/>
        <v>#N/A</v>
      </c>
    </row>
    <row r="84" spans="2:2">
      <c r="B84" t="e">
        <f t="shared" si="1"/>
        <v>#N/A</v>
      </c>
    </row>
    <row r="85" spans="2:2">
      <c r="B85" t="e">
        <f t="shared" si="1"/>
        <v>#N/A</v>
      </c>
    </row>
    <row r="86" spans="2:2">
      <c r="B86" t="e">
        <f t="shared" si="1"/>
        <v>#N/A</v>
      </c>
    </row>
    <row r="87" spans="2:2">
      <c r="B87" t="e">
        <f t="shared" si="1"/>
        <v>#N/A</v>
      </c>
    </row>
    <row r="88" spans="2:2">
      <c r="B88" t="e">
        <f t="shared" si="1"/>
        <v>#N/A</v>
      </c>
    </row>
    <row r="89" spans="2:2">
      <c r="B89" t="e">
        <f t="shared" si="1"/>
        <v>#N/A</v>
      </c>
    </row>
    <row r="90" spans="2:2">
      <c r="B90" t="e">
        <f t="shared" si="1"/>
        <v>#N/A</v>
      </c>
    </row>
    <row r="91" spans="2:2">
      <c r="B91" t="e">
        <f t="shared" si="1"/>
        <v>#N/A</v>
      </c>
    </row>
    <row r="92" spans="2:2">
      <c r="B92" t="e">
        <f t="shared" si="1"/>
        <v>#N/A</v>
      </c>
    </row>
    <row r="93" spans="2:2">
      <c r="B93" t="e">
        <f t="shared" si="1"/>
        <v>#N/A</v>
      </c>
    </row>
    <row r="94" spans="2:2">
      <c r="B94" t="e">
        <f t="shared" si="1"/>
        <v>#N/A</v>
      </c>
    </row>
    <row r="95" spans="2:2">
      <c r="B95" t="e">
        <f t="shared" si="1"/>
        <v>#N/A</v>
      </c>
    </row>
    <row r="96" spans="2:2">
      <c r="B96" t="e">
        <f t="shared" si="1"/>
        <v>#N/A</v>
      </c>
    </row>
    <row r="97" spans="2:2">
      <c r="B97" t="e">
        <f t="shared" si="1"/>
        <v>#N/A</v>
      </c>
    </row>
    <row r="98" spans="2:2">
      <c r="B98" t="e">
        <f t="shared" si="1"/>
        <v>#N/A</v>
      </c>
    </row>
    <row r="99" spans="2:2">
      <c r="B99" t="e">
        <f t="shared" si="1"/>
        <v>#N/A</v>
      </c>
    </row>
    <row r="100" spans="2:2">
      <c r="B100" t="e">
        <f t="shared" si="1"/>
        <v>#N/A</v>
      </c>
    </row>
    <row r="101" spans="2:2">
      <c r="B101" t="e">
        <f t="shared" si="1"/>
        <v>#N/A</v>
      </c>
    </row>
    <row r="102" spans="2:2">
      <c r="B102" t="e">
        <f t="shared" si="1"/>
        <v>#N/A</v>
      </c>
    </row>
    <row r="103" spans="2:2">
      <c r="B103" t="e">
        <f t="shared" si="1"/>
        <v>#N/A</v>
      </c>
    </row>
    <row r="104" spans="2:2">
      <c r="B104" t="e">
        <f t="shared" si="1"/>
        <v>#N/A</v>
      </c>
    </row>
    <row r="105" spans="2:2">
      <c r="B105" t="e">
        <f t="shared" si="1"/>
        <v>#N/A</v>
      </c>
    </row>
    <row r="106" spans="2:2">
      <c r="B106" t="e">
        <f t="shared" si="1"/>
        <v>#N/A</v>
      </c>
    </row>
    <row r="107" spans="2:2">
      <c r="B107" t="e">
        <f t="shared" si="1"/>
        <v>#N/A</v>
      </c>
    </row>
    <row r="108" spans="2:2">
      <c r="B108" t="e">
        <f t="shared" si="1"/>
        <v>#N/A</v>
      </c>
    </row>
    <row r="109" spans="2:2">
      <c r="B109" t="e">
        <f t="shared" si="1"/>
        <v>#N/A</v>
      </c>
    </row>
    <row r="110" spans="2:2">
      <c r="B110" t="e">
        <f t="shared" si="1"/>
        <v>#N/A</v>
      </c>
    </row>
    <row r="111" spans="2:2">
      <c r="B111" t="e">
        <f t="shared" si="1"/>
        <v>#N/A</v>
      </c>
    </row>
    <row r="112" spans="2:2">
      <c r="B112" t="e">
        <f t="shared" si="1"/>
        <v>#N/A</v>
      </c>
    </row>
    <row r="113" spans="2:2">
      <c r="B113" t="e">
        <f t="shared" si="1"/>
        <v>#N/A</v>
      </c>
    </row>
    <row r="114" spans="2:2">
      <c r="B114" t="e">
        <f t="shared" si="1"/>
        <v>#N/A</v>
      </c>
    </row>
    <row r="115" spans="2:2">
      <c r="B115" t="e">
        <f t="shared" si="1"/>
        <v>#N/A</v>
      </c>
    </row>
    <row r="116" spans="2:2">
      <c r="B116" t="e">
        <f t="shared" si="1"/>
        <v>#N/A</v>
      </c>
    </row>
    <row r="117" spans="2:2">
      <c r="B117" t="e">
        <f t="shared" si="1"/>
        <v>#N/A</v>
      </c>
    </row>
    <row r="118" spans="2:2">
      <c r="B118" t="e">
        <f t="shared" si="1"/>
        <v>#N/A</v>
      </c>
    </row>
    <row r="119" spans="2:2">
      <c r="B119" t="e">
        <f t="shared" si="1"/>
        <v>#N/A</v>
      </c>
    </row>
    <row r="120" spans="2:2">
      <c r="B120" t="e">
        <f t="shared" si="1"/>
        <v>#N/A</v>
      </c>
    </row>
    <row r="121" spans="2:2">
      <c r="B121" t="e">
        <f t="shared" si="1"/>
        <v>#N/A</v>
      </c>
    </row>
    <row r="122" spans="2:2">
      <c r="B122" t="e">
        <f t="shared" si="1"/>
        <v>#N/A</v>
      </c>
    </row>
    <row r="123" spans="2:2">
      <c r="B123" t="e">
        <f t="shared" si="1"/>
        <v>#N/A</v>
      </c>
    </row>
    <row r="124" spans="2:2">
      <c r="B124" t="e">
        <f t="shared" si="1"/>
        <v>#N/A</v>
      </c>
    </row>
    <row r="125" spans="2:2">
      <c r="B125" t="e">
        <f t="shared" si="1"/>
        <v>#N/A</v>
      </c>
    </row>
    <row r="126" spans="2:2">
      <c r="B126" t="e">
        <f t="shared" si="1"/>
        <v>#N/A</v>
      </c>
    </row>
    <row r="127" spans="2:2">
      <c r="B127" t="e">
        <f t="shared" si="1"/>
        <v>#N/A</v>
      </c>
    </row>
    <row r="128" spans="2:2">
      <c r="B128" t="e">
        <f t="shared" si="1"/>
        <v>#N/A</v>
      </c>
    </row>
    <row r="129" spans="2:2">
      <c r="B129" t="e">
        <f t="shared" si="1"/>
        <v>#N/A</v>
      </c>
    </row>
    <row r="130" spans="2:2">
      <c r="B130" t="e">
        <f t="shared" si="1"/>
        <v>#N/A</v>
      </c>
    </row>
    <row r="131" spans="2:2">
      <c r="B131" t="e">
        <f t="shared" ref="B131:B194" si="2">VLOOKUP($A131,inv_Dados,13,0)*(1+VLOOKUP($A131,inv_Dados,32,0)/100)</f>
        <v>#N/A</v>
      </c>
    </row>
    <row r="132" spans="2:2">
      <c r="B132" t="e">
        <f t="shared" si="2"/>
        <v>#N/A</v>
      </c>
    </row>
    <row r="133" spans="2:2">
      <c r="B133" t="e">
        <f t="shared" si="2"/>
        <v>#N/A</v>
      </c>
    </row>
    <row r="134" spans="2:2">
      <c r="B134" t="e">
        <f t="shared" si="2"/>
        <v>#N/A</v>
      </c>
    </row>
    <row r="135" spans="2:2">
      <c r="B135" t="e">
        <f t="shared" si="2"/>
        <v>#N/A</v>
      </c>
    </row>
    <row r="136" spans="2:2">
      <c r="B136" t="e">
        <f t="shared" si="2"/>
        <v>#N/A</v>
      </c>
    </row>
    <row r="137" spans="2:2">
      <c r="B137" t="e">
        <f t="shared" si="2"/>
        <v>#N/A</v>
      </c>
    </row>
    <row r="138" spans="2:2">
      <c r="B138" t="e">
        <f t="shared" si="2"/>
        <v>#N/A</v>
      </c>
    </row>
    <row r="139" spans="2:2">
      <c r="B139" t="e">
        <f t="shared" si="2"/>
        <v>#N/A</v>
      </c>
    </row>
    <row r="140" spans="2:2">
      <c r="B140" t="e">
        <f t="shared" si="2"/>
        <v>#N/A</v>
      </c>
    </row>
    <row r="141" spans="2:2">
      <c r="B141" t="e">
        <f t="shared" si="2"/>
        <v>#N/A</v>
      </c>
    </row>
    <row r="142" spans="2:2">
      <c r="B142" t="e">
        <f t="shared" si="2"/>
        <v>#N/A</v>
      </c>
    </row>
    <row r="143" spans="2:2">
      <c r="B143" t="e">
        <f t="shared" si="2"/>
        <v>#N/A</v>
      </c>
    </row>
    <row r="144" spans="2:2">
      <c r="B144" t="e">
        <f t="shared" si="2"/>
        <v>#N/A</v>
      </c>
    </row>
    <row r="145" spans="2:2">
      <c r="B145" t="e">
        <f t="shared" si="2"/>
        <v>#N/A</v>
      </c>
    </row>
    <row r="146" spans="2:2">
      <c r="B146" t="e">
        <f t="shared" si="2"/>
        <v>#N/A</v>
      </c>
    </row>
    <row r="147" spans="2:2">
      <c r="B147" t="e">
        <f t="shared" si="2"/>
        <v>#N/A</v>
      </c>
    </row>
    <row r="148" spans="2:2">
      <c r="B148" t="e">
        <f t="shared" si="2"/>
        <v>#N/A</v>
      </c>
    </row>
    <row r="149" spans="2:2">
      <c r="B149" t="e">
        <f t="shared" si="2"/>
        <v>#N/A</v>
      </c>
    </row>
    <row r="150" spans="2:2">
      <c r="B150" t="e">
        <f t="shared" si="2"/>
        <v>#N/A</v>
      </c>
    </row>
    <row r="151" spans="2:2">
      <c r="B151" t="e">
        <f t="shared" si="2"/>
        <v>#N/A</v>
      </c>
    </row>
    <row r="152" spans="2:2">
      <c r="B152" t="e">
        <f t="shared" si="2"/>
        <v>#N/A</v>
      </c>
    </row>
    <row r="153" spans="2:2">
      <c r="B153" t="e">
        <f t="shared" si="2"/>
        <v>#N/A</v>
      </c>
    </row>
    <row r="154" spans="2:2">
      <c r="B154" t="e">
        <f t="shared" si="2"/>
        <v>#N/A</v>
      </c>
    </row>
    <row r="155" spans="2:2">
      <c r="B155" t="e">
        <f t="shared" si="2"/>
        <v>#N/A</v>
      </c>
    </row>
    <row r="156" spans="2:2">
      <c r="B156" t="e">
        <f t="shared" si="2"/>
        <v>#N/A</v>
      </c>
    </row>
    <row r="157" spans="2:2">
      <c r="B157" t="e">
        <f t="shared" si="2"/>
        <v>#N/A</v>
      </c>
    </row>
    <row r="158" spans="2:2">
      <c r="B158" t="e">
        <f t="shared" si="2"/>
        <v>#N/A</v>
      </c>
    </row>
    <row r="159" spans="2:2">
      <c r="B159" t="e">
        <f t="shared" si="2"/>
        <v>#N/A</v>
      </c>
    </row>
    <row r="160" spans="2:2">
      <c r="B160" t="e">
        <f t="shared" si="2"/>
        <v>#N/A</v>
      </c>
    </row>
    <row r="161" spans="2:2">
      <c r="B161" t="e">
        <f t="shared" si="2"/>
        <v>#N/A</v>
      </c>
    </row>
    <row r="162" spans="2:2">
      <c r="B162" t="e">
        <f t="shared" si="2"/>
        <v>#N/A</v>
      </c>
    </row>
    <row r="163" spans="2:2">
      <c r="B163" t="e">
        <f t="shared" si="2"/>
        <v>#N/A</v>
      </c>
    </row>
    <row r="164" spans="2:2">
      <c r="B164" t="e">
        <f t="shared" si="2"/>
        <v>#N/A</v>
      </c>
    </row>
    <row r="165" spans="2:2">
      <c r="B165" t="e">
        <f t="shared" si="2"/>
        <v>#N/A</v>
      </c>
    </row>
    <row r="166" spans="2:2">
      <c r="B166" t="e">
        <f t="shared" si="2"/>
        <v>#N/A</v>
      </c>
    </row>
    <row r="167" spans="2:2">
      <c r="B167" t="e">
        <f t="shared" si="2"/>
        <v>#N/A</v>
      </c>
    </row>
    <row r="168" spans="2:2">
      <c r="B168" t="e">
        <f t="shared" si="2"/>
        <v>#N/A</v>
      </c>
    </row>
    <row r="169" spans="2:2">
      <c r="B169" t="e">
        <f t="shared" si="2"/>
        <v>#N/A</v>
      </c>
    </row>
    <row r="170" spans="2:2">
      <c r="B170" t="e">
        <f t="shared" si="2"/>
        <v>#N/A</v>
      </c>
    </row>
    <row r="171" spans="2:2">
      <c r="B171" t="e">
        <f t="shared" si="2"/>
        <v>#N/A</v>
      </c>
    </row>
    <row r="172" spans="2:2">
      <c r="B172" t="e">
        <f t="shared" si="2"/>
        <v>#N/A</v>
      </c>
    </row>
    <row r="173" spans="2:2">
      <c r="B173" t="e">
        <f t="shared" si="2"/>
        <v>#N/A</v>
      </c>
    </row>
    <row r="174" spans="2:2">
      <c r="B174" t="e">
        <f t="shared" si="2"/>
        <v>#N/A</v>
      </c>
    </row>
    <row r="175" spans="2:2">
      <c r="B175" t="e">
        <f t="shared" si="2"/>
        <v>#N/A</v>
      </c>
    </row>
    <row r="176" spans="2:2">
      <c r="B176" t="e">
        <f t="shared" si="2"/>
        <v>#N/A</v>
      </c>
    </row>
    <row r="177" spans="2:2">
      <c r="B177" t="e">
        <f t="shared" si="2"/>
        <v>#N/A</v>
      </c>
    </row>
    <row r="178" spans="2:2">
      <c r="B178" t="e">
        <f t="shared" si="2"/>
        <v>#N/A</v>
      </c>
    </row>
    <row r="179" spans="2:2">
      <c r="B179" t="e">
        <f t="shared" si="2"/>
        <v>#N/A</v>
      </c>
    </row>
    <row r="180" spans="2:2">
      <c r="B180" t="e">
        <f t="shared" si="2"/>
        <v>#N/A</v>
      </c>
    </row>
    <row r="181" spans="2:2">
      <c r="B181" t="e">
        <f t="shared" si="2"/>
        <v>#N/A</v>
      </c>
    </row>
    <row r="182" spans="2:2">
      <c r="B182" t="e">
        <f t="shared" si="2"/>
        <v>#N/A</v>
      </c>
    </row>
    <row r="183" spans="2:2">
      <c r="B183" t="e">
        <f t="shared" si="2"/>
        <v>#N/A</v>
      </c>
    </row>
    <row r="184" spans="2:2">
      <c r="B184" t="e">
        <f t="shared" si="2"/>
        <v>#N/A</v>
      </c>
    </row>
    <row r="185" spans="2:2">
      <c r="B185" t="e">
        <f t="shared" si="2"/>
        <v>#N/A</v>
      </c>
    </row>
    <row r="186" spans="2:2">
      <c r="B186" t="e">
        <f t="shared" si="2"/>
        <v>#N/A</v>
      </c>
    </row>
    <row r="187" spans="2:2">
      <c r="B187" t="e">
        <f t="shared" si="2"/>
        <v>#N/A</v>
      </c>
    </row>
    <row r="188" spans="2:2">
      <c r="B188" t="e">
        <f t="shared" si="2"/>
        <v>#N/A</v>
      </c>
    </row>
    <row r="189" spans="2:2">
      <c r="B189" t="e">
        <f t="shared" si="2"/>
        <v>#N/A</v>
      </c>
    </row>
    <row r="190" spans="2:2">
      <c r="B190" t="e">
        <f t="shared" si="2"/>
        <v>#N/A</v>
      </c>
    </row>
    <row r="191" spans="2:2">
      <c r="B191" t="e">
        <f t="shared" si="2"/>
        <v>#N/A</v>
      </c>
    </row>
    <row r="192" spans="2:2">
      <c r="B192" t="e">
        <f t="shared" si="2"/>
        <v>#N/A</v>
      </c>
    </row>
    <row r="193" spans="2:2">
      <c r="B193" t="e">
        <f t="shared" si="2"/>
        <v>#N/A</v>
      </c>
    </row>
    <row r="194" spans="2:2">
      <c r="B194" t="e">
        <f t="shared" si="2"/>
        <v>#N/A</v>
      </c>
    </row>
    <row r="195" spans="2:2">
      <c r="B195" t="e">
        <f t="shared" ref="B195:B258" si="3">VLOOKUP($A195,inv_Dados,13,0)*(1+VLOOKUP($A195,inv_Dados,32,0)/100)</f>
        <v>#N/A</v>
      </c>
    </row>
    <row r="196" spans="2:2">
      <c r="B196" t="e">
        <f t="shared" si="3"/>
        <v>#N/A</v>
      </c>
    </row>
    <row r="197" spans="2:2">
      <c r="B197" t="e">
        <f t="shared" si="3"/>
        <v>#N/A</v>
      </c>
    </row>
    <row r="198" spans="2:2">
      <c r="B198" t="e">
        <f t="shared" si="3"/>
        <v>#N/A</v>
      </c>
    </row>
    <row r="199" spans="2:2">
      <c r="B199" t="e">
        <f t="shared" si="3"/>
        <v>#N/A</v>
      </c>
    </row>
    <row r="200" spans="2:2">
      <c r="B200" t="e">
        <f t="shared" si="3"/>
        <v>#N/A</v>
      </c>
    </row>
    <row r="201" spans="2:2">
      <c r="B201" t="e">
        <f t="shared" si="3"/>
        <v>#N/A</v>
      </c>
    </row>
    <row r="202" spans="2:2">
      <c r="B202" t="e">
        <f t="shared" si="3"/>
        <v>#N/A</v>
      </c>
    </row>
    <row r="203" spans="2:2">
      <c r="B203" t="e">
        <f t="shared" si="3"/>
        <v>#N/A</v>
      </c>
    </row>
    <row r="204" spans="2:2">
      <c r="B204" t="e">
        <f t="shared" si="3"/>
        <v>#N/A</v>
      </c>
    </row>
    <row r="205" spans="2:2">
      <c r="B205" t="e">
        <f t="shared" si="3"/>
        <v>#N/A</v>
      </c>
    </row>
    <row r="206" spans="2:2">
      <c r="B206" t="e">
        <f t="shared" si="3"/>
        <v>#N/A</v>
      </c>
    </row>
    <row r="207" spans="2:2">
      <c r="B207" t="e">
        <f t="shared" si="3"/>
        <v>#N/A</v>
      </c>
    </row>
    <row r="208" spans="2:2">
      <c r="B208" t="e">
        <f t="shared" si="3"/>
        <v>#N/A</v>
      </c>
    </row>
    <row r="209" spans="2:2">
      <c r="B209" t="e">
        <f t="shared" si="3"/>
        <v>#N/A</v>
      </c>
    </row>
    <row r="210" spans="2:2">
      <c r="B210" t="e">
        <f t="shared" si="3"/>
        <v>#N/A</v>
      </c>
    </row>
    <row r="211" spans="2:2">
      <c r="B211" t="e">
        <f t="shared" si="3"/>
        <v>#N/A</v>
      </c>
    </row>
    <row r="212" spans="2:2">
      <c r="B212" t="e">
        <f t="shared" si="3"/>
        <v>#N/A</v>
      </c>
    </row>
    <row r="213" spans="2:2">
      <c r="B213" t="e">
        <f t="shared" si="3"/>
        <v>#N/A</v>
      </c>
    </row>
    <row r="214" spans="2:2">
      <c r="B214" t="e">
        <f t="shared" si="3"/>
        <v>#N/A</v>
      </c>
    </row>
    <row r="215" spans="2:2">
      <c r="B215" t="e">
        <f t="shared" si="3"/>
        <v>#N/A</v>
      </c>
    </row>
    <row r="216" spans="2:2">
      <c r="B216" t="e">
        <f t="shared" si="3"/>
        <v>#N/A</v>
      </c>
    </row>
    <row r="217" spans="2:2">
      <c r="B217" t="e">
        <f t="shared" si="3"/>
        <v>#N/A</v>
      </c>
    </row>
    <row r="218" spans="2:2">
      <c r="B218" t="e">
        <f t="shared" si="3"/>
        <v>#N/A</v>
      </c>
    </row>
    <row r="219" spans="2:2">
      <c r="B219" t="e">
        <f t="shared" si="3"/>
        <v>#N/A</v>
      </c>
    </row>
    <row r="220" spans="2:2">
      <c r="B220" t="e">
        <f t="shared" si="3"/>
        <v>#N/A</v>
      </c>
    </row>
    <row r="221" spans="2:2">
      <c r="B221" t="e">
        <f t="shared" si="3"/>
        <v>#N/A</v>
      </c>
    </row>
    <row r="222" spans="2:2">
      <c r="B222" t="e">
        <f t="shared" si="3"/>
        <v>#N/A</v>
      </c>
    </row>
    <row r="223" spans="2:2">
      <c r="B223" t="e">
        <f t="shared" si="3"/>
        <v>#N/A</v>
      </c>
    </row>
    <row r="224" spans="2:2">
      <c r="B224" t="e">
        <f t="shared" si="3"/>
        <v>#N/A</v>
      </c>
    </row>
    <row r="225" spans="2:2">
      <c r="B225" t="e">
        <f t="shared" si="3"/>
        <v>#N/A</v>
      </c>
    </row>
    <row r="226" spans="2:2">
      <c r="B226" t="e">
        <f t="shared" si="3"/>
        <v>#N/A</v>
      </c>
    </row>
    <row r="227" spans="2:2">
      <c r="B227" t="e">
        <f t="shared" si="3"/>
        <v>#N/A</v>
      </c>
    </row>
    <row r="228" spans="2:2">
      <c r="B228" t="e">
        <f t="shared" si="3"/>
        <v>#N/A</v>
      </c>
    </row>
    <row r="229" spans="2:2">
      <c r="B229" t="e">
        <f t="shared" si="3"/>
        <v>#N/A</v>
      </c>
    </row>
    <row r="230" spans="2:2">
      <c r="B230" t="e">
        <f t="shared" si="3"/>
        <v>#N/A</v>
      </c>
    </row>
    <row r="231" spans="2:2">
      <c r="B231" t="e">
        <f t="shared" si="3"/>
        <v>#N/A</v>
      </c>
    </row>
    <row r="232" spans="2:2">
      <c r="B232" t="e">
        <f t="shared" si="3"/>
        <v>#N/A</v>
      </c>
    </row>
    <row r="233" spans="2:2">
      <c r="B233" t="e">
        <f t="shared" si="3"/>
        <v>#N/A</v>
      </c>
    </row>
    <row r="234" spans="2:2">
      <c r="B234" t="e">
        <f t="shared" si="3"/>
        <v>#N/A</v>
      </c>
    </row>
    <row r="235" spans="2:2">
      <c r="B235" t="e">
        <f t="shared" si="3"/>
        <v>#N/A</v>
      </c>
    </row>
    <row r="236" spans="2:2">
      <c r="B236" t="e">
        <f t="shared" si="3"/>
        <v>#N/A</v>
      </c>
    </row>
    <row r="237" spans="2:2">
      <c r="B237" t="e">
        <f t="shared" si="3"/>
        <v>#N/A</v>
      </c>
    </row>
    <row r="238" spans="2:2">
      <c r="B238" t="e">
        <f t="shared" si="3"/>
        <v>#N/A</v>
      </c>
    </row>
    <row r="239" spans="2:2">
      <c r="B239" t="e">
        <f t="shared" si="3"/>
        <v>#N/A</v>
      </c>
    </row>
    <row r="240" spans="2:2">
      <c r="B240" t="e">
        <f t="shared" si="3"/>
        <v>#N/A</v>
      </c>
    </row>
    <row r="241" spans="2:2">
      <c r="B241" t="e">
        <f t="shared" si="3"/>
        <v>#N/A</v>
      </c>
    </row>
    <row r="242" spans="2:2">
      <c r="B242" t="e">
        <f t="shared" si="3"/>
        <v>#N/A</v>
      </c>
    </row>
    <row r="243" spans="2:2">
      <c r="B243" t="e">
        <f t="shared" si="3"/>
        <v>#N/A</v>
      </c>
    </row>
    <row r="244" spans="2:2">
      <c r="B244" t="e">
        <f t="shared" si="3"/>
        <v>#N/A</v>
      </c>
    </row>
    <row r="245" spans="2:2">
      <c r="B245" t="e">
        <f t="shared" si="3"/>
        <v>#N/A</v>
      </c>
    </row>
    <row r="246" spans="2:2">
      <c r="B246" t="e">
        <f t="shared" si="3"/>
        <v>#N/A</v>
      </c>
    </row>
    <row r="247" spans="2:2">
      <c r="B247" t="e">
        <f t="shared" si="3"/>
        <v>#N/A</v>
      </c>
    </row>
    <row r="248" spans="2:2">
      <c r="B248" t="e">
        <f t="shared" si="3"/>
        <v>#N/A</v>
      </c>
    </row>
    <row r="249" spans="2:2">
      <c r="B249" t="e">
        <f t="shared" si="3"/>
        <v>#N/A</v>
      </c>
    </row>
    <row r="250" spans="2:2">
      <c r="B250" t="e">
        <f t="shared" si="3"/>
        <v>#N/A</v>
      </c>
    </row>
    <row r="251" spans="2:2">
      <c r="B251" t="e">
        <f t="shared" si="3"/>
        <v>#N/A</v>
      </c>
    </row>
    <row r="252" spans="2:2">
      <c r="B252" t="e">
        <f t="shared" si="3"/>
        <v>#N/A</v>
      </c>
    </row>
    <row r="253" spans="2:2">
      <c r="B253" t="e">
        <f t="shared" si="3"/>
        <v>#N/A</v>
      </c>
    </row>
    <row r="254" spans="2:2">
      <c r="B254" t="e">
        <f t="shared" si="3"/>
        <v>#N/A</v>
      </c>
    </row>
    <row r="255" spans="2:2">
      <c r="B255" t="e">
        <f t="shared" si="3"/>
        <v>#N/A</v>
      </c>
    </row>
    <row r="256" spans="2:2">
      <c r="B256" t="e">
        <f t="shared" si="3"/>
        <v>#N/A</v>
      </c>
    </row>
    <row r="257" spans="2:2">
      <c r="B257" t="e">
        <f t="shared" si="3"/>
        <v>#N/A</v>
      </c>
    </row>
    <row r="258" spans="2:2">
      <c r="B258" t="e">
        <f t="shared" si="3"/>
        <v>#N/A</v>
      </c>
    </row>
    <row r="259" spans="2:2">
      <c r="B259" t="e">
        <f t="shared" ref="B259:B291" si="4">VLOOKUP($A259,inv_Dados,13,0)*(1+VLOOKUP($A259,inv_Dados,32,0)/100)</f>
        <v>#N/A</v>
      </c>
    </row>
    <row r="260" spans="2:2">
      <c r="B260" t="e">
        <f t="shared" si="4"/>
        <v>#N/A</v>
      </c>
    </row>
    <row r="261" spans="2:2">
      <c r="B261" t="e">
        <f t="shared" si="4"/>
        <v>#N/A</v>
      </c>
    </row>
    <row r="262" spans="2:2">
      <c r="B262" t="e">
        <f t="shared" si="4"/>
        <v>#N/A</v>
      </c>
    </row>
    <row r="263" spans="2:2">
      <c r="B263" t="e">
        <f t="shared" si="4"/>
        <v>#N/A</v>
      </c>
    </row>
    <row r="264" spans="2:2">
      <c r="B264" t="e">
        <f t="shared" si="4"/>
        <v>#N/A</v>
      </c>
    </row>
    <row r="265" spans="2:2">
      <c r="B265" t="e">
        <f t="shared" si="4"/>
        <v>#N/A</v>
      </c>
    </row>
    <row r="266" spans="2:2">
      <c r="B266" t="e">
        <f t="shared" si="4"/>
        <v>#N/A</v>
      </c>
    </row>
    <row r="267" spans="2:2">
      <c r="B267" t="e">
        <f t="shared" si="4"/>
        <v>#N/A</v>
      </c>
    </row>
    <row r="268" spans="2:2">
      <c r="B268" t="e">
        <f t="shared" si="4"/>
        <v>#N/A</v>
      </c>
    </row>
    <row r="269" spans="2:2">
      <c r="B269" t="e">
        <f t="shared" si="4"/>
        <v>#N/A</v>
      </c>
    </row>
    <row r="270" spans="2:2">
      <c r="B270" t="e">
        <f t="shared" si="4"/>
        <v>#N/A</v>
      </c>
    </row>
    <row r="271" spans="2:2">
      <c r="B271" t="e">
        <f t="shared" si="4"/>
        <v>#N/A</v>
      </c>
    </row>
    <row r="272" spans="2:2">
      <c r="B272" t="e">
        <f t="shared" si="4"/>
        <v>#N/A</v>
      </c>
    </row>
    <row r="273" spans="2:2">
      <c r="B273" t="e">
        <f t="shared" si="4"/>
        <v>#N/A</v>
      </c>
    </row>
    <row r="274" spans="2:2">
      <c r="B274" t="e">
        <f t="shared" si="4"/>
        <v>#N/A</v>
      </c>
    </row>
    <row r="275" spans="2:2">
      <c r="B275" t="e">
        <f t="shared" si="4"/>
        <v>#N/A</v>
      </c>
    </row>
    <row r="276" spans="2:2">
      <c r="B276" t="e">
        <f t="shared" si="4"/>
        <v>#N/A</v>
      </c>
    </row>
    <row r="277" spans="2:2">
      <c r="B277" t="e">
        <f t="shared" si="4"/>
        <v>#N/A</v>
      </c>
    </row>
    <row r="278" spans="2:2">
      <c r="B278" t="e">
        <f t="shared" si="4"/>
        <v>#N/A</v>
      </c>
    </row>
    <row r="279" spans="2:2">
      <c r="B279" t="e">
        <f t="shared" si="4"/>
        <v>#N/A</v>
      </c>
    </row>
    <row r="280" spans="2:2">
      <c r="B280" t="e">
        <f t="shared" si="4"/>
        <v>#N/A</v>
      </c>
    </row>
    <row r="281" spans="2:2">
      <c r="B281" t="e">
        <f t="shared" si="4"/>
        <v>#N/A</v>
      </c>
    </row>
    <row r="282" spans="2:2">
      <c r="B282" t="e">
        <f t="shared" si="4"/>
        <v>#N/A</v>
      </c>
    </row>
    <row r="283" spans="2:2">
      <c r="B283" t="e">
        <f t="shared" si="4"/>
        <v>#N/A</v>
      </c>
    </row>
    <row r="284" spans="2:2">
      <c r="B284" t="e">
        <f t="shared" si="4"/>
        <v>#N/A</v>
      </c>
    </row>
    <row r="285" spans="2:2">
      <c r="B285" t="e">
        <f t="shared" si="4"/>
        <v>#N/A</v>
      </c>
    </row>
    <row r="286" spans="2:2">
      <c r="B286" t="e">
        <f t="shared" si="4"/>
        <v>#N/A</v>
      </c>
    </row>
    <row r="287" spans="2:2">
      <c r="B287" t="e">
        <f t="shared" si="4"/>
        <v>#N/A</v>
      </c>
    </row>
    <row r="288" spans="2:2">
      <c r="B288" t="e">
        <f t="shared" si="4"/>
        <v>#N/A</v>
      </c>
    </row>
    <row r="289" spans="2:2">
      <c r="B289" t="e">
        <f t="shared" si="4"/>
        <v>#N/A</v>
      </c>
    </row>
    <row r="290" spans="2:2">
      <c r="B290" t="e">
        <f t="shared" si="4"/>
        <v>#N/A</v>
      </c>
    </row>
    <row r="291" spans="2:2">
      <c r="B291" t="e">
        <f t="shared" si="4"/>
        <v>#N/A</v>
      </c>
    </row>
  </sheetData>
  <mergeCells count="10"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</mergeCells>
  <dataValidations count="2">
    <dataValidation type="list" allowBlank="1" showInputMessage="1" showErrorMessage="1" sqref="C1:V1" xr:uid="{00000000-0002-0000-0000-000000000000}">
      <formula1>mod_Modelo</formula1>
    </dataValidation>
    <dataValidation type="list" allowBlank="1" showInputMessage="1" showErrorMessage="1" sqref="A3:A1048576" xr:uid="{00000000-0002-0000-0000-000001000000}">
      <formula1>inv_Modelo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H157"/>
  <sheetViews>
    <sheetView topLeftCell="W13" zoomScale="85" zoomScaleNormal="85" workbookViewId="0">
      <selection activeCell="AG111" sqref="AG111"/>
    </sheetView>
  </sheetViews>
  <sheetFormatPr defaultColWidth="9.140625" defaultRowHeight="15"/>
  <cols>
    <col min="2" max="2" width="36.140625" customWidth="1"/>
    <col min="3" max="3" width="21.7109375" style="61" customWidth="1"/>
    <col min="4" max="4" width="5.28515625" style="60" customWidth="1"/>
    <col min="5" max="5" width="38.85546875" style="62" customWidth="1"/>
    <col min="6" max="6" width="7.5703125" style="63" customWidth="1"/>
    <col min="7" max="7" width="7.5703125" style="64" customWidth="1"/>
    <col min="8" max="8" width="38.85546875" style="62" customWidth="1"/>
    <col min="9" max="9" width="7.5703125" style="63" customWidth="1"/>
    <col min="10" max="10" width="7.5703125" style="64" customWidth="1"/>
    <col min="11" max="11" width="38.85546875" style="62" customWidth="1"/>
    <col min="12" max="12" width="7.5703125" style="63" customWidth="1"/>
    <col min="13" max="13" width="7.5703125" style="64" customWidth="1"/>
    <col min="14" max="14" width="38.85546875" style="62" customWidth="1"/>
    <col min="15" max="15" width="7.5703125" style="63" customWidth="1"/>
    <col min="16" max="16" width="7.5703125" style="64" customWidth="1"/>
    <col min="17" max="17" width="38.85546875" style="62" customWidth="1"/>
    <col min="18" max="18" width="7.5703125" style="63" customWidth="1"/>
    <col min="19" max="19" width="7.5703125" style="64" customWidth="1"/>
    <col min="20" max="20" width="38.85546875" style="62" customWidth="1"/>
    <col min="21" max="21" width="7.5703125" style="63" customWidth="1"/>
    <col min="22" max="22" width="7.5703125" style="64" customWidth="1"/>
    <col min="23" max="23" width="38.85546875" style="62" customWidth="1"/>
    <col min="24" max="24" width="7.5703125" style="63" customWidth="1"/>
    <col min="25" max="25" width="7.5703125" style="64" customWidth="1"/>
    <col min="26" max="26" width="38.85546875" style="62" customWidth="1"/>
    <col min="27" max="27" width="7.5703125" style="63" customWidth="1"/>
    <col min="28" max="28" width="7.5703125" style="64" customWidth="1"/>
    <col min="29" max="29" width="38.85546875" style="62" customWidth="1"/>
    <col min="30" max="30" width="7.5703125" style="63" customWidth="1"/>
    <col min="31" max="31" width="7.5703125" style="64" customWidth="1"/>
    <col min="32" max="32" width="38.85546875" style="62" customWidth="1"/>
    <col min="33" max="33" width="8" style="63" customWidth="1"/>
    <col min="34" max="34" width="9.140625" style="60"/>
  </cols>
  <sheetData>
    <row r="1" spans="1:33" ht="46.5">
      <c r="A1" s="60"/>
      <c r="B1" s="60"/>
      <c r="C1" s="60"/>
      <c r="E1" s="97" t="s">
        <v>23</v>
      </c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</row>
    <row r="2" spans="1:33">
      <c r="A2" s="60"/>
      <c r="B2" s="65" t="s">
        <v>24</v>
      </c>
      <c r="C2" s="60"/>
      <c r="E2" s="98" t="str">
        <f>'Compare Inversores'!C1</f>
        <v>WPV 550 HMM3</v>
      </c>
      <c r="F2" s="98"/>
      <c r="H2" s="98" t="str">
        <f>'Compare Inversores'!E1</f>
        <v>BYD550MLK-36</v>
      </c>
      <c r="I2" s="98"/>
      <c r="K2" s="98" t="str">
        <f>'Compare Inversores'!G1</f>
        <v>JKM555M-72HL4</v>
      </c>
      <c r="L2" s="98"/>
      <c r="N2" s="98" t="str">
        <f>'Compare Inversores'!I1</f>
        <v>JAM66D42-570/MB</v>
      </c>
      <c r="O2" s="98"/>
      <c r="Q2" s="98" t="str">
        <f>'Compare Inversores'!K1</f>
        <v>CHSM72N(DG)/F-BH-570</v>
      </c>
      <c r="R2" s="98"/>
      <c r="T2" s="98" t="str">
        <f>'Compare Inversores'!M1</f>
        <v>JKM585N 72HL4-V</v>
      </c>
      <c r="U2" s="98"/>
      <c r="W2" s="98" t="str">
        <f>'Compare Inversores'!O1</f>
        <v>CHSM78N(DG)/F-BH-635</v>
      </c>
      <c r="X2" s="98"/>
      <c r="Z2" s="98" t="str">
        <f>'Compare Inversores'!Q1</f>
        <v>HS-210-B132 DS700</v>
      </c>
      <c r="AA2" s="98"/>
      <c r="AC2" s="98" t="str">
        <f>'Compare Inversores'!S1</f>
        <v>TSM-710NEG21C.20</v>
      </c>
      <c r="AD2" s="98"/>
      <c r="AF2" s="98" t="str">
        <f>'Compare Inversores'!U1</f>
        <v>LR5-72HTH-575M</v>
      </c>
      <c r="AG2" s="98"/>
    </row>
    <row r="3" spans="1:33">
      <c r="A3" s="60"/>
      <c r="B3" s="66"/>
      <c r="C3" s="60"/>
      <c r="E3" s="67" t="s">
        <v>25</v>
      </c>
      <c r="F3" s="68">
        <f>VLOOKUP(E$2,mod_Dados,9,0)</f>
        <v>550</v>
      </c>
      <c r="H3" s="67" t="s">
        <v>25</v>
      </c>
      <c r="I3" s="68">
        <f>VLOOKUP(H$2,mod_Dados,9,0)</f>
        <v>550</v>
      </c>
      <c r="K3" s="67" t="s">
        <v>25</v>
      </c>
      <c r="L3" s="68">
        <f>VLOOKUP(K$2,mod_Dados,9,0)</f>
        <v>555</v>
      </c>
      <c r="N3" s="67" t="s">
        <v>25</v>
      </c>
      <c r="O3" s="68">
        <f>VLOOKUP(N$2,mod_Dados,9,0)</f>
        <v>570</v>
      </c>
      <c r="Q3" s="67" t="s">
        <v>25</v>
      </c>
      <c r="R3" s="68">
        <f>VLOOKUP(Q$2,mod_Dados,9,0)</f>
        <v>570</v>
      </c>
      <c r="T3" s="67" t="s">
        <v>25</v>
      </c>
      <c r="U3" s="68">
        <f>VLOOKUP(T$2,mod_Dados,9,0)</f>
        <v>585</v>
      </c>
      <c r="W3" s="67" t="s">
        <v>25</v>
      </c>
      <c r="X3" s="68">
        <f>VLOOKUP(W$2,mod_Dados,9,0)</f>
        <v>635</v>
      </c>
      <c r="Z3" s="67" t="s">
        <v>25</v>
      </c>
      <c r="AA3" s="68">
        <f>VLOOKUP(Z$2,mod_Dados,9,0)</f>
        <v>700</v>
      </c>
      <c r="AC3" s="67" t="s">
        <v>25</v>
      </c>
      <c r="AD3" s="68">
        <f>VLOOKUP(AC$2,mod_Dados,9,0)</f>
        <v>710</v>
      </c>
      <c r="AF3" s="67" t="s">
        <v>25</v>
      </c>
      <c r="AG3" s="68">
        <f>VLOOKUP(AF$2,mod_Dados,9,0)</f>
        <v>575</v>
      </c>
    </row>
    <row r="4" spans="1:33">
      <c r="A4" s="60"/>
      <c r="B4" s="69" t="s">
        <v>26</v>
      </c>
      <c r="C4" s="60"/>
      <c r="E4" s="67" t="s">
        <v>27</v>
      </c>
      <c r="F4" s="68">
        <f>VLOOKUP(E$2,mod_Dados,10,0)</f>
        <v>49.9</v>
      </c>
      <c r="H4" s="67" t="s">
        <v>27</v>
      </c>
      <c r="I4" s="68">
        <f>VLOOKUP(H$2,mod_Dados,10,0)</f>
        <v>50.32</v>
      </c>
      <c r="K4" s="67" t="s">
        <v>27</v>
      </c>
      <c r="L4" s="68">
        <f>VLOOKUP(K$2,mod_Dados,10,0)</f>
        <v>49.72</v>
      </c>
      <c r="N4" s="67" t="s">
        <v>27</v>
      </c>
      <c r="O4" s="68">
        <f>VLOOKUP(N$2,mod_Dados,10,0)</f>
        <v>47.78</v>
      </c>
      <c r="Q4" s="67" t="s">
        <v>27</v>
      </c>
      <c r="R4" s="68">
        <f>VLOOKUP(Q$2,mod_Dados,10,0)</f>
        <v>50.9</v>
      </c>
      <c r="T4" s="67" t="s">
        <v>27</v>
      </c>
      <c r="U4" s="68">
        <f>VLOOKUP(T$2,mod_Dados,10,0)</f>
        <v>52.47</v>
      </c>
      <c r="W4" s="67" t="s">
        <v>27</v>
      </c>
      <c r="X4" s="68">
        <f>VLOOKUP(W$2,mod_Dados,10,0)</f>
        <v>56.41</v>
      </c>
      <c r="Z4" s="67" t="s">
        <v>27</v>
      </c>
      <c r="AA4" s="68">
        <f>VLOOKUP(Z$2,mod_Dados,10,0)</f>
        <v>49.77</v>
      </c>
      <c r="AC4" s="67" t="s">
        <v>27</v>
      </c>
      <c r="AD4" s="68">
        <f>VLOOKUP(AC$2,mod_Dados,10,0)</f>
        <v>49</v>
      </c>
      <c r="AF4" s="67" t="s">
        <v>27</v>
      </c>
      <c r="AG4" s="68">
        <f>VLOOKUP(AF$2,mod_Dados,10,0)</f>
        <v>52.06</v>
      </c>
    </row>
    <row r="5" spans="1:33">
      <c r="A5" s="60"/>
      <c r="B5" s="66">
        <v>10</v>
      </c>
      <c r="C5" s="60"/>
      <c r="E5" s="67" t="s">
        <v>28</v>
      </c>
      <c r="F5" s="68">
        <f>VLOOKUP(E$2,mod_Dados,11,0)</f>
        <v>41.96</v>
      </c>
      <c r="H5" s="67" t="s">
        <v>28</v>
      </c>
      <c r="I5" s="68">
        <f>VLOOKUP(H$2,mod_Dados,11,0)</f>
        <v>42.49</v>
      </c>
      <c r="K5" s="67" t="s">
        <v>28</v>
      </c>
      <c r="L5" s="68">
        <f>VLOOKUP(K$2,mod_Dados,11,0)</f>
        <v>40.99</v>
      </c>
      <c r="N5" s="67" t="s">
        <v>28</v>
      </c>
      <c r="O5" s="68">
        <f>VLOOKUP(N$2,mod_Dados,11,0)</f>
        <v>40</v>
      </c>
      <c r="Q5" s="67" t="s">
        <v>28</v>
      </c>
      <c r="R5" s="68">
        <f>VLOOKUP(Q$2,mod_Dados,11,0)</f>
        <v>42.77</v>
      </c>
      <c r="T5" s="67" t="s">
        <v>28</v>
      </c>
      <c r="U5" s="68">
        <f>VLOOKUP(T$2,mod_Dados,11,0)</f>
        <v>43.53</v>
      </c>
      <c r="W5" s="67" t="s">
        <v>28</v>
      </c>
      <c r="X5" s="68">
        <f>VLOOKUP(W$2,mod_Dados,11,0)</f>
        <v>46.62</v>
      </c>
      <c r="Z5" s="67" t="s">
        <v>28</v>
      </c>
      <c r="AA5" s="68">
        <f>VLOOKUP(Z$2,mod_Dados,11,0)</f>
        <v>41.78</v>
      </c>
      <c r="AC5" s="67" t="s">
        <v>28</v>
      </c>
      <c r="AD5" s="68">
        <f>VLOOKUP(AC$2,mod_Dados,11,0)</f>
        <v>40.9</v>
      </c>
      <c r="AF5" s="67" t="s">
        <v>28</v>
      </c>
      <c r="AG5" s="68">
        <f>VLOOKUP(AF$2,mod_Dados,11,0)</f>
        <v>43.91</v>
      </c>
    </row>
    <row r="6" spans="1:33">
      <c r="A6" s="60"/>
      <c r="B6" s="69" t="s">
        <v>29</v>
      </c>
      <c r="C6" s="60"/>
      <c r="E6" s="67" t="s">
        <v>30</v>
      </c>
      <c r="F6" s="68">
        <f>VLOOKUP(E$2,mod_Dados,12,0)</f>
        <v>14</v>
      </c>
      <c r="H6" s="67" t="s">
        <v>30</v>
      </c>
      <c r="I6" s="68">
        <f>VLOOKUP(H$2,mod_Dados,12,0)</f>
        <v>13.61</v>
      </c>
      <c r="K6" s="67" t="s">
        <v>30</v>
      </c>
      <c r="L6" s="68">
        <f>VLOOKUP(K$2,mod_Dados,12,0)</f>
        <v>14.12</v>
      </c>
      <c r="N6" s="67" t="s">
        <v>30</v>
      </c>
      <c r="O6" s="68">
        <f>VLOOKUP(N$2,mod_Dados,12,0)</f>
        <v>15.11</v>
      </c>
      <c r="Q6" s="67" t="s">
        <v>30</v>
      </c>
      <c r="R6" s="68">
        <f>VLOOKUP(Q$2,mod_Dados,12,0)</f>
        <v>14.1</v>
      </c>
      <c r="T6" s="67" t="s">
        <v>30</v>
      </c>
      <c r="U6" s="68">
        <f>VLOOKUP(T$2,mod_Dados,12,0)</f>
        <v>14.07</v>
      </c>
      <c r="W6" s="67" t="s">
        <v>30</v>
      </c>
      <c r="X6" s="68">
        <f>VLOOKUP(W$2,mod_Dados,12,0)</f>
        <v>14.27</v>
      </c>
      <c r="Z6" s="67" t="s">
        <v>30</v>
      </c>
      <c r="AA6" s="68">
        <f>VLOOKUP(Z$2,mod_Dados,12,0)</f>
        <v>17.809999999999999</v>
      </c>
      <c r="AC6" s="67" t="s">
        <v>30</v>
      </c>
      <c r="AD6" s="68">
        <f>VLOOKUP(AC$2,mod_Dados,12,0)</f>
        <v>18.399999999999999</v>
      </c>
      <c r="AF6" s="67" t="s">
        <v>30</v>
      </c>
      <c r="AG6" s="68">
        <f>VLOOKUP(AF$2,mod_Dados,12,0)</f>
        <v>14.14</v>
      </c>
    </row>
    <row r="7" spans="1:33">
      <c r="A7" s="60"/>
      <c r="B7" s="66">
        <v>50</v>
      </c>
      <c r="C7" s="60"/>
      <c r="E7" s="67" t="s">
        <v>31</v>
      </c>
      <c r="F7" s="68">
        <f>VLOOKUP(E$2,mod_Dados,13,0)</f>
        <v>13.11</v>
      </c>
      <c r="H7" s="67" t="s">
        <v>31</v>
      </c>
      <c r="I7" s="68">
        <f>VLOOKUP(H$2,mod_Dados,13,0)</f>
        <v>12.94</v>
      </c>
      <c r="K7" s="67" t="s">
        <v>31</v>
      </c>
      <c r="L7" s="68">
        <f>VLOOKUP(K$2,mod_Dados,13,0)</f>
        <v>13.54</v>
      </c>
      <c r="N7" s="67" t="s">
        <v>31</v>
      </c>
      <c r="O7" s="68">
        <f>VLOOKUP(N$2,mod_Dados,13,0)</f>
        <v>14.25</v>
      </c>
      <c r="Q7" s="67" t="s">
        <v>31</v>
      </c>
      <c r="R7" s="68">
        <f>VLOOKUP(Q$2,mod_Dados,13,0)</f>
        <v>13.33</v>
      </c>
      <c r="T7" s="67" t="s">
        <v>31</v>
      </c>
      <c r="U7" s="68">
        <f>VLOOKUP(T$2,mod_Dados,13,0)</f>
        <v>13.44</v>
      </c>
      <c r="W7" s="67" t="s">
        <v>31</v>
      </c>
      <c r="X7" s="68">
        <f>VLOOKUP(W$2,mod_Dados,13,0)</f>
        <v>13.62</v>
      </c>
      <c r="Z7" s="67" t="s">
        <v>31</v>
      </c>
      <c r="AA7" s="68">
        <f>VLOOKUP(Z$2,mod_Dados,13,0)</f>
        <v>16.760000000000002</v>
      </c>
      <c r="AC7" s="67" t="s">
        <v>31</v>
      </c>
      <c r="AD7" s="68">
        <f>VLOOKUP(AC$2,mod_Dados,13,0)</f>
        <v>17.36</v>
      </c>
      <c r="AF7" s="67" t="s">
        <v>31</v>
      </c>
      <c r="AG7" s="68">
        <f>VLOOKUP(AF$2,mod_Dados,13,0)</f>
        <v>13.1</v>
      </c>
    </row>
    <row r="8" spans="1:33">
      <c r="A8" s="60"/>
      <c r="B8" s="66"/>
      <c r="C8" s="60"/>
      <c r="E8" s="67" t="s">
        <v>32</v>
      </c>
      <c r="F8" s="68">
        <f>VLOOKUP(E$2,mod_Dados,15,0)</f>
        <v>-0.27</v>
      </c>
      <c r="H8" s="67" t="s">
        <v>32</v>
      </c>
      <c r="I8" s="68">
        <f>VLOOKUP(H$2,mod_Dados,15,0)</f>
        <v>-0.3</v>
      </c>
      <c r="K8" s="67" t="s">
        <v>32</v>
      </c>
      <c r="L8" s="68">
        <f>VLOOKUP(K$2,mod_Dados,15,0)</f>
        <v>-0.28000000000000003</v>
      </c>
      <c r="N8" s="67" t="s">
        <v>32</v>
      </c>
      <c r="O8" s="68">
        <f>VLOOKUP(N$2,mod_Dados,15,0)</f>
        <v>-0.3</v>
      </c>
      <c r="Q8" s="67" t="s">
        <v>32</v>
      </c>
      <c r="R8" s="68">
        <f>VLOOKUP(Q$2,mod_Dados,15,0)</f>
        <v>-0.25</v>
      </c>
      <c r="T8" s="67" t="s">
        <v>32</v>
      </c>
      <c r="U8" s="68">
        <f>VLOOKUP(T$2,mod_Dados,15,0)</f>
        <v>-0.28999999999999998</v>
      </c>
      <c r="W8" s="67" t="s">
        <v>32</v>
      </c>
      <c r="X8" s="68">
        <f>VLOOKUP(W$2,mod_Dados,15,0)</f>
        <v>-0.25</v>
      </c>
      <c r="Z8" s="67" t="s">
        <v>32</v>
      </c>
      <c r="AA8" s="68">
        <f>VLOOKUP(Z$2,mod_Dados,15,0)</f>
        <v>-0.22</v>
      </c>
      <c r="AC8" s="67" t="s">
        <v>32</v>
      </c>
      <c r="AD8" s="68">
        <f>VLOOKUP(AC$2,mod_Dados,15,0)</f>
        <v>-0.28999999999999998</v>
      </c>
      <c r="AF8" s="67" t="s">
        <v>32</v>
      </c>
      <c r="AG8" s="68">
        <f>VLOOKUP(AF$2,mod_Dados,15,0)</f>
        <v>-0.23</v>
      </c>
    </row>
    <row r="9" spans="1:33">
      <c r="A9" s="60"/>
      <c r="B9" s="69" t="s">
        <v>33</v>
      </c>
      <c r="C9" s="60"/>
      <c r="E9" s="67" t="s">
        <v>34</v>
      </c>
      <c r="F9" s="68">
        <f>VLOOKUP(E$2,mod_Dados,16,0)</f>
        <v>4.4999999999999998E-2</v>
      </c>
      <c r="H9" s="67" t="s">
        <v>34</v>
      </c>
      <c r="I9" s="68">
        <f>VLOOKUP(H$2,mod_Dados,16,0)</f>
        <v>0.06</v>
      </c>
      <c r="K9" s="67" t="s">
        <v>34</v>
      </c>
      <c r="L9" s="68">
        <f>VLOOKUP(K$2,mod_Dados,16,0)</f>
        <v>4.8000000000000001E-2</v>
      </c>
      <c r="N9" s="67" t="s">
        <v>34</v>
      </c>
      <c r="O9" s="68">
        <f>VLOOKUP(N$2,mod_Dados,16,0)</f>
        <v>4.5999999999999999E-2</v>
      </c>
      <c r="Q9" s="67" t="s">
        <v>34</v>
      </c>
      <c r="R9" s="68">
        <f>VLOOKUP(Q$2,mod_Dados,16,0)</f>
        <v>4.2999999999999997E-2</v>
      </c>
      <c r="T9" s="67" t="s">
        <v>34</v>
      </c>
      <c r="U9" s="68">
        <f>VLOOKUP(T$2,mod_Dados,16,0)</f>
        <v>4.4999999999999998E-2</v>
      </c>
      <c r="W9" s="67" t="s">
        <v>34</v>
      </c>
      <c r="X9" s="68">
        <f>VLOOKUP(W$2,mod_Dados,16,0)</f>
        <v>4.2999999999999997E-2</v>
      </c>
      <c r="Z9" s="67" t="s">
        <v>34</v>
      </c>
      <c r="AA9" s="68">
        <f>VLOOKUP(Z$2,mod_Dados,16,0)</f>
        <v>0.04</v>
      </c>
      <c r="AC9" s="67" t="s">
        <v>34</v>
      </c>
      <c r="AD9" s="68">
        <f>VLOOKUP(AC$2,mod_Dados,16,0)</f>
        <v>0.04</v>
      </c>
      <c r="AF9" s="67" t="s">
        <v>34</v>
      </c>
      <c r="AG9" s="68">
        <f>VLOOKUP(AF$2,mod_Dados,16,0)</f>
        <v>0.05</v>
      </c>
    </row>
    <row r="10" spans="1:33">
      <c r="A10" s="60"/>
      <c r="B10" s="66">
        <v>0.5</v>
      </c>
      <c r="C10" s="60"/>
      <c r="E10" s="67"/>
      <c r="F10" s="68"/>
      <c r="H10" s="67"/>
      <c r="I10" s="68"/>
      <c r="K10" s="67"/>
      <c r="L10" s="68"/>
      <c r="N10" s="67"/>
      <c r="O10" s="68"/>
      <c r="Q10" s="67"/>
      <c r="R10" s="68"/>
      <c r="T10" s="67"/>
      <c r="U10" s="68"/>
      <c r="W10" s="67"/>
      <c r="X10" s="68"/>
      <c r="Z10" s="67"/>
      <c r="AA10" s="68"/>
      <c r="AC10" s="67"/>
      <c r="AD10" s="68"/>
      <c r="AF10" s="67"/>
      <c r="AG10" s="68"/>
    </row>
    <row r="11" spans="1:33">
      <c r="A11" s="60"/>
      <c r="B11" s="69" t="s">
        <v>35</v>
      </c>
      <c r="C11" s="60"/>
      <c r="E11" s="67" t="s">
        <v>36</v>
      </c>
      <c r="F11" s="70">
        <f>F$4*(1+(($B$7-25)*F$8/100))</f>
        <v>46.531749999999995</v>
      </c>
      <c r="H11" s="67" t="s">
        <v>36</v>
      </c>
      <c r="I11" s="70">
        <f>I$4*(1+(($B$7-25)*I$8/100))</f>
        <v>46.545999999999999</v>
      </c>
      <c r="K11" s="67" t="s">
        <v>36</v>
      </c>
      <c r="L11" s="70">
        <f>L$4*(1+(($B$7-25)*L$8/100))</f>
        <v>46.239599999999996</v>
      </c>
      <c r="N11" s="67" t="s">
        <v>36</v>
      </c>
      <c r="O11" s="70">
        <f>O$4*(1+(($B$7-25)*O$8/100))</f>
        <v>44.1965</v>
      </c>
      <c r="Q11" s="67" t="s">
        <v>36</v>
      </c>
      <c r="R11" s="70">
        <f>R$4*(1+(($B$7-25)*R$8/100))</f>
        <v>47.71875</v>
      </c>
      <c r="T11" s="67" t="s">
        <v>36</v>
      </c>
      <c r="U11" s="70">
        <f>U$4*(1+(($B$7-25)*U$8/100))</f>
        <v>48.665925000000001</v>
      </c>
      <c r="W11" s="67" t="s">
        <v>36</v>
      </c>
      <c r="X11" s="70">
        <f>X$4*(1+(($B$7-25)*X$8/100))</f>
        <v>52.884374999999999</v>
      </c>
      <c r="Z11" s="67" t="s">
        <v>36</v>
      </c>
      <c r="AA11" s="70">
        <f>AA$4*(1+(($B$7-25)*AA$8/100))</f>
        <v>47.032650000000004</v>
      </c>
      <c r="AC11" s="67" t="s">
        <v>36</v>
      </c>
      <c r="AD11" s="70">
        <f>AD$4*(1+(($B$7-25)*AD$8/100))</f>
        <v>45.447499999999998</v>
      </c>
      <c r="AF11" s="67" t="s">
        <v>36</v>
      </c>
      <c r="AG11" s="70">
        <f>AG$4*(1+(($B$7-25)*AG$8/100))</f>
        <v>49.066549999999999</v>
      </c>
    </row>
    <row r="12" spans="1:33">
      <c r="A12" s="60"/>
      <c r="B12" s="66">
        <v>10</v>
      </c>
      <c r="C12" s="60"/>
      <c r="E12" s="67" t="s">
        <v>37</v>
      </c>
      <c r="F12" s="70">
        <f>F$4*(1+(($B$5-25)*F$8/100))</f>
        <v>51.920949999999998</v>
      </c>
      <c r="H12" s="67" t="s">
        <v>37</v>
      </c>
      <c r="I12" s="70">
        <f>I$4*(1+(($B$5-25)*I$8/100))</f>
        <v>52.584399999999995</v>
      </c>
      <c r="K12" s="67" t="s">
        <v>37</v>
      </c>
      <c r="L12" s="70">
        <f>L$4*(1+(($B$5-25)*L$8/100))</f>
        <v>51.808239999999998</v>
      </c>
      <c r="N12" s="67" t="s">
        <v>37</v>
      </c>
      <c r="O12" s="70">
        <f>O$4*(1+(($B$5-25)*O$8/100))</f>
        <v>49.930099999999996</v>
      </c>
      <c r="Q12" s="67" t="s">
        <v>37</v>
      </c>
      <c r="R12" s="70">
        <f>R$4*(1+(($B$5-25)*R$8/100))</f>
        <v>52.808750000000003</v>
      </c>
      <c r="T12" s="67" t="s">
        <v>37</v>
      </c>
      <c r="U12" s="70">
        <f>U$4*(1+(($B$5-25)*U$8/100))</f>
        <v>54.752445000000002</v>
      </c>
      <c r="W12" s="67" t="s">
        <v>37</v>
      </c>
      <c r="X12" s="70">
        <f>X$4*(1+(($B$5-25)*X$8/100))</f>
        <v>58.525375000000004</v>
      </c>
      <c r="Z12" s="67" t="s">
        <v>37</v>
      </c>
      <c r="AA12" s="70">
        <f>AA$4*(1+(($B$5-25)*AA$8/100))</f>
        <v>51.412410000000001</v>
      </c>
      <c r="AC12" s="67" t="s">
        <v>37</v>
      </c>
      <c r="AD12" s="70">
        <f>AD$4*(1+(($B$5-25)*AD$8/100))</f>
        <v>51.131500000000003</v>
      </c>
      <c r="AF12" s="67" t="s">
        <v>37</v>
      </c>
      <c r="AG12" s="70">
        <f>AG$4*(1+(($B$5-25)*AG$8/100))</f>
        <v>53.856070000000003</v>
      </c>
    </row>
    <row r="13" spans="1:33">
      <c r="A13" s="60"/>
      <c r="B13" s="60"/>
      <c r="C13" s="60"/>
      <c r="E13" s="67" t="s">
        <v>38</v>
      </c>
      <c r="F13" s="70">
        <f>F$5*(1+(($B$7-25)*F$8/100))</f>
        <v>39.127699999999997</v>
      </c>
      <c r="H13" s="67" t="s">
        <v>38</v>
      </c>
      <c r="I13" s="70">
        <f>I$5*(1+(($B$7-25)*I$8/100))</f>
        <v>39.303250000000006</v>
      </c>
      <c r="K13" s="67" t="s">
        <v>38</v>
      </c>
      <c r="L13" s="70">
        <f>L$5*(1+(($B$7-25)*L$8/100))</f>
        <v>38.120699999999999</v>
      </c>
      <c r="N13" s="67" t="s">
        <v>38</v>
      </c>
      <c r="O13" s="70">
        <f>O$5*(1+(($B$7-25)*O$8/100))</f>
        <v>37</v>
      </c>
      <c r="Q13" s="67" t="s">
        <v>38</v>
      </c>
      <c r="R13" s="70">
        <f>R$5*(1+(($B$7-25)*R$8/100))</f>
        <v>40.096875000000004</v>
      </c>
      <c r="T13" s="67" t="s">
        <v>38</v>
      </c>
      <c r="U13" s="70">
        <f>U$5*(1+(($B$7-25)*U$8/100))</f>
        <v>40.374074999999998</v>
      </c>
      <c r="W13" s="67" t="s">
        <v>38</v>
      </c>
      <c r="X13" s="70">
        <f>X$5*(1+(($B$7-25)*X$8/100))</f>
        <v>43.706249999999997</v>
      </c>
      <c r="Z13" s="67" t="s">
        <v>38</v>
      </c>
      <c r="AA13" s="70">
        <f>AA$5*(1+(($B$7-25)*AA$8/100))</f>
        <v>39.482099999999996</v>
      </c>
      <c r="AC13" s="67" t="s">
        <v>38</v>
      </c>
      <c r="AD13" s="70">
        <f>AD$5*(1+(($B$7-25)*AD$8/100))</f>
        <v>37.934750000000001</v>
      </c>
      <c r="AF13" s="67" t="s">
        <v>38</v>
      </c>
      <c r="AG13" s="70">
        <f>AG$5*(1+(($B$7-25)*AG$8/100))</f>
        <v>41.385174999999997</v>
      </c>
    </row>
    <row r="14" spans="1:33">
      <c r="A14" s="60"/>
      <c r="B14" s="60"/>
      <c r="C14" s="60"/>
      <c r="E14" s="67" t="s">
        <v>39</v>
      </c>
      <c r="F14" s="70">
        <f>F$5*(1+(($B$5-25)*F$8/100))</f>
        <v>43.659379999999999</v>
      </c>
      <c r="H14" s="67" t="s">
        <v>39</v>
      </c>
      <c r="I14" s="70">
        <f>I$5*(1+(($B$5-25)*I$8/100))</f>
        <v>44.402049999999996</v>
      </c>
      <c r="K14" s="67" t="s">
        <v>39</v>
      </c>
      <c r="L14" s="70">
        <f>L$5*(1+(($B$5-25)*L$8/100))</f>
        <v>42.711580000000005</v>
      </c>
      <c r="N14" s="67" t="s">
        <v>39</v>
      </c>
      <c r="O14" s="70">
        <f>O$5*(1+(($B$5-25)*O$8/100))</f>
        <v>41.8</v>
      </c>
      <c r="Q14" s="67" t="s">
        <v>39</v>
      </c>
      <c r="R14" s="70">
        <f>R$5*(1+(($B$5-25)*R$8/100))</f>
        <v>44.373875000000005</v>
      </c>
      <c r="T14" s="67" t="s">
        <v>39</v>
      </c>
      <c r="U14" s="70">
        <f>U$5*(1+(($B$5-25)*U$8/100))</f>
        <v>45.423555000000007</v>
      </c>
      <c r="W14" s="67" t="s">
        <v>39</v>
      </c>
      <c r="X14" s="70">
        <f>X$5*(1+(($B$5-25)*X$8/100))</f>
        <v>48.368250000000003</v>
      </c>
      <c r="Z14" s="67" t="s">
        <v>39</v>
      </c>
      <c r="AA14" s="70">
        <f>AA$5*(1+(($B$5-25)*AA$8/100))</f>
        <v>43.158739999999995</v>
      </c>
      <c r="AC14" s="67" t="s">
        <v>39</v>
      </c>
      <c r="AD14" s="70">
        <f>AD$5*(1+(($B$5-25)*AD$8/100))</f>
        <v>42.67915</v>
      </c>
      <c r="AF14" s="67" t="s">
        <v>39</v>
      </c>
      <c r="AG14" s="70">
        <f>AG$5*(1+(($B$5-25)*AG$8/100))</f>
        <v>45.424894999999992</v>
      </c>
    </row>
    <row r="15" spans="1:33">
      <c r="A15" s="60"/>
      <c r="B15" s="60"/>
      <c r="C15" s="60"/>
      <c r="E15" s="67" t="s">
        <v>40</v>
      </c>
      <c r="F15" s="70">
        <f>F$6*(1+(($B$7-25)*F$9/100))</f>
        <v>14.157499999999999</v>
      </c>
      <c r="H15" s="67" t="s">
        <v>40</v>
      </c>
      <c r="I15" s="70">
        <f>I$6*(1+(($B$7-25)*I$9/100))</f>
        <v>13.814149999999998</v>
      </c>
      <c r="K15" s="67" t="s">
        <v>40</v>
      </c>
      <c r="L15" s="70">
        <f>L$6*(1+(($B$7-25)*L$9/100))</f>
        <v>14.289439999999999</v>
      </c>
      <c r="N15" s="67" t="s">
        <v>40</v>
      </c>
      <c r="O15" s="70">
        <f>O$6*(1+(($B$7-25)*O$9/100))</f>
        <v>15.283765000000001</v>
      </c>
      <c r="Q15" s="67" t="s">
        <v>40</v>
      </c>
      <c r="R15" s="70">
        <f>R$6*(1+(($B$7-25)*R$9/100))</f>
        <v>14.251575000000001</v>
      </c>
      <c r="T15" s="67" t="s">
        <v>40</v>
      </c>
      <c r="U15" s="70">
        <f>U$6*(1+(($B$7-25)*U$9/100))</f>
        <v>14.2282875</v>
      </c>
      <c r="W15" s="67" t="s">
        <v>40</v>
      </c>
      <c r="X15" s="70">
        <f>X$6*(1+(($B$7-25)*X$9/100))</f>
        <v>14.4234025</v>
      </c>
      <c r="Z15" s="67" t="s">
        <v>40</v>
      </c>
      <c r="AA15" s="70">
        <f>AA$6*(1+(($B$7-25)*AA$9/100))</f>
        <v>17.988099999999999</v>
      </c>
      <c r="AC15" s="67" t="s">
        <v>40</v>
      </c>
      <c r="AD15" s="70">
        <f>AD$6*(1+(($B$7-25)*AD$9/100))</f>
        <v>18.584</v>
      </c>
      <c r="AF15" s="67" t="s">
        <v>40</v>
      </c>
      <c r="AG15" s="70">
        <f>AG$6*(1+(($B$7-25)*AG$9/100))</f>
        <v>14.316750000000001</v>
      </c>
    </row>
    <row r="16" spans="1:33">
      <c r="A16" s="60"/>
      <c r="B16" s="60"/>
      <c r="C16" s="60"/>
      <c r="E16" s="67" t="s">
        <v>41</v>
      </c>
      <c r="F16" s="70">
        <f>F$7*(1+(($B$7-25)*F$9/100))</f>
        <v>13.2574875</v>
      </c>
      <c r="H16" s="67" t="s">
        <v>41</v>
      </c>
      <c r="I16" s="70">
        <f>I$7*(1+(($B$7-25)*I$9/100))</f>
        <v>13.134099999999998</v>
      </c>
      <c r="K16" s="67" t="s">
        <v>41</v>
      </c>
      <c r="L16" s="70">
        <f>L$7*(1+(($B$7-25)*L$9/100))</f>
        <v>13.70248</v>
      </c>
      <c r="N16" s="67" t="s">
        <v>41</v>
      </c>
      <c r="O16" s="70">
        <f>O$7*(1+(($B$7-25)*O$9/100))</f>
        <v>14.413875000000001</v>
      </c>
      <c r="Q16" s="67" t="s">
        <v>41</v>
      </c>
      <c r="R16" s="70">
        <f>R$7*(1+(($B$7-25)*R$9/100))</f>
        <v>13.473297500000001</v>
      </c>
      <c r="T16" s="67" t="s">
        <v>41</v>
      </c>
      <c r="U16" s="70">
        <f>U$7*(1+(($B$7-25)*U$9/100))</f>
        <v>13.591199999999999</v>
      </c>
      <c r="W16" s="67" t="s">
        <v>41</v>
      </c>
      <c r="X16" s="70">
        <f>X$7*(1+(($B$7-25)*X$9/100))</f>
        <v>13.766415</v>
      </c>
      <c r="Z16" s="67" t="s">
        <v>41</v>
      </c>
      <c r="AA16" s="70">
        <f>AA$7*(1+(($B$7-25)*AA$9/100))</f>
        <v>16.927600000000002</v>
      </c>
      <c r="AC16" s="67" t="s">
        <v>41</v>
      </c>
      <c r="AD16" s="70">
        <f>AD$7*(1+(($B$7-25)*AD$9/100))</f>
        <v>17.5336</v>
      </c>
      <c r="AF16" s="67" t="s">
        <v>41</v>
      </c>
      <c r="AG16" s="70">
        <f>AG$7*(1+(($B$7-25)*AG$9/100))</f>
        <v>13.26375</v>
      </c>
    </row>
    <row r="17" spans="1:33" s="60" customFormat="1" ht="32.1" customHeight="1">
      <c r="C17" s="71"/>
      <c r="E17" s="72"/>
      <c r="F17" s="64"/>
      <c r="G17" s="64"/>
      <c r="H17" s="72"/>
      <c r="I17" s="64"/>
      <c r="J17" s="64"/>
      <c r="K17" s="72"/>
      <c r="L17" s="64"/>
      <c r="M17" s="64"/>
      <c r="N17" s="72"/>
      <c r="O17" s="64"/>
      <c r="P17" s="64"/>
      <c r="Q17" s="72"/>
      <c r="R17" s="64"/>
      <c r="S17" s="64"/>
      <c r="T17" s="72"/>
      <c r="U17" s="64"/>
      <c r="V17" s="64"/>
      <c r="W17" s="72"/>
      <c r="X17" s="64"/>
      <c r="Y17" s="64"/>
      <c r="Z17" s="72"/>
      <c r="AA17" s="64"/>
      <c r="AB17" s="64"/>
      <c r="AC17" s="72"/>
      <c r="AD17" s="64"/>
      <c r="AE17" s="64"/>
      <c r="AF17" s="72"/>
      <c r="AG17" s="64"/>
    </row>
    <row r="18" spans="1:33">
      <c r="A18" s="96" t="s">
        <v>42</v>
      </c>
      <c r="B18" s="73" t="s">
        <v>43</v>
      </c>
      <c r="C18" s="74" t="str">
        <f>'Compare Inversores'!A$3</f>
        <v>SIW500G T075 W0</v>
      </c>
      <c r="E18" s="75" t="s">
        <v>44</v>
      </c>
      <c r="F18" s="75">
        <f>$C29</f>
        <v>2</v>
      </c>
      <c r="H18" s="75" t="s">
        <v>44</v>
      </c>
      <c r="I18" s="75">
        <f>$C29</f>
        <v>2</v>
      </c>
      <c r="K18" s="75" t="s">
        <v>44</v>
      </c>
      <c r="L18" s="75">
        <f>$C29</f>
        <v>2</v>
      </c>
      <c r="N18" s="75" t="s">
        <v>44</v>
      </c>
      <c r="O18" s="75">
        <f>$C29</f>
        <v>2</v>
      </c>
      <c r="Q18" s="75" t="s">
        <v>44</v>
      </c>
      <c r="R18" s="75">
        <f>$C29</f>
        <v>2</v>
      </c>
      <c r="T18" s="75" t="s">
        <v>44</v>
      </c>
      <c r="U18" s="75">
        <f>$C29</f>
        <v>2</v>
      </c>
      <c r="W18" s="75" t="s">
        <v>44</v>
      </c>
      <c r="X18" s="75">
        <f>$C29</f>
        <v>2</v>
      </c>
      <c r="Z18" s="75" t="s">
        <v>44</v>
      </c>
      <c r="AA18" s="75">
        <f>$C29</f>
        <v>2</v>
      </c>
      <c r="AC18" s="75" t="s">
        <v>44</v>
      </c>
      <c r="AD18" s="75">
        <f>$C29</f>
        <v>2</v>
      </c>
      <c r="AF18" s="75" t="s">
        <v>44</v>
      </c>
      <c r="AG18" s="75">
        <f>$C29</f>
        <v>2</v>
      </c>
    </row>
    <row r="19" spans="1:33">
      <c r="A19" s="96"/>
      <c r="B19" s="73" t="s">
        <v>45</v>
      </c>
      <c r="C19" s="76">
        <f>VLOOKUP(C18,inv_Dados,13,0)</f>
        <v>75000</v>
      </c>
      <c r="E19" s="75" t="s">
        <v>46</v>
      </c>
      <c r="F19" s="75">
        <f>TRUNC($C27/F$15)</f>
        <v>2</v>
      </c>
      <c r="H19" s="75" t="s">
        <v>46</v>
      </c>
      <c r="I19" s="75">
        <f>TRUNC($C27/I$15)</f>
        <v>2</v>
      </c>
      <c r="K19" s="75" t="s">
        <v>46</v>
      </c>
      <c r="L19" s="75">
        <f>TRUNC($C27/L$15)</f>
        <v>2</v>
      </c>
      <c r="N19" s="75" t="s">
        <v>46</v>
      </c>
      <c r="O19" s="75">
        <f>TRUNC($C27/O$15)</f>
        <v>2</v>
      </c>
      <c r="Q19" s="75" t="s">
        <v>46</v>
      </c>
      <c r="R19" s="75">
        <f>TRUNC($C27/R$15)</f>
        <v>2</v>
      </c>
      <c r="T19" s="75" t="s">
        <v>46</v>
      </c>
      <c r="U19" s="75">
        <f>TRUNC($C27/U$15)</f>
        <v>2</v>
      </c>
      <c r="W19" s="75" t="s">
        <v>46</v>
      </c>
      <c r="X19" s="75">
        <f>TRUNC($C27/X$15)</f>
        <v>2</v>
      </c>
      <c r="Z19" s="75" t="s">
        <v>46</v>
      </c>
      <c r="AA19" s="75">
        <f>TRUNC($C27/AA$15)</f>
        <v>2</v>
      </c>
      <c r="AC19" s="75" t="s">
        <v>46</v>
      </c>
      <c r="AD19" s="75">
        <f>TRUNC($C27/AD$15)</f>
        <v>2</v>
      </c>
      <c r="AF19" s="75" t="s">
        <v>46</v>
      </c>
      <c r="AG19" s="75">
        <f>TRUNC($C27/AG$15)</f>
        <v>2</v>
      </c>
    </row>
    <row r="20" spans="1:33">
      <c r="A20" s="96"/>
      <c r="B20" s="73" t="s">
        <v>47</v>
      </c>
      <c r="C20" s="76">
        <f>C19*(1+VLOOKUP(C18,inv_Dados,33,0)/100)</f>
        <v>112500</v>
      </c>
      <c r="E20" s="75" t="s">
        <v>48</v>
      </c>
      <c r="F20" s="75">
        <f>TRUNC($C28*(1+$B$12/100)/F$16)</f>
        <v>2</v>
      </c>
      <c r="H20" s="75" t="s">
        <v>48</v>
      </c>
      <c r="I20" s="75">
        <f>TRUNC($C28*(1+$B$12/100)/I$16)</f>
        <v>2</v>
      </c>
      <c r="K20" s="75" t="s">
        <v>48</v>
      </c>
      <c r="L20" s="75">
        <f>TRUNC($C28*(1+$B$12/100)/L$16)</f>
        <v>2</v>
      </c>
      <c r="N20" s="75" t="s">
        <v>48</v>
      </c>
      <c r="O20" s="75">
        <f>TRUNC($C28*(1+$B$12/100)/O$16)</f>
        <v>2</v>
      </c>
      <c r="Q20" s="75" t="s">
        <v>48</v>
      </c>
      <c r="R20" s="75">
        <f>TRUNC($C28*(1+$B$12/100)/R$16)</f>
        <v>2</v>
      </c>
      <c r="T20" s="75" t="s">
        <v>48</v>
      </c>
      <c r="U20" s="75">
        <f>TRUNC($C28*(1+$B$12/100)/U$16)</f>
        <v>2</v>
      </c>
      <c r="W20" s="75" t="s">
        <v>48</v>
      </c>
      <c r="X20" s="75">
        <f>TRUNC($C28*(1+$B$12/100)/X$16)</f>
        <v>2</v>
      </c>
      <c r="Z20" s="75" t="s">
        <v>48</v>
      </c>
      <c r="AA20" s="75">
        <f>TRUNC($C28*(1+$B$12/100)/AA$16)</f>
        <v>1</v>
      </c>
      <c r="AC20" s="75" t="s">
        <v>48</v>
      </c>
      <c r="AD20" s="75">
        <f>TRUNC($C28*(1+$B$12/100)/AD$16)</f>
        <v>1</v>
      </c>
      <c r="AF20" s="75" t="s">
        <v>48</v>
      </c>
      <c r="AG20" s="75">
        <f>TRUNC($C28*(1+$B$12/100)/AG$16)</f>
        <v>2</v>
      </c>
    </row>
    <row r="21" spans="1:33">
      <c r="A21" s="96"/>
      <c r="B21" s="73" t="s">
        <v>49</v>
      </c>
      <c r="C21" s="76">
        <f>VLOOKUP(C18,inv_Dados,18,0)</f>
        <v>200</v>
      </c>
      <c r="E21" s="75" t="s">
        <v>50</v>
      </c>
      <c r="F21" s="75">
        <f>SMALL(F18:F20,1)</f>
        <v>2</v>
      </c>
      <c r="H21" s="75" t="s">
        <v>50</v>
      </c>
      <c r="I21" s="75">
        <f>SMALL(I18:I20,1)</f>
        <v>2</v>
      </c>
      <c r="K21" s="75" t="s">
        <v>50</v>
      </c>
      <c r="L21" s="75">
        <f>SMALL(L18:L20,1)</f>
        <v>2</v>
      </c>
      <c r="N21" s="75" t="s">
        <v>50</v>
      </c>
      <c r="O21" s="75">
        <f>SMALL(O18:O20,1)</f>
        <v>2</v>
      </c>
      <c r="Q21" s="75" t="s">
        <v>50</v>
      </c>
      <c r="R21" s="75">
        <f>SMALL(R18:R20,1)</f>
        <v>2</v>
      </c>
      <c r="T21" s="75" t="s">
        <v>50</v>
      </c>
      <c r="U21" s="75">
        <f>SMALL(U18:U20,1)</f>
        <v>2</v>
      </c>
      <c r="W21" s="75" t="s">
        <v>50</v>
      </c>
      <c r="X21" s="75">
        <f>SMALL(X18:X20,1)</f>
        <v>2</v>
      </c>
      <c r="Z21" s="75" t="s">
        <v>50</v>
      </c>
      <c r="AA21" s="75">
        <f>SMALL(AA18:AA20,1)</f>
        <v>1</v>
      </c>
      <c r="AC21" s="75" t="s">
        <v>50</v>
      </c>
      <c r="AD21" s="75">
        <f>SMALL(AD18:AD20,1)</f>
        <v>1</v>
      </c>
      <c r="AF21" s="75" t="s">
        <v>50</v>
      </c>
      <c r="AG21" s="75">
        <f>SMALL(AG18:AG20,1)</f>
        <v>2</v>
      </c>
    </row>
    <row r="22" spans="1:33">
      <c r="A22" s="96"/>
      <c r="B22" s="73" t="s">
        <v>51</v>
      </c>
      <c r="C22" s="76">
        <f>VLOOKUP(C18,inv_Dados,17,0)</f>
        <v>1100</v>
      </c>
      <c r="E22" s="75"/>
      <c r="F22" s="75"/>
      <c r="H22" s="75"/>
      <c r="I22" s="75"/>
      <c r="K22" s="75"/>
      <c r="L22" s="75"/>
      <c r="N22" s="75"/>
      <c r="O22" s="75"/>
      <c r="Q22" s="75"/>
      <c r="R22" s="75"/>
      <c r="T22" s="75"/>
      <c r="U22" s="75"/>
      <c r="W22" s="75"/>
      <c r="X22" s="75"/>
      <c r="Z22" s="75"/>
      <c r="AA22" s="75"/>
      <c r="AC22" s="75"/>
      <c r="AD22" s="75"/>
      <c r="AF22" s="75"/>
      <c r="AG22" s="75"/>
    </row>
    <row r="23" spans="1:33">
      <c r="A23" s="96"/>
      <c r="B23" s="73" t="s">
        <v>52</v>
      </c>
      <c r="C23" s="76">
        <f>VLOOKUP(C18,inv_Dados,20,0)</f>
        <v>200</v>
      </c>
      <c r="E23" s="75" t="s">
        <v>53</v>
      </c>
      <c r="F23" s="75">
        <f>ROUNDUP(IF(($C21/F$11)&gt;($C23/F$13),$C21/F$11,$C23/F$13),0)</f>
        <v>6</v>
      </c>
      <c r="H23" s="75" t="s">
        <v>53</v>
      </c>
      <c r="I23" s="75">
        <f>ROUNDUP(IF(($C21/I$11)&gt;($C23/I$13),$C21/I$11,$C23/I$13),0)</f>
        <v>6</v>
      </c>
      <c r="K23" s="75" t="s">
        <v>53</v>
      </c>
      <c r="L23" s="75">
        <f>ROUNDUP(IF(($C21/L$11)&gt;($C23/L$13),$C21/L$11,$C23/L$13),0)</f>
        <v>6</v>
      </c>
      <c r="N23" s="75" t="s">
        <v>53</v>
      </c>
      <c r="O23" s="75">
        <f>ROUNDUP(IF(($C21/O$11)&gt;($C23/O$13),$C21/O$11,$C23/O$13),0)</f>
        <v>6</v>
      </c>
      <c r="Q23" s="75" t="s">
        <v>53</v>
      </c>
      <c r="R23" s="75">
        <f>ROUNDUP(IF(($C21/R$11)&gt;($C23/R$13),$C21/R$11,$C23/R$13),0)</f>
        <v>5</v>
      </c>
      <c r="T23" s="75" t="s">
        <v>53</v>
      </c>
      <c r="U23" s="75">
        <f>ROUNDUP(IF(($C21/U$11)&gt;($C23/U$13),$C21/U$11,$C23/U$13),0)</f>
        <v>5</v>
      </c>
      <c r="W23" s="75" t="s">
        <v>53</v>
      </c>
      <c r="X23" s="75">
        <f>ROUNDUP(IF(($C21/X$11)&gt;($C23/X$13),$C21/X$11,$C23/X$13),0)</f>
        <v>5</v>
      </c>
      <c r="Z23" s="75" t="s">
        <v>53</v>
      </c>
      <c r="AA23" s="75">
        <f>ROUNDUP(IF(($C21/AA$11)&gt;($C23/AA$13),$C21/AA$11,$C23/AA$13),0)</f>
        <v>6</v>
      </c>
      <c r="AC23" s="75" t="s">
        <v>53</v>
      </c>
      <c r="AD23" s="75">
        <f>ROUNDUP(IF(($C21/AD$11)&gt;($C23/AD$13),$C21/AD$11,$C23/AD$13),0)</f>
        <v>6</v>
      </c>
      <c r="AF23" s="75" t="s">
        <v>53</v>
      </c>
      <c r="AG23" s="75">
        <f>ROUNDUP(IF(($C21/AG$11)&gt;($C23/AG$13),$C21/AG$11,$C23/AG$13),0)</f>
        <v>5</v>
      </c>
    </row>
    <row r="24" spans="1:33">
      <c r="A24" s="96"/>
      <c r="B24" s="73" t="s">
        <v>54</v>
      </c>
      <c r="C24" s="76">
        <f>VLOOKUP(C18,inv_Dados,19,0)</f>
        <v>1000</v>
      </c>
      <c r="E24" s="75" t="s">
        <v>55</v>
      </c>
      <c r="F24" s="75">
        <f>TRUNC(IF(($C22/F$12)&gt;($C24/F$14),$C24/F$14,$C22/F$12),0)</f>
        <v>21</v>
      </c>
      <c r="H24" s="75" t="s">
        <v>55</v>
      </c>
      <c r="I24" s="75">
        <f>TRUNC(IF(($C22/I$12)&gt;($C24/I$14),$C24/I$14,$C22/I$12),0)</f>
        <v>20</v>
      </c>
      <c r="K24" s="75" t="s">
        <v>55</v>
      </c>
      <c r="L24" s="75">
        <f>TRUNC(IF(($C22/L$12)&gt;($C24/L$14),$C24/L$14,$C22/L$12),0)</f>
        <v>21</v>
      </c>
      <c r="N24" s="75" t="s">
        <v>55</v>
      </c>
      <c r="O24" s="75">
        <f>TRUNC(IF(($C22/O$12)&gt;($C24/O$14),$C24/O$14,$C22/O$12),0)</f>
        <v>22</v>
      </c>
      <c r="Q24" s="75" t="s">
        <v>55</v>
      </c>
      <c r="R24" s="75">
        <f>TRUNC(IF(($C22/R$12)&gt;($C24/R$14),$C24/R$14,$C22/R$12),0)</f>
        <v>20</v>
      </c>
      <c r="T24" s="75" t="s">
        <v>55</v>
      </c>
      <c r="U24" s="75">
        <f>TRUNC(IF(($C22/U$12)&gt;($C24/U$14),$C24/U$14,$C22/U$12),0)</f>
        <v>20</v>
      </c>
      <c r="W24" s="75" t="s">
        <v>55</v>
      </c>
      <c r="X24" s="75">
        <f>TRUNC(IF(($C22/X$12)&gt;($C24/X$14),$C24/X$14,$C22/X$12),0)</f>
        <v>18</v>
      </c>
      <c r="Z24" s="75" t="s">
        <v>55</v>
      </c>
      <c r="AA24" s="75">
        <f>TRUNC(IF(($C22/AA$12)&gt;($C24/AA$14),$C24/AA$14,$C22/AA$12),0)</f>
        <v>21</v>
      </c>
      <c r="AC24" s="75" t="s">
        <v>55</v>
      </c>
      <c r="AD24" s="75">
        <f>TRUNC(IF(($C22/AD$12)&gt;($C24/AD$14),$C24/AD$14,$C22/AD$12),0)</f>
        <v>21</v>
      </c>
      <c r="AF24" s="75" t="s">
        <v>55</v>
      </c>
      <c r="AG24" s="75">
        <f>TRUNC(IF(($C22/AG$12)&gt;($C24/AG$14),$C24/AG$14,$C22/AG$12),0)</f>
        <v>20</v>
      </c>
    </row>
    <row r="25" spans="1:33">
      <c r="A25" s="96"/>
      <c r="B25" s="73" t="s">
        <v>56</v>
      </c>
      <c r="C25" s="76">
        <f>VLOOKUP(C18,inv_Dados,22,0)</f>
        <v>540</v>
      </c>
      <c r="E25" s="75" t="s">
        <v>57</v>
      </c>
      <c r="F25" s="75">
        <f>ROUNDUP(IF(($C25/F$13)&gt;F23,$C25/F$13,F23),0)</f>
        <v>14</v>
      </c>
      <c r="H25" s="75" t="s">
        <v>57</v>
      </c>
      <c r="I25" s="75">
        <f>ROUNDUP(IF(($C25/I$13)&gt;I23,$C25/I$13,I23),0)</f>
        <v>14</v>
      </c>
      <c r="K25" s="75" t="s">
        <v>57</v>
      </c>
      <c r="L25" s="75">
        <f>ROUNDUP(IF(($C25/L$13)&gt;L23,$C25/L$13,L23),0)</f>
        <v>15</v>
      </c>
      <c r="N25" s="75" t="s">
        <v>57</v>
      </c>
      <c r="O25" s="75">
        <f>ROUNDUP(IF(($C25/O$13)&gt;O23,$C25/O$13,O23),0)</f>
        <v>15</v>
      </c>
      <c r="Q25" s="75" t="s">
        <v>57</v>
      </c>
      <c r="R25" s="75">
        <f>ROUNDUP(IF(($C25/R$13)&gt;R23,$C25/R$13,R23),0)</f>
        <v>14</v>
      </c>
      <c r="T25" s="75" t="s">
        <v>57</v>
      </c>
      <c r="U25" s="75">
        <f>ROUNDUP(IF(($C25/U$13)&gt;U23,$C25/U$13,U23),0)</f>
        <v>14</v>
      </c>
      <c r="W25" s="75" t="s">
        <v>57</v>
      </c>
      <c r="X25" s="75">
        <f>ROUNDUP(IF(($C25/X$13)&gt;X23,$C25/X$13,X23),0)</f>
        <v>13</v>
      </c>
      <c r="Z25" s="75" t="s">
        <v>57</v>
      </c>
      <c r="AA25" s="75">
        <f>ROUNDUP(IF(($C25/AA$13)&gt;AA23,$C25/AA$13,AA23),0)</f>
        <v>14</v>
      </c>
      <c r="AC25" s="75" t="s">
        <v>57</v>
      </c>
      <c r="AD25" s="75">
        <f>ROUNDUP(IF(($C25/AD$13)&gt;AD23,$C25/AD$13,AD23),0)</f>
        <v>15</v>
      </c>
      <c r="AF25" s="75" t="s">
        <v>57</v>
      </c>
      <c r="AG25" s="75">
        <f>ROUNDUP(IF(($C25/AG$13)&gt;AG23,$C25/AG$13,AG23),0)</f>
        <v>14</v>
      </c>
    </row>
    <row r="26" spans="1:33">
      <c r="A26" s="96"/>
      <c r="B26" s="73" t="s">
        <v>58</v>
      </c>
      <c r="C26" s="76">
        <f>VLOOKUP(C18,inv_Dados,21,0)</f>
        <v>800</v>
      </c>
      <c r="E26" s="75" t="s">
        <v>59</v>
      </c>
      <c r="F26" s="75">
        <f>TRUNC(IF(($C26/F$14)&gt;F24,F24,$C26/F$14),0)</f>
        <v>18</v>
      </c>
      <c r="H26" s="75" t="s">
        <v>59</v>
      </c>
      <c r="I26" s="75">
        <f>TRUNC(IF(($C26/I$14)&gt;I24,I24,$C26/I$14),0)</f>
        <v>18</v>
      </c>
      <c r="K26" s="75" t="s">
        <v>59</v>
      </c>
      <c r="L26" s="75">
        <f>TRUNC(IF(($C26/L$14)&gt;L24,L24,$C26/L$14),0)</f>
        <v>18</v>
      </c>
      <c r="N26" s="75" t="s">
        <v>59</v>
      </c>
      <c r="O26" s="75">
        <f>TRUNC(IF(($C26/O$14)&gt;O24,O24,$C26/O$14),0)</f>
        <v>19</v>
      </c>
      <c r="Q26" s="75" t="s">
        <v>59</v>
      </c>
      <c r="R26" s="75">
        <f>TRUNC(IF(($C26/R$14)&gt;R24,R24,$C26/R$14),0)</f>
        <v>18</v>
      </c>
      <c r="T26" s="75" t="s">
        <v>59</v>
      </c>
      <c r="U26" s="75">
        <f>TRUNC(IF(($C26/U$14)&gt;U24,U24,$C26/U$14),0)</f>
        <v>17</v>
      </c>
      <c r="W26" s="75" t="s">
        <v>59</v>
      </c>
      <c r="X26" s="75">
        <f>TRUNC(IF(($C26/X$14)&gt;X24,X24,$C26/X$14),0)</f>
        <v>16</v>
      </c>
      <c r="Z26" s="75" t="s">
        <v>59</v>
      </c>
      <c r="AA26" s="75">
        <f>TRUNC(IF(($C26/AA$14)&gt;AA24,AA24,$C26/AA$14),0)</f>
        <v>18</v>
      </c>
      <c r="AC26" s="75" t="s">
        <v>59</v>
      </c>
      <c r="AD26" s="75">
        <f>TRUNC(IF(($C26/AD$14)&gt;AD24,AD24,$C26/AD$14),0)</f>
        <v>18</v>
      </c>
      <c r="AF26" s="75" t="s">
        <v>59</v>
      </c>
      <c r="AG26" s="75">
        <f>TRUNC(IF(($C26/AG$14)&gt;AG24,AG24,$C26/AG$14),0)</f>
        <v>17</v>
      </c>
    </row>
    <row r="27" spans="1:33">
      <c r="A27" s="96"/>
      <c r="B27" s="73" t="s">
        <v>60</v>
      </c>
      <c r="C27" s="76">
        <f>VLOOKUP(C18,inv_Dados,24,0)</f>
        <v>40</v>
      </c>
      <c r="E27" s="75" t="s">
        <v>61</v>
      </c>
      <c r="F27" s="75">
        <f>IF(($C30*F21*F26*F$3)&gt;($C20*(1+$B$10/100)),INT(($C20*(1+$B$10/100))/F$3),F26*$C30*F21)</f>
        <v>205</v>
      </c>
      <c r="H27" s="75" t="s">
        <v>61</v>
      </c>
      <c r="I27" s="75">
        <f>IF(($C30*I21*I26*I$3)&gt;($C20*(1+$B$10/100)),INT(($C20*(1+$B$10/100))/I$3),I26*$C30*I21)</f>
        <v>205</v>
      </c>
      <c r="K27" s="75" t="s">
        <v>61</v>
      </c>
      <c r="L27" s="75">
        <f>IF(($C30*L21*L26*L$3)&gt;($C20*(1+$B$10/100)),INT(($C20*(1+$B$10/100))/L$3),L26*$C30*L21)</f>
        <v>203</v>
      </c>
      <c r="N27" s="75" t="s">
        <v>61</v>
      </c>
      <c r="O27" s="75">
        <f>IF(($C30*O21*O26*O$3)&gt;($C20*(1+$B$10/100)),INT(($C20*(1+$B$10/100))/O$3),O26*$C30*O21)</f>
        <v>198</v>
      </c>
      <c r="Q27" s="75" t="s">
        <v>61</v>
      </c>
      <c r="R27" s="75">
        <f>IF(($C30*R21*R26*R$3)&gt;($C20*(1+$B$10/100)),INT(($C20*(1+$B$10/100))/R$3),R26*$C30*R21)</f>
        <v>198</v>
      </c>
      <c r="T27" s="75" t="s">
        <v>61</v>
      </c>
      <c r="U27" s="75">
        <f>IF(($C30*U21*U26*U$3)&gt;($C20*(1+$B$10/100)),INT(($C20*(1+$B$10/100))/U$3),U26*$C30*U21)</f>
        <v>193</v>
      </c>
      <c r="W27" s="75" t="s">
        <v>61</v>
      </c>
      <c r="X27" s="75">
        <f>IF(($C30*X21*X26*X$3)&gt;($C20*(1+$B$10/100)),INT(($C20*(1+$B$10/100))/X$3),X26*$C30*X21)</f>
        <v>178</v>
      </c>
      <c r="Z27" s="75" t="s">
        <v>61</v>
      </c>
      <c r="AA27" s="75">
        <f>IF(($C30*AA21*AA26*AA$3)&gt;($C20*(1+$B$10/100)),INT(($C20*(1+$B$10/100))/AA$3),AA26*$C30*AA21)</f>
        <v>161</v>
      </c>
      <c r="AC27" s="75" t="s">
        <v>61</v>
      </c>
      <c r="AD27" s="75">
        <f>IF(($C30*AD21*AD26*AD$3)&gt;($C20*(1+$B$10/100)),INT(($C20*(1+$B$10/100))/AD$3),AD26*$C30*AD21)</f>
        <v>159</v>
      </c>
      <c r="AF27" s="75" t="s">
        <v>61</v>
      </c>
      <c r="AG27" s="75">
        <f>IF(($C30*AG21*AG26*AG$3)&gt;($C20*(1+$B$10/100)),INT(($C20*(1+$B$10/100))/AG$3),AG26*$C30*AG21)</f>
        <v>196</v>
      </c>
    </row>
    <row r="28" spans="1:33">
      <c r="A28" s="96"/>
      <c r="B28" s="73" t="s">
        <v>62</v>
      </c>
      <c r="C28" s="76">
        <f>VLOOKUP(C18,inv_Dados,25,0)</f>
        <v>30</v>
      </c>
      <c r="E28" s="75" t="s">
        <v>63</v>
      </c>
      <c r="F28" s="75">
        <f>F27*F$3</f>
        <v>112750</v>
      </c>
      <c r="H28" s="75" t="s">
        <v>63</v>
      </c>
      <c r="I28" s="75">
        <f>I27*I$3</f>
        <v>112750</v>
      </c>
      <c r="K28" s="75" t="s">
        <v>63</v>
      </c>
      <c r="L28" s="75">
        <f>L27*L$3</f>
        <v>112665</v>
      </c>
      <c r="N28" s="75" t="s">
        <v>63</v>
      </c>
      <c r="O28" s="75">
        <f>O27*O$3</f>
        <v>112860</v>
      </c>
      <c r="Q28" s="75" t="s">
        <v>63</v>
      </c>
      <c r="R28" s="75">
        <f>R27*R$3</f>
        <v>112860</v>
      </c>
      <c r="T28" s="75" t="s">
        <v>63</v>
      </c>
      <c r="U28" s="75">
        <f>U27*U$3</f>
        <v>112905</v>
      </c>
      <c r="W28" s="75" t="s">
        <v>63</v>
      </c>
      <c r="X28" s="75">
        <f>X27*X$3</f>
        <v>113030</v>
      </c>
      <c r="Z28" s="75" t="s">
        <v>63</v>
      </c>
      <c r="AA28" s="75">
        <f>AA27*AA$3</f>
        <v>112700</v>
      </c>
      <c r="AC28" s="75" t="s">
        <v>63</v>
      </c>
      <c r="AD28" s="75">
        <f>AD27*AD$3</f>
        <v>112890</v>
      </c>
      <c r="AF28" s="75" t="s">
        <v>63</v>
      </c>
      <c r="AG28" s="75">
        <f>AG27*AG$3</f>
        <v>112700</v>
      </c>
    </row>
    <row r="29" spans="1:33">
      <c r="A29" s="96"/>
      <c r="B29" s="73" t="s">
        <v>44</v>
      </c>
      <c r="C29" s="76">
        <f>VLOOKUP(C18,inv_Dados,15,0)</f>
        <v>2</v>
      </c>
      <c r="E29" s="72"/>
      <c r="F29" s="64"/>
      <c r="H29" s="72"/>
      <c r="I29" s="64"/>
      <c r="K29" s="72"/>
      <c r="L29" s="64"/>
      <c r="N29" s="72"/>
      <c r="O29" s="64"/>
      <c r="Q29" s="72"/>
      <c r="R29" s="64"/>
      <c r="T29" s="72"/>
      <c r="U29" s="64"/>
      <c r="W29" s="72"/>
      <c r="X29" s="64"/>
      <c r="Z29" s="72"/>
      <c r="AA29" s="64"/>
      <c r="AC29" s="72"/>
      <c r="AD29" s="64"/>
      <c r="AF29" s="72"/>
      <c r="AG29" s="64"/>
    </row>
    <row r="30" spans="1:33">
      <c r="A30" s="96"/>
      <c r="B30" s="73" t="s">
        <v>64</v>
      </c>
      <c r="C30" s="76">
        <f>VLOOKUP(C18,inv_Dados,16,0)</f>
        <v>10</v>
      </c>
      <c r="E30" s="72"/>
      <c r="F30" s="64"/>
      <c r="H30" s="72"/>
      <c r="I30" s="64"/>
      <c r="K30" s="72"/>
      <c r="L30" s="64"/>
      <c r="N30" s="72"/>
      <c r="O30" s="64"/>
      <c r="Q30" s="72"/>
      <c r="R30" s="64"/>
      <c r="T30" s="72"/>
      <c r="U30" s="64"/>
      <c r="W30" s="72"/>
      <c r="X30" s="64"/>
      <c r="Z30" s="72"/>
      <c r="AA30" s="64"/>
      <c r="AC30" s="72"/>
      <c r="AD30" s="64"/>
      <c r="AF30" s="72"/>
      <c r="AG30" s="64"/>
    </row>
    <row r="31" spans="1:33" s="60" customFormat="1">
      <c r="A31" s="96"/>
      <c r="C31" s="71"/>
      <c r="E31" s="72"/>
      <c r="F31" s="64"/>
      <c r="G31" s="64"/>
      <c r="H31" s="72"/>
      <c r="I31" s="64"/>
      <c r="J31" s="64"/>
      <c r="K31" s="72"/>
      <c r="L31" s="64"/>
      <c r="M31" s="64"/>
      <c r="N31" s="72"/>
      <c r="O31" s="64"/>
      <c r="P31" s="64"/>
      <c r="Q31" s="72"/>
      <c r="R31" s="64"/>
      <c r="S31" s="64"/>
      <c r="T31" s="72"/>
      <c r="U31" s="64"/>
      <c r="V31" s="64"/>
      <c r="W31" s="72"/>
      <c r="X31" s="64"/>
      <c r="Y31" s="64"/>
      <c r="Z31" s="72"/>
      <c r="AA31" s="64"/>
      <c r="AB31" s="64"/>
      <c r="AC31" s="72"/>
      <c r="AD31" s="64"/>
      <c r="AE31" s="64"/>
      <c r="AF31" s="72"/>
      <c r="AG31" s="64"/>
    </row>
    <row r="32" spans="1:33">
      <c r="A32" s="96"/>
      <c r="B32" s="73" t="s">
        <v>43</v>
      </c>
      <c r="C32" s="74" t="str">
        <f>'Compare Inversores'!A4</f>
        <v>SIW300H M030 W00</v>
      </c>
      <c r="E32" s="75" t="s">
        <v>44</v>
      </c>
      <c r="F32" s="75">
        <f>$C43</f>
        <v>1</v>
      </c>
      <c r="H32" s="75" t="s">
        <v>44</v>
      </c>
      <c r="I32" s="75">
        <f>$C43</f>
        <v>1</v>
      </c>
      <c r="K32" s="75" t="s">
        <v>44</v>
      </c>
      <c r="L32" s="75">
        <f>$C43</f>
        <v>1</v>
      </c>
      <c r="N32" s="75" t="s">
        <v>44</v>
      </c>
      <c r="O32" s="75">
        <f>$C43</f>
        <v>1</v>
      </c>
      <c r="Q32" s="75" t="s">
        <v>44</v>
      </c>
      <c r="R32" s="75">
        <f>$C43</f>
        <v>1</v>
      </c>
      <c r="T32" s="75" t="s">
        <v>44</v>
      </c>
      <c r="U32" s="75">
        <f>$C43</f>
        <v>1</v>
      </c>
      <c r="W32" s="75" t="s">
        <v>44</v>
      </c>
      <c r="X32" s="75">
        <f>$C43</f>
        <v>1</v>
      </c>
      <c r="Z32" s="75" t="s">
        <v>44</v>
      </c>
      <c r="AA32" s="75">
        <f>$C43</f>
        <v>1</v>
      </c>
      <c r="AC32" s="75" t="s">
        <v>44</v>
      </c>
      <c r="AD32" s="75">
        <f>$C43</f>
        <v>1</v>
      </c>
      <c r="AF32" s="75" t="s">
        <v>44</v>
      </c>
      <c r="AG32" s="75">
        <f>$C43</f>
        <v>1</v>
      </c>
    </row>
    <row r="33" spans="1:33">
      <c r="A33" s="96"/>
      <c r="B33" s="73" t="s">
        <v>45</v>
      </c>
      <c r="C33" s="76">
        <f>VLOOKUP(C32,inv_Dados,13,0)</f>
        <v>3000</v>
      </c>
      <c r="E33" s="75" t="s">
        <v>46</v>
      </c>
      <c r="F33" s="75">
        <f>TRUNC($C41/F$15)</f>
        <v>1</v>
      </c>
      <c r="H33" s="75" t="s">
        <v>46</v>
      </c>
      <c r="I33" s="75">
        <f>TRUNC($C41/I$15)</f>
        <v>1</v>
      </c>
      <c r="K33" s="75" t="s">
        <v>46</v>
      </c>
      <c r="L33" s="75">
        <f>TRUNC($C41/L$15)</f>
        <v>1</v>
      </c>
      <c r="N33" s="75" t="s">
        <v>46</v>
      </c>
      <c r="O33" s="75">
        <f>TRUNC($C41/O$15)</f>
        <v>1</v>
      </c>
      <c r="Q33" s="75" t="s">
        <v>46</v>
      </c>
      <c r="R33" s="75">
        <f>TRUNC($C41/R$15)</f>
        <v>1</v>
      </c>
      <c r="T33" s="75" t="s">
        <v>46</v>
      </c>
      <c r="U33" s="75">
        <f>TRUNC($C41/U$15)</f>
        <v>1</v>
      </c>
      <c r="W33" s="75" t="s">
        <v>46</v>
      </c>
      <c r="X33" s="75">
        <f>TRUNC($C41/X$15)</f>
        <v>1</v>
      </c>
      <c r="Z33" s="75" t="s">
        <v>46</v>
      </c>
      <c r="AA33" s="75">
        <f>TRUNC($C41/AA$15)</f>
        <v>1</v>
      </c>
      <c r="AC33" s="75" t="s">
        <v>46</v>
      </c>
      <c r="AD33" s="75">
        <f>TRUNC($C41/AD$15)</f>
        <v>0</v>
      </c>
      <c r="AF33" s="75" t="s">
        <v>46</v>
      </c>
      <c r="AG33" s="75">
        <f>TRUNC($C41/AG$15)</f>
        <v>1</v>
      </c>
    </row>
    <row r="34" spans="1:33">
      <c r="A34" s="96"/>
      <c r="B34" s="73" t="s">
        <v>47</v>
      </c>
      <c r="C34" s="76">
        <f>C33*(1+VLOOKUP(C32,inv_Dados,33,0)/100)</f>
        <v>6000</v>
      </c>
      <c r="E34" s="75" t="s">
        <v>48</v>
      </c>
      <c r="F34" s="75">
        <f>TRUNC($C42*(1+$B$12/100)/F$16)</f>
        <v>1</v>
      </c>
      <c r="H34" s="75" t="s">
        <v>48</v>
      </c>
      <c r="I34" s="75">
        <f>TRUNC($C42*(1+$B$12/100)/I$16)</f>
        <v>1</v>
      </c>
      <c r="K34" s="75" t="s">
        <v>48</v>
      </c>
      <c r="L34" s="75">
        <f>TRUNC($C42*(1+$B$12/100)/L$16)</f>
        <v>1</v>
      </c>
      <c r="N34" s="75" t="s">
        <v>48</v>
      </c>
      <c r="O34" s="75">
        <f>TRUNC($C42*(1+$B$12/100)/O$16)</f>
        <v>1</v>
      </c>
      <c r="Q34" s="75" t="s">
        <v>48</v>
      </c>
      <c r="R34" s="75">
        <f>TRUNC($C42*(1+$B$12/100)/R$16)</f>
        <v>1</v>
      </c>
      <c r="T34" s="75" t="s">
        <v>48</v>
      </c>
      <c r="U34" s="75">
        <f>TRUNC($C42*(1+$B$12/100)/U$16)</f>
        <v>1</v>
      </c>
      <c r="W34" s="75" t="s">
        <v>48</v>
      </c>
      <c r="X34" s="75">
        <f>TRUNC($C42*(1+$B$12/100)/X$16)</f>
        <v>1</v>
      </c>
      <c r="Z34" s="75" t="s">
        <v>48</v>
      </c>
      <c r="AA34" s="75">
        <f>TRUNC($C42*(1+$B$12/100)/AA$16)</f>
        <v>0</v>
      </c>
      <c r="AC34" s="75" t="s">
        <v>48</v>
      </c>
      <c r="AD34" s="75">
        <f>TRUNC($C42*(1+$B$12/100)/AD$16)</f>
        <v>0</v>
      </c>
      <c r="AF34" s="75" t="s">
        <v>48</v>
      </c>
      <c r="AG34" s="75">
        <f>TRUNC($C42*(1+$B$12/100)/AG$16)</f>
        <v>1</v>
      </c>
    </row>
    <row r="35" spans="1:33">
      <c r="A35" s="96"/>
      <c r="B35" s="73" t="s">
        <v>49</v>
      </c>
      <c r="C35" s="76">
        <f>VLOOKUP(C32,inv_Dados,18,0)</f>
        <v>100</v>
      </c>
      <c r="E35" s="75" t="s">
        <v>50</v>
      </c>
      <c r="F35" s="75">
        <f>SMALL(F32:F34,1)</f>
        <v>1</v>
      </c>
      <c r="H35" s="75" t="s">
        <v>50</v>
      </c>
      <c r="I35" s="75">
        <f>SMALL(I32:I34,1)</f>
        <v>1</v>
      </c>
      <c r="K35" s="75" t="s">
        <v>50</v>
      </c>
      <c r="L35" s="75">
        <f>SMALL(L32:L34,1)</f>
        <v>1</v>
      </c>
      <c r="N35" s="75" t="s">
        <v>50</v>
      </c>
      <c r="O35" s="75">
        <f>SMALL(O32:O34,1)</f>
        <v>1</v>
      </c>
      <c r="Q35" s="75" t="s">
        <v>50</v>
      </c>
      <c r="R35" s="75">
        <f>SMALL(R32:R34,1)</f>
        <v>1</v>
      </c>
      <c r="T35" s="75" t="s">
        <v>50</v>
      </c>
      <c r="U35" s="75">
        <f>SMALL(U32:U34,1)</f>
        <v>1</v>
      </c>
      <c r="W35" s="75" t="s">
        <v>50</v>
      </c>
      <c r="X35" s="75">
        <f>SMALL(X32:X34,1)</f>
        <v>1</v>
      </c>
      <c r="Z35" s="75" t="s">
        <v>50</v>
      </c>
      <c r="AA35" s="75">
        <f>SMALL(AA32:AA34,1)</f>
        <v>0</v>
      </c>
      <c r="AC35" s="75" t="s">
        <v>50</v>
      </c>
      <c r="AD35" s="75">
        <f>SMALL(AD32:AD34,1)</f>
        <v>0</v>
      </c>
      <c r="AF35" s="75" t="s">
        <v>50</v>
      </c>
      <c r="AG35" s="75">
        <f>SMALL(AG32:AG34,1)</f>
        <v>1</v>
      </c>
    </row>
    <row r="36" spans="1:33">
      <c r="A36" s="96"/>
      <c r="B36" s="73" t="s">
        <v>51</v>
      </c>
      <c r="C36" s="76">
        <f>VLOOKUP(C32,inv_Dados,17,0)</f>
        <v>600</v>
      </c>
      <c r="E36" s="75"/>
      <c r="F36" s="75"/>
      <c r="H36" s="75"/>
      <c r="I36" s="75"/>
      <c r="K36" s="75"/>
      <c r="L36" s="75"/>
      <c r="N36" s="75"/>
      <c r="O36" s="75"/>
      <c r="Q36" s="75"/>
      <c r="R36" s="75"/>
      <c r="T36" s="75"/>
      <c r="U36" s="75"/>
      <c r="W36" s="75"/>
      <c r="X36" s="75"/>
      <c r="Z36" s="75"/>
      <c r="AA36" s="75"/>
      <c r="AC36" s="75"/>
      <c r="AD36" s="75"/>
      <c r="AF36" s="75"/>
      <c r="AG36" s="75"/>
    </row>
    <row r="37" spans="1:33">
      <c r="A37" s="96"/>
      <c r="B37" s="73" t="s">
        <v>52</v>
      </c>
      <c r="C37" s="76">
        <f>VLOOKUP(C32,inv_Dados,20,0)</f>
        <v>90</v>
      </c>
      <c r="E37" s="75" t="s">
        <v>53</v>
      </c>
      <c r="F37" s="75">
        <f>ROUNDUP(IF(($C35/F$11)&gt;($C37/F$13),$C35/F$11,$C37/F$13),0)</f>
        <v>3</v>
      </c>
      <c r="H37" s="75" t="s">
        <v>53</v>
      </c>
      <c r="I37" s="75">
        <f>ROUNDUP(IF(($C35/I$11)&gt;($C37/I$13),$C35/I$11,$C37/I$13),0)</f>
        <v>3</v>
      </c>
      <c r="K37" s="75" t="s">
        <v>53</v>
      </c>
      <c r="L37" s="75">
        <f>ROUNDUP(IF(($C35/L$11)&gt;($C37/L$13),$C35/L$11,$C37/L$13),0)</f>
        <v>3</v>
      </c>
      <c r="N37" s="75" t="s">
        <v>53</v>
      </c>
      <c r="O37" s="75">
        <f>ROUNDUP(IF(($C35/O$11)&gt;($C37/O$13),$C35/O$11,$C37/O$13),0)</f>
        <v>3</v>
      </c>
      <c r="Q37" s="75" t="s">
        <v>53</v>
      </c>
      <c r="R37" s="75">
        <f>ROUNDUP(IF(($C35/R$11)&gt;($C37/R$13),$C35/R$11,$C37/R$13),0)</f>
        <v>3</v>
      </c>
      <c r="T37" s="75" t="s">
        <v>53</v>
      </c>
      <c r="U37" s="75">
        <f>ROUNDUP(IF(($C35/U$11)&gt;($C37/U$13),$C35/U$11,$C37/U$13),0)</f>
        <v>3</v>
      </c>
      <c r="W37" s="75" t="s">
        <v>53</v>
      </c>
      <c r="X37" s="75">
        <f>ROUNDUP(IF(($C35/X$11)&gt;($C37/X$13),$C35/X$11,$C37/X$13),0)</f>
        <v>3</v>
      </c>
      <c r="Z37" s="75" t="s">
        <v>53</v>
      </c>
      <c r="AA37" s="75">
        <f>ROUNDUP(IF(($C35/AA$11)&gt;($C37/AA$13),$C35/AA$11,$C37/AA$13),0)</f>
        <v>3</v>
      </c>
      <c r="AC37" s="75" t="s">
        <v>53</v>
      </c>
      <c r="AD37" s="75">
        <f>ROUNDUP(IF(($C35/AD$11)&gt;($C37/AD$13),$C35/AD$11,$C37/AD$13),0)</f>
        <v>3</v>
      </c>
      <c r="AF37" s="75" t="s">
        <v>53</v>
      </c>
      <c r="AG37" s="75">
        <f>ROUNDUP(IF(($C35/AG$11)&gt;($C37/AG$13),$C35/AG$11,$C37/AG$13),0)</f>
        <v>3</v>
      </c>
    </row>
    <row r="38" spans="1:33">
      <c r="A38" s="96"/>
      <c r="B38" s="73" t="s">
        <v>54</v>
      </c>
      <c r="C38" s="76">
        <f>VLOOKUP(C32,inv_Dados,19,0)</f>
        <v>560</v>
      </c>
      <c r="E38" s="75" t="s">
        <v>55</v>
      </c>
      <c r="F38" s="75">
        <f>TRUNC(IF(($C36/F$12)&gt;($C38/F$14),$C38/F$14,$C36/F$12),0)</f>
        <v>11</v>
      </c>
      <c r="H38" s="75" t="s">
        <v>55</v>
      </c>
      <c r="I38" s="75">
        <f>TRUNC(IF(($C36/I$12)&gt;($C38/I$14),$C38/I$14,$C36/I$12),0)</f>
        <v>11</v>
      </c>
      <c r="K38" s="75" t="s">
        <v>55</v>
      </c>
      <c r="L38" s="75">
        <f>TRUNC(IF(($C36/L$12)&gt;($C38/L$14),$C38/L$14,$C36/L$12),0)</f>
        <v>11</v>
      </c>
      <c r="N38" s="75" t="s">
        <v>55</v>
      </c>
      <c r="O38" s="75">
        <f>TRUNC(IF(($C36/O$12)&gt;($C38/O$14),$C38/O$14,$C36/O$12),0)</f>
        <v>12</v>
      </c>
      <c r="Q38" s="75" t="s">
        <v>55</v>
      </c>
      <c r="R38" s="75">
        <f>TRUNC(IF(($C36/R$12)&gt;($C38/R$14),$C38/R$14,$C36/R$12),0)</f>
        <v>11</v>
      </c>
      <c r="T38" s="75" t="s">
        <v>55</v>
      </c>
      <c r="U38" s="75">
        <f>TRUNC(IF(($C36/U$12)&gt;($C38/U$14),$C38/U$14,$C36/U$12),0)</f>
        <v>10</v>
      </c>
      <c r="W38" s="75" t="s">
        <v>55</v>
      </c>
      <c r="X38" s="75">
        <f>TRUNC(IF(($C36/X$12)&gt;($C38/X$14),$C38/X$14,$C36/X$12),0)</f>
        <v>10</v>
      </c>
      <c r="Z38" s="75" t="s">
        <v>55</v>
      </c>
      <c r="AA38" s="75">
        <f>TRUNC(IF(($C36/AA$12)&gt;($C38/AA$14),$C38/AA$14,$C36/AA$12),0)</f>
        <v>11</v>
      </c>
      <c r="AC38" s="75" t="s">
        <v>55</v>
      </c>
      <c r="AD38" s="75">
        <f>TRUNC(IF(($C36/AD$12)&gt;($C38/AD$14),$C38/AD$14,$C36/AD$12),0)</f>
        <v>11</v>
      </c>
      <c r="AF38" s="75" t="s">
        <v>55</v>
      </c>
      <c r="AG38" s="75">
        <f>TRUNC(IF(($C36/AG$12)&gt;($C38/AG$14),$C38/AG$14,$C36/AG$12),0)</f>
        <v>11</v>
      </c>
    </row>
    <row r="39" spans="1:33">
      <c r="A39" s="96"/>
      <c r="B39" s="73" t="s">
        <v>56</v>
      </c>
      <c r="C39" s="76">
        <f>VLOOKUP(C32,inv_Dados,22,0)</f>
        <v>90</v>
      </c>
      <c r="E39" s="75" t="s">
        <v>57</v>
      </c>
      <c r="F39" s="75">
        <f>ROUNDUP(IF(($C39/F$13)&gt;F37,$C39/F$13,F37),0)</f>
        <v>3</v>
      </c>
      <c r="H39" s="75" t="s">
        <v>57</v>
      </c>
      <c r="I39" s="75">
        <f>ROUNDUP(IF(($C39/I$13)&gt;I37,$C39/I$13,I37),0)</f>
        <v>3</v>
      </c>
      <c r="K39" s="75" t="s">
        <v>57</v>
      </c>
      <c r="L39" s="75">
        <f>ROUNDUP(IF(($C39/L$13)&gt;L37,$C39/L$13,L37),0)</f>
        <v>3</v>
      </c>
      <c r="N39" s="75" t="s">
        <v>57</v>
      </c>
      <c r="O39" s="75">
        <f>ROUNDUP(IF(($C39/O$13)&gt;O37,$C39/O$13,O37),0)</f>
        <v>3</v>
      </c>
      <c r="Q39" s="75" t="s">
        <v>57</v>
      </c>
      <c r="R39" s="75">
        <f>ROUNDUP(IF(($C39/R$13)&gt;R37,$C39/R$13,R37),0)</f>
        <v>3</v>
      </c>
      <c r="T39" s="75" t="s">
        <v>57</v>
      </c>
      <c r="U39" s="75">
        <f>ROUNDUP(IF(($C39/U$13)&gt;U37,$C39/U$13,U37),0)</f>
        <v>3</v>
      </c>
      <c r="W39" s="75" t="s">
        <v>57</v>
      </c>
      <c r="X39" s="75">
        <f>ROUNDUP(IF(($C39/X$13)&gt;X37,$C39/X$13,X37),0)</f>
        <v>3</v>
      </c>
      <c r="Z39" s="75" t="s">
        <v>57</v>
      </c>
      <c r="AA39" s="75">
        <f>ROUNDUP(IF(($C39/AA$13)&gt;AA37,$C39/AA$13,AA37),0)</f>
        <v>3</v>
      </c>
      <c r="AC39" s="75" t="s">
        <v>57</v>
      </c>
      <c r="AD39" s="75">
        <f>ROUNDUP(IF(($C39/AD$13)&gt;AD37,$C39/AD$13,AD37),0)</f>
        <v>3</v>
      </c>
      <c r="AF39" s="75" t="s">
        <v>57</v>
      </c>
      <c r="AG39" s="75">
        <f>ROUNDUP(IF(($C39/AG$13)&gt;AG37,$C39/AG$13,AG37),0)</f>
        <v>3</v>
      </c>
    </row>
    <row r="40" spans="1:33">
      <c r="A40" s="96"/>
      <c r="B40" s="73" t="s">
        <v>58</v>
      </c>
      <c r="C40" s="76">
        <f>VLOOKUP(C32,inv_Dados,21,0)</f>
        <v>560</v>
      </c>
      <c r="E40" s="75" t="s">
        <v>59</v>
      </c>
      <c r="F40" s="75">
        <f>TRUNC(IF(($C40/F$14)&gt;F38,F38,$C40/F$14),0)</f>
        <v>11</v>
      </c>
      <c r="H40" s="75" t="s">
        <v>59</v>
      </c>
      <c r="I40" s="75">
        <f>TRUNC(IF(($C40/I$14)&gt;I38,I38,$C40/I$14),0)</f>
        <v>11</v>
      </c>
      <c r="K40" s="75" t="s">
        <v>59</v>
      </c>
      <c r="L40" s="75">
        <f>TRUNC(IF(($C40/L$14)&gt;L38,L38,$C40/L$14),0)</f>
        <v>11</v>
      </c>
      <c r="N40" s="75" t="s">
        <v>59</v>
      </c>
      <c r="O40" s="75">
        <f>TRUNC(IF(($C40/O$14)&gt;O38,O38,$C40/O$14),0)</f>
        <v>12</v>
      </c>
      <c r="Q40" s="75" t="s">
        <v>59</v>
      </c>
      <c r="R40" s="75">
        <f>TRUNC(IF(($C40/R$14)&gt;R38,R38,$C40/R$14),0)</f>
        <v>11</v>
      </c>
      <c r="T40" s="75" t="s">
        <v>59</v>
      </c>
      <c r="U40" s="75">
        <f>TRUNC(IF(($C40/U$14)&gt;U38,U38,$C40/U$14),0)</f>
        <v>10</v>
      </c>
      <c r="W40" s="75" t="s">
        <v>59</v>
      </c>
      <c r="X40" s="75">
        <f>TRUNC(IF(($C40/X$14)&gt;X38,X38,$C40/X$14),0)</f>
        <v>10</v>
      </c>
      <c r="Z40" s="75" t="s">
        <v>59</v>
      </c>
      <c r="AA40" s="75">
        <f>TRUNC(IF(($C40/AA$14)&gt;AA38,AA38,$C40/AA$14),0)</f>
        <v>11</v>
      </c>
      <c r="AC40" s="75" t="s">
        <v>59</v>
      </c>
      <c r="AD40" s="75">
        <f>TRUNC(IF(($C40/AD$14)&gt;AD38,AD38,$C40/AD$14),0)</f>
        <v>11</v>
      </c>
      <c r="AF40" s="75" t="s">
        <v>59</v>
      </c>
      <c r="AG40" s="75">
        <f>TRUNC(IF(($C40/AG$14)&gt;AG38,AG38,$C40/AG$14),0)</f>
        <v>11</v>
      </c>
    </row>
    <row r="41" spans="1:33">
      <c r="A41" s="96"/>
      <c r="B41" s="73" t="s">
        <v>60</v>
      </c>
      <c r="C41" s="76">
        <f>VLOOKUP(C32,inv_Dados,24,0)</f>
        <v>18</v>
      </c>
      <c r="E41" s="75" t="s">
        <v>61</v>
      </c>
      <c r="F41" s="75">
        <f>IF(($C44*F35*F40*F$3)&gt;($C34*(1+$B$10/100)),INT(($C34*(1+$B$10/100))/F$3),F40*$C44*F35)</f>
        <v>10</v>
      </c>
      <c r="H41" s="75" t="s">
        <v>61</v>
      </c>
      <c r="I41" s="75">
        <f>IF(($C44*I35*I40*I$3)&gt;($C34*(1+$B$10/100)),INT(($C34*(1+$B$10/100))/I$3),I40*$C44*I35)</f>
        <v>10</v>
      </c>
      <c r="K41" s="75" t="s">
        <v>61</v>
      </c>
      <c r="L41" s="75">
        <f>IF(($C44*L35*L40*L$3)&gt;($C34*(1+$B$10/100)),INT(($C34*(1+$B$10/100))/L$3),L40*$C44*L35)</f>
        <v>10</v>
      </c>
      <c r="N41" s="75" t="s">
        <v>61</v>
      </c>
      <c r="O41" s="75">
        <f>IF(($C44*O35*O40*O$3)&gt;($C34*(1+$B$10/100)),INT(($C34*(1+$B$10/100))/O$3),O40*$C44*O35)</f>
        <v>10</v>
      </c>
      <c r="Q41" s="75" t="s">
        <v>61</v>
      </c>
      <c r="R41" s="75">
        <f>IF(($C44*R35*R40*R$3)&gt;($C34*(1+$B$10/100)),INT(($C34*(1+$B$10/100))/R$3),R40*$C44*R35)</f>
        <v>10</v>
      </c>
      <c r="T41" s="75" t="s">
        <v>61</v>
      </c>
      <c r="U41" s="75">
        <f>IF(($C44*U35*U40*U$3)&gt;($C34*(1+$B$10/100)),INT(($C34*(1+$B$10/100))/U$3),U40*$C44*U35)</f>
        <v>10</v>
      </c>
      <c r="W41" s="75" t="s">
        <v>61</v>
      </c>
      <c r="X41" s="75">
        <f>IF(($C44*X35*X40*X$3)&gt;($C34*(1+$B$10/100)),INT(($C34*(1+$B$10/100))/X$3),X40*$C44*X35)</f>
        <v>9</v>
      </c>
      <c r="Z41" s="75" t="s">
        <v>61</v>
      </c>
      <c r="AA41" s="75">
        <f>IF(($C44*AA35*AA40*AA$3)&gt;($C34*(1+$B$10/100)),INT(($C34*(1+$B$10/100))/AA$3),AA40*$C44*AA35)</f>
        <v>0</v>
      </c>
      <c r="AC41" s="75" t="s">
        <v>61</v>
      </c>
      <c r="AD41" s="75">
        <f>IF(($C44*AD35*AD40*AD$3)&gt;($C34*(1+$B$10/100)),INT(($C34*(1+$B$10/100))/AD$3),AD40*$C44*AD35)</f>
        <v>0</v>
      </c>
      <c r="AF41" s="75" t="s">
        <v>61</v>
      </c>
      <c r="AG41" s="75">
        <f>IF(($C44*AG35*AG40*AG$3)&gt;($C34*(1+$B$10/100)),INT(($C34*(1+$B$10/100))/AG$3),AG40*$C44*AG35)</f>
        <v>10</v>
      </c>
    </row>
    <row r="42" spans="1:33">
      <c r="A42" s="96"/>
      <c r="B42" s="73" t="s">
        <v>62</v>
      </c>
      <c r="C42" s="76">
        <f>VLOOKUP(C32,inv_Dados,25,0)</f>
        <v>13.5</v>
      </c>
      <c r="E42" s="75" t="s">
        <v>63</v>
      </c>
      <c r="F42" s="75">
        <f>F41*F$3</f>
        <v>5500</v>
      </c>
      <c r="H42" s="75" t="s">
        <v>63</v>
      </c>
      <c r="I42" s="75">
        <f>I41*I$3</f>
        <v>5500</v>
      </c>
      <c r="K42" s="75" t="s">
        <v>63</v>
      </c>
      <c r="L42" s="75">
        <f>L41*L$3</f>
        <v>5550</v>
      </c>
      <c r="N42" s="75" t="s">
        <v>63</v>
      </c>
      <c r="O42" s="75">
        <f>O41*O$3</f>
        <v>5700</v>
      </c>
      <c r="Q42" s="75" t="s">
        <v>63</v>
      </c>
      <c r="R42" s="75">
        <f>R41*R$3</f>
        <v>5700</v>
      </c>
      <c r="T42" s="75" t="s">
        <v>63</v>
      </c>
      <c r="U42" s="75">
        <f>U41*U$3</f>
        <v>5850</v>
      </c>
      <c r="W42" s="75" t="s">
        <v>63</v>
      </c>
      <c r="X42" s="75">
        <f>X41*X$3</f>
        <v>5715</v>
      </c>
      <c r="Z42" s="75" t="s">
        <v>63</v>
      </c>
      <c r="AA42" s="75">
        <f>AA41*AA$3</f>
        <v>0</v>
      </c>
      <c r="AC42" s="75" t="s">
        <v>63</v>
      </c>
      <c r="AD42" s="75">
        <f>AD41*AD$3</f>
        <v>0</v>
      </c>
      <c r="AF42" s="75" t="s">
        <v>63</v>
      </c>
      <c r="AG42" s="75">
        <f>AG41*AG$3</f>
        <v>5750</v>
      </c>
    </row>
    <row r="43" spans="1:33">
      <c r="A43" s="96"/>
      <c r="B43" s="73" t="s">
        <v>44</v>
      </c>
      <c r="C43" s="76">
        <f>VLOOKUP(C32,inv_Dados,15,0)</f>
        <v>1</v>
      </c>
      <c r="E43" s="72"/>
      <c r="F43" s="64"/>
      <c r="H43" s="72"/>
      <c r="I43" s="64"/>
      <c r="K43" s="72"/>
      <c r="L43" s="64"/>
      <c r="N43" s="72"/>
      <c r="O43" s="64"/>
      <c r="Q43" s="72"/>
      <c r="R43" s="64"/>
      <c r="T43" s="72"/>
      <c r="U43" s="64"/>
      <c r="W43" s="72"/>
      <c r="X43" s="64"/>
      <c r="Z43" s="72"/>
      <c r="AA43" s="64"/>
      <c r="AC43" s="72"/>
      <c r="AD43" s="64"/>
      <c r="AF43" s="72"/>
      <c r="AG43" s="64"/>
    </row>
    <row r="44" spans="1:33">
      <c r="A44" s="96"/>
      <c r="B44" s="73" t="s">
        <v>64</v>
      </c>
      <c r="C44" s="76">
        <f>VLOOKUP(C32,inv_Dados,16,0)</f>
        <v>2</v>
      </c>
      <c r="E44" s="72"/>
      <c r="F44" s="64"/>
      <c r="H44" s="72"/>
      <c r="I44" s="64"/>
      <c r="K44" s="72"/>
      <c r="L44" s="64"/>
      <c r="N44" s="72"/>
      <c r="O44" s="64"/>
      <c r="Q44" s="72"/>
      <c r="R44" s="64"/>
      <c r="T44" s="72"/>
      <c r="U44" s="64"/>
      <c r="W44" s="72"/>
      <c r="X44" s="64"/>
      <c r="Z44" s="72"/>
      <c r="AA44" s="64"/>
      <c r="AC44" s="72"/>
      <c r="AD44" s="64"/>
      <c r="AF44" s="72"/>
      <c r="AG44" s="64"/>
    </row>
    <row r="45" spans="1:33" s="60" customFormat="1">
      <c r="A45" s="96"/>
      <c r="C45" s="71"/>
      <c r="E45" s="72"/>
      <c r="F45" s="64"/>
      <c r="G45" s="64"/>
      <c r="H45" s="72"/>
      <c r="I45" s="64"/>
      <c r="J45" s="64"/>
      <c r="K45" s="72"/>
      <c r="L45" s="64"/>
      <c r="M45" s="64"/>
      <c r="N45" s="72"/>
      <c r="O45" s="64"/>
      <c r="P45" s="64"/>
      <c r="Q45" s="72"/>
      <c r="R45" s="64"/>
      <c r="S45" s="64"/>
      <c r="T45" s="72"/>
      <c r="U45" s="64"/>
      <c r="V45" s="64"/>
      <c r="W45" s="72"/>
      <c r="X45" s="64"/>
      <c r="Y45" s="64"/>
      <c r="Z45" s="72"/>
      <c r="AA45" s="64"/>
      <c r="AB45" s="64"/>
      <c r="AC45" s="72"/>
      <c r="AD45" s="64"/>
      <c r="AE45" s="64"/>
      <c r="AF45" s="72"/>
      <c r="AG45" s="64"/>
    </row>
    <row r="46" spans="1:33">
      <c r="A46" s="96"/>
      <c r="B46" s="73" t="s">
        <v>43</v>
      </c>
      <c r="C46" s="74" t="str">
        <f>'Compare Inversores'!A5</f>
        <v>SIW610 T018 W0</v>
      </c>
      <c r="E46" s="75" t="s">
        <v>44</v>
      </c>
      <c r="F46" s="75">
        <f>$C57</f>
        <v>2</v>
      </c>
      <c r="H46" s="75" t="s">
        <v>44</v>
      </c>
      <c r="I46" s="75">
        <f>$C57</f>
        <v>2</v>
      </c>
      <c r="K46" s="75" t="s">
        <v>44</v>
      </c>
      <c r="L46" s="75">
        <f>$C57</f>
        <v>2</v>
      </c>
      <c r="N46" s="75" t="s">
        <v>44</v>
      </c>
      <c r="O46" s="75">
        <f>$C57</f>
        <v>2</v>
      </c>
      <c r="Q46" s="75" t="s">
        <v>44</v>
      </c>
      <c r="R46" s="75">
        <f>$C57</f>
        <v>2</v>
      </c>
      <c r="T46" s="75" t="s">
        <v>44</v>
      </c>
      <c r="U46" s="75">
        <f>$C57</f>
        <v>2</v>
      </c>
      <c r="W46" s="75" t="s">
        <v>44</v>
      </c>
      <c r="X46" s="75">
        <f>$C57</f>
        <v>2</v>
      </c>
      <c r="Z46" s="75" t="s">
        <v>44</v>
      </c>
      <c r="AA46" s="75">
        <f>$C57</f>
        <v>2</v>
      </c>
      <c r="AC46" s="75" t="s">
        <v>44</v>
      </c>
      <c r="AD46" s="75">
        <f>$C57</f>
        <v>2</v>
      </c>
      <c r="AF46" s="75" t="s">
        <v>44</v>
      </c>
      <c r="AG46" s="75">
        <f>$C57</f>
        <v>2</v>
      </c>
    </row>
    <row r="47" spans="1:33">
      <c r="A47" s="96"/>
      <c r="B47" s="73" t="s">
        <v>45</v>
      </c>
      <c r="C47" s="76">
        <f>VLOOKUP(C46,inv_Dados,13,0)</f>
        <v>18000</v>
      </c>
      <c r="E47" s="75" t="s">
        <v>46</v>
      </c>
      <c r="F47" s="75">
        <f>TRUNC($C55/F$15)</f>
        <v>2</v>
      </c>
      <c r="H47" s="75" t="s">
        <v>46</v>
      </c>
      <c r="I47" s="75">
        <f>TRUNC($C55/I$15)</f>
        <v>2</v>
      </c>
      <c r="K47" s="75" t="s">
        <v>46</v>
      </c>
      <c r="L47" s="75">
        <f>TRUNC($C55/L$15)</f>
        <v>2</v>
      </c>
      <c r="N47" s="75" t="s">
        <v>46</v>
      </c>
      <c r="O47" s="75">
        <f>TRUNC($C55/O$15)</f>
        <v>2</v>
      </c>
      <c r="Q47" s="75" t="s">
        <v>46</v>
      </c>
      <c r="R47" s="75">
        <f>TRUNC($C55/R$15)</f>
        <v>2</v>
      </c>
      <c r="T47" s="75" t="s">
        <v>46</v>
      </c>
      <c r="U47" s="75">
        <f>TRUNC($C55/U$15)</f>
        <v>2</v>
      </c>
      <c r="W47" s="75" t="s">
        <v>46</v>
      </c>
      <c r="X47" s="75">
        <f>TRUNC($C55/X$15)</f>
        <v>2</v>
      </c>
      <c r="Z47" s="75" t="s">
        <v>46</v>
      </c>
      <c r="AA47" s="75">
        <f>TRUNC($C55/AA$15)</f>
        <v>2</v>
      </c>
      <c r="AC47" s="75" t="s">
        <v>46</v>
      </c>
      <c r="AD47" s="75">
        <f>TRUNC($C55/AD$15)</f>
        <v>2</v>
      </c>
      <c r="AF47" s="75" t="s">
        <v>46</v>
      </c>
      <c r="AG47" s="75">
        <f>TRUNC($C55/AG$15)</f>
        <v>2</v>
      </c>
    </row>
    <row r="48" spans="1:33">
      <c r="A48" s="96"/>
      <c r="B48" s="73" t="s">
        <v>47</v>
      </c>
      <c r="C48" s="76">
        <f>C47*(1+VLOOKUP(C46,inv_Dados,33,0)/100)</f>
        <v>18000</v>
      </c>
      <c r="E48" s="75" t="s">
        <v>48</v>
      </c>
      <c r="F48" s="75">
        <f>TRUNC($C56*(1+$B$12/100)/F$16)</f>
        <v>2</v>
      </c>
      <c r="H48" s="75" t="s">
        <v>48</v>
      </c>
      <c r="I48" s="75">
        <f>TRUNC($C56*(1+$B$12/100)/I$16)</f>
        <v>2</v>
      </c>
      <c r="K48" s="75" t="s">
        <v>48</v>
      </c>
      <c r="L48" s="75">
        <f>TRUNC($C56*(1+$B$12/100)/L$16)</f>
        <v>2</v>
      </c>
      <c r="N48" s="75" t="s">
        <v>48</v>
      </c>
      <c r="O48" s="75">
        <f>TRUNC($C56*(1+$B$12/100)/O$16)</f>
        <v>2</v>
      </c>
      <c r="Q48" s="75" t="s">
        <v>48</v>
      </c>
      <c r="R48" s="75">
        <f>TRUNC($C56*(1+$B$12/100)/R$16)</f>
        <v>2</v>
      </c>
      <c r="T48" s="75" t="s">
        <v>48</v>
      </c>
      <c r="U48" s="75">
        <f>TRUNC($C56*(1+$B$12/100)/U$16)</f>
        <v>2</v>
      </c>
      <c r="W48" s="75" t="s">
        <v>48</v>
      </c>
      <c r="X48" s="75">
        <f>TRUNC($C56*(1+$B$12/100)/X$16)</f>
        <v>2</v>
      </c>
      <c r="Z48" s="75" t="s">
        <v>48</v>
      </c>
      <c r="AA48" s="75">
        <f>TRUNC($C56*(1+$B$12/100)/AA$16)</f>
        <v>1</v>
      </c>
      <c r="AC48" s="75" t="s">
        <v>48</v>
      </c>
      <c r="AD48" s="75">
        <f>TRUNC($C56*(1+$B$12/100)/AD$16)</f>
        <v>1</v>
      </c>
      <c r="AF48" s="75" t="s">
        <v>48</v>
      </c>
      <c r="AG48" s="75">
        <f>TRUNC($C56*(1+$B$12/100)/AG$16)</f>
        <v>2</v>
      </c>
    </row>
    <row r="49" spans="1:33">
      <c r="A49" s="96"/>
      <c r="B49" s="73" t="s">
        <v>49</v>
      </c>
      <c r="C49" s="76">
        <f>VLOOKUP(C46,inv_Dados,18,0)</f>
        <v>480</v>
      </c>
      <c r="E49" s="75" t="s">
        <v>50</v>
      </c>
      <c r="F49" s="75">
        <f>SMALL(F46:F48,1)</f>
        <v>2</v>
      </c>
      <c r="H49" s="75" t="s">
        <v>50</v>
      </c>
      <c r="I49" s="75">
        <f>SMALL(I46:I48,1)</f>
        <v>2</v>
      </c>
      <c r="K49" s="75" t="s">
        <v>50</v>
      </c>
      <c r="L49" s="75">
        <f>SMALL(L46:L48,1)</f>
        <v>2</v>
      </c>
      <c r="N49" s="75" t="s">
        <v>50</v>
      </c>
      <c r="O49" s="75">
        <f>SMALL(O46:O48,1)</f>
        <v>2</v>
      </c>
      <c r="Q49" s="75" t="s">
        <v>50</v>
      </c>
      <c r="R49" s="75">
        <f>SMALL(R46:R48,1)</f>
        <v>2</v>
      </c>
      <c r="T49" s="75" t="s">
        <v>50</v>
      </c>
      <c r="U49" s="75">
        <f>SMALL(U46:U48,1)</f>
        <v>2</v>
      </c>
      <c r="W49" s="75" t="s">
        <v>50</v>
      </c>
      <c r="X49" s="75">
        <f>SMALL(X46:X48,1)</f>
        <v>2</v>
      </c>
      <c r="Z49" s="75" t="s">
        <v>50</v>
      </c>
      <c r="AA49" s="75">
        <f>SMALL(AA46:AA48,1)</f>
        <v>1</v>
      </c>
      <c r="AC49" s="75" t="s">
        <v>50</v>
      </c>
      <c r="AD49" s="75">
        <f>SMALL(AD46:AD48,1)</f>
        <v>1</v>
      </c>
      <c r="AF49" s="75" t="s">
        <v>50</v>
      </c>
      <c r="AG49" s="75">
        <f>SMALL(AG46:AG48,1)</f>
        <v>2</v>
      </c>
    </row>
    <row r="50" spans="1:33">
      <c r="A50" s="96"/>
      <c r="B50" s="73" t="s">
        <v>51</v>
      </c>
      <c r="C50" s="76">
        <f>VLOOKUP(C46,inv_Dados,17,0)</f>
        <v>1100</v>
      </c>
      <c r="E50" s="75"/>
      <c r="F50" s="75"/>
      <c r="H50" s="75"/>
      <c r="I50" s="75"/>
      <c r="K50" s="75"/>
      <c r="L50" s="75"/>
      <c r="N50" s="75"/>
      <c r="O50" s="75"/>
      <c r="Q50" s="75"/>
      <c r="R50" s="75"/>
      <c r="T50" s="75"/>
      <c r="U50" s="75"/>
      <c r="W50" s="75"/>
      <c r="X50" s="75"/>
      <c r="Z50" s="75"/>
      <c r="AA50" s="75"/>
      <c r="AC50" s="75"/>
      <c r="AD50" s="75"/>
      <c r="AF50" s="75"/>
      <c r="AG50" s="75"/>
    </row>
    <row r="51" spans="1:33">
      <c r="A51" s="96"/>
      <c r="B51" s="73" t="s">
        <v>52</v>
      </c>
      <c r="C51" s="76">
        <f>VLOOKUP(C46,inv_Dados,20,0)</f>
        <v>250</v>
      </c>
      <c r="E51" s="75" t="s">
        <v>53</v>
      </c>
      <c r="F51" s="75">
        <f>ROUNDUP(IF(($C49/F$11)&gt;($C51/F$13),$C49/F$11,$C51/F$13),0)</f>
        <v>11</v>
      </c>
      <c r="H51" s="75" t="s">
        <v>53</v>
      </c>
      <c r="I51" s="75">
        <f>ROUNDUP(IF(($C49/I$11)&gt;($C51/I$13),$C49/I$11,$C51/I$13),0)</f>
        <v>11</v>
      </c>
      <c r="K51" s="75" t="s">
        <v>53</v>
      </c>
      <c r="L51" s="75">
        <f>ROUNDUP(IF(($C49/L$11)&gt;($C51/L$13),$C49/L$11,$C51/L$13),0)</f>
        <v>11</v>
      </c>
      <c r="N51" s="75" t="s">
        <v>53</v>
      </c>
      <c r="O51" s="75">
        <f>ROUNDUP(IF(($C49/O$11)&gt;($C51/O$13),$C49/O$11,$C51/O$13),0)</f>
        <v>11</v>
      </c>
      <c r="Q51" s="75" t="s">
        <v>53</v>
      </c>
      <c r="R51" s="75">
        <f>ROUNDUP(IF(($C49/R$11)&gt;($C51/R$13),$C49/R$11,$C51/R$13),0)</f>
        <v>11</v>
      </c>
      <c r="T51" s="75" t="s">
        <v>53</v>
      </c>
      <c r="U51" s="75">
        <f>ROUNDUP(IF(($C49/U$11)&gt;($C51/U$13),$C49/U$11,$C51/U$13),0)</f>
        <v>10</v>
      </c>
      <c r="W51" s="75" t="s">
        <v>53</v>
      </c>
      <c r="X51" s="75">
        <f>ROUNDUP(IF(($C49/X$11)&gt;($C51/X$13),$C49/X$11,$C51/X$13),0)</f>
        <v>10</v>
      </c>
      <c r="Z51" s="75" t="s">
        <v>53</v>
      </c>
      <c r="AA51" s="75">
        <f>ROUNDUP(IF(($C49/AA$11)&gt;($C51/AA$13),$C49/AA$11,$C51/AA$13),0)</f>
        <v>11</v>
      </c>
      <c r="AC51" s="75" t="s">
        <v>53</v>
      </c>
      <c r="AD51" s="75">
        <f>ROUNDUP(IF(($C49/AD$11)&gt;($C51/AD$13),$C49/AD$11,$C51/AD$13),0)</f>
        <v>11</v>
      </c>
      <c r="AF51" s="75" t="s">
        <v>53</v>
      </c>
      <c r="AG51" s="75">
        <f>ROUNDUP(IF(($C49/AG$11)&gt;($C51/AG$13),$C49/AG$11,$C51/AG$13),0)</f>
        <v>10</v>
      </c>
    </row>
    <row r="52" spans="1:33">
      <c r="A52" s="96"/>
      <c r="B52" s="73" t="s">
        <v>54</v>
      </c>
      <c r="C52" s="76">
        <f>VLOOKUP(C46,inv_Dados,19,0)</f>
        <v>950</v>
      </c>
      <c r="E52" s="75" t="s">
        <v>55</v>
      </c>
      <c r="F52" s="75">
        <f>TRUNC(IF(($C50/F$12)&gt;($C52/F$14),$C52/F$14,$C50/F$12),0)</f>
        <v>21</v>
      </c>
      <c r="H52" s="75" t="s">
        <v>55</v>
      </c>
      <c r="I52" s="75">
        <f>TRUNC(IF(($C50/I$12)&gt;($C52/I$14),$C52/I$14,$C50/I$12),0)</f>
        <v>20</v>
      </c>
      <c r="K52" s="75" t="s">
        <v>55</v>
      </c>
      <c r="L52" s="75">
        <f>TRUNC(IF(($C50/L$12)&gt;($C52/L$14),$C52/L$14,$C50/L$12),0)</f>
        <v>21</v>
      </c>
      <c r="N52" s="75" t="s">
        <v>55</v>
      </c>
      <c r="O52" s="75">
        <f>TRUNC(IF(($C50/O$12)&gt;($C52/O$14),$C52/O$14,$C50/O$12),0)</f>
        <v>22</v>
      </c>
      <c r="Q52" s="75" t="s">
        <v>55</v>
      </c>
      <c r="R52" s="75">
        <f>TRUNC(IF(($C50/R$12)&gt;($C52/R$14),$C52/R$14,$C50/R$12),0)</f>
        <v>20</v>
      </c>
      <c r="T52" s="75" t="s">
        <v>55</v>
      </c>
      <c r="U52" s="75">
        <f>TRUNC(IF(($C50/U$12)&gt;($C52/U$14),$C52/U$14,$C50/U$12),0)</f>
        <v>20</v>
      </c>
      <c r="W52" s="75" t="s">
        <v>55</v>
      </c>
      <c r="X52" s="75">
        <f>TRUNC(IF(($C50/X$12)&gt;($C52/X$14),$C52/X$14,$C50/X$12),0)</f>
        <v>18</v>
      </c>
      <c r="Z52" s="75" t="s">
        <v>55</v>
      </c>
      <c r="AA52" s="75">
        <f>TRUNC(IF(($C50/AA$12)&gt;($C52/AA$14),$C52/AA$14,$C50/AA$12),0)</f>
        <v>21</v>
      </c>
      <c r="AC52" s="75" t="s">
        <v>55</v>
      </c>
      <c r="AD52" s="75">
        <f>TRUNC(IF(($C50/AD$12)&gt;($C52/AD$14),$C52/AD$14,$C50/AD$12),0)</f>
        <v>21</v>
      </c>
      <c r="AF52" s="75" t="s">
        <v>55</v>
      </c>
      <c r="AG52" s="75">
        <f>TRUNC(IF(($C50/AG$12)&gt;($C52/AG$14),$C52/AG$14,$C50/AG$12),0)</f>
        <v>20</v>
      </c>
    </row>
    <row r="53" spans="1:33">
      <c r="A53" s="96"/>
      <c r="B53" s="73" t="s">
        <v>56</v>
      </c>
      <c r="C53" s="76">
        <f>VLOOKUP(C46,inv_Dados,22,0)</f>
        <v>480</v>
      </c>
      <c r="E53" s="75" t="s">
        <v>57</v>
      </c>
      <c r="F53" s="75">
        <f>ROUNDUP(IF(($C53/F$13)&gt;F51,$C53/F$13,F51),0)</f>
        <v>13</v>
      </c>
      <c r="H53" s="75" t="s">
        <v>57</v>
      </c>
      <c r="I53" s="75">
        <f>ROUNDUP(IF(($C53/I$13)&gt;I51,$C53/I$13,I51),0)</f>
        <v>13</v>
      </c>
      <c r="K53" s="75" t="s">
        <v>57</v>
      </c>
      <c r="L53" s="75">
        <f>ROUNDUP(IF(($C53/L$13)&gt;L51,$C53/L$13,L51),0)</f>
        <v>13</v>
      </c>
      <c r="N53" s="75" t="s">
        <v>57</v>
      </c>
      <c r="O53" s="75">
        <f>ROUNDUP(IF(($C53/O$13)&gt;O51,$C53/O$13,O51),0)</f>
        <v>13</v>
      </c>
      <c r="Q53" s="75" t="s">
        <v>57</v>
      </c>
      <c r="R53" s="75">
        <f>ROUNDUP(IF(($C53/R$13)&gt;R51,$C53/R$13,R51),0)</f>
        <v>12</v>
      </c>
      <c r="T53" s="75" t="s">
        <v>57</v>
      </c>
      <c r="U53" s="75">
        <f>ROUNDUP(IF(($C53/U$13)&gt;U51,$C53/U$13,U51),0)</f>
        <v>12</v>
      </c>
      <c r="W53" s="75" t="s">
        <v>57</v>
      </c>
      <c r="X53" s="75">
        <f>ROUNDUP(IF(($C53/X$13)&gt;X51,$C53/X$13,X51),0)</f>
        <v>11</v>
      </c>
      <c r="Z53" s="75" t="s">
        <v>57</v>
      </c>
      <c r="AA53" s="75">
        <f>ROUNDUP(IF(($C53/AA$13)&gt;AA51,$C53/AA$13,AA51),0)</f>
        <v>13</v>
      </c>
      <c r="AC53" s="75" t="s">
        <v>57</v>
      </c>
      <c r="AD53" s="75">
        <f>ROUNDUP(IF(($C53/AD$13)&gt;AD51,$C53/AD$13,AD51),0)</f>
        <v>13</v>
      </c>
      <c r="AF53" s="75" t="s">
        <v>57</v>
      </c>
      <c r="AG53" s="75">
        <f>ROUNDUP(IF(($C53/AG$13)&gt;AG51,$C53/AG$13,AG51),0)</f>
        <v>12</v>
      </c>
    </row>
    <row r="54" spans="1:33">
      <c r="A54" s="96"/>
      <c r="B54" s="73" t="s">
        <v>58</v>
      </c>
      <c r="C54" s="76">
        <f>VLOOKUP(C46,inv_Dados,21,0)</f>
        <v>850</v>
      </c>
      <c r="E54" s="75" t="s">
        <v>59</v>
      </c>
      <c r="F54" s="75">
        <f>TRUNC(IF(($C54/F$14)&gt;F52,F52,$C54/F$14),0)</f>
        <v>19</v>
      </c>
      <c r="H54" s="75" t="s">
        <v>59</v>
      </c>
      <c r="I54" s="75">
        <f>TRUNC(IF(($C54/I$14)&gt;I52,I52,$C54/I$14),0)</f>
        <v>19</v>
      </c>
      <c r="K54" s="75" t="s">
        <v>59</v>
      </c>
      <c r="L54" s="75">
        <f>TRUNC(IF(($C54/L$14)&gt;L52,L52,$C54/L$14),0)</f>
        <v>19</v>
      </c>
      <c r="N54" s="75" t="s">
        <v>59</v>
      </c>
      <c r="O54" s="75">
        <f>TRUNC(IF(($C54/O$14)&gt;O52,O52,$C54/O$14),0)</f>
        <v>20</v>
      </c>
      <c r="Q54" s="75" t="s">
        <v>59</v>
      </c>
      <c r="R54" s="75">
        <f>TRUNC(IF(($C54/R$14)&gt;R52,R52,$C54/R$14),0)</f>
        <v>19</v>
      </c>
      <c r="T54" s="75" t="s">
        <v>59</v>
      </c>
      <c r="U54" s="75">
        <f>TRUNC(IF(($C54/U$14)&gt;U52,U52,$C54/U$14),0)</f>
        <v>18</v>
      </c>
      <c r="W54" s="75" t="s">
        <v>59</v>
      </c>
      <c r="X54" s="75">
        <f>TRUNC(IF(($C54/X$14)&gt;X52,X52,$C54/X$14),0)</f>
        <v>17</v>
      </c>
      <c r="Z54" s="75" t="s">
        <v>59</v>
      </c>
      <c r="AA54" s="75">
        <f>TRUNC(IF(($C54/AA$14)&gt;AA52,AA52,$C54/AA$14),0)</f>
        <v>19</v>
      </c>
      <c r="AC54" s="75" t="s">
        <v>59</v>
      </c>
      <c r="AD54" s="75">
        <f>TRUNC(IF(($C54/AD$14)&gt;AD52,AD52,$C54/AD$14),0)</f>
        <v>19</v>
      </c>
      <c r="AF54" s="75" t="s">
        <v>59</v>
      </c>
      <c r="AG54" s="75">
        <f>TRUNC(IF(($C54/AG$14)&gt;AG52,AG52,$C54/AG$14),0)</f>
        <v>18</v>
      </c>
    </row>
    <row r="55" spans="1:33">
      <c r="A55" s="96"/>
      <c r="B55" s="73" t="s">
        <v>60</v>
      </c>
      <c r="C55" s="76">
        <f>VLOOKUP(C46,inv_Dados,24,0)</f>
        <v>40</v>
      </c>
      <c r="E55" s="75" t="s">
        <v>61</v>
      </c>
      <c r="F55" s="75">
        <f>IF(($C58*F49*F54*F$3)&gt;($C48*(1+$B$10/100)),INT(($C48*(1+$B$10/100))/F$3),F54*$C58*F49)</f>
        <v>32</v>
      </c>
      <c r="H55" s="75" t="s">
        <v>61</v>
      </c>
      <c r="I55" s="75">
        <f>IF(($C58*I49*I54*I$3)&gt;($C48*(1+$B$10/100)),INT(($C48*(1+$B$10/100))/I$3),I54*$C58*I49)</f>
        <v>32</v>
      </c>
      <c r="K55" s="75" t="s">
        <v>61</v>
      </c>
      <c r="L55" s="75">
        <f>IF(($C58*L49*L54*L$3)&gt;($C48*(1+$B$10/100)),INT(($C48*(1+$B$10/100))/L$3),L54*$C58*L49)</f>
        <v>32</v>
      </c>
      <c r="N55" s="75" t="s">
        <v>61</v>
      </c>
      <c r="O55" s="75">
        <f>IF(($C58*O49*O54*O$3)&gt;($C48*(1+$B$10/100)),INT(($C48*(1+$B$10/100))/O$3),O54*$C58*O49)</f>
        <v>31</v>
      </c>
      <c r="Q55" s="75" t="s">
        <v>61</v>
      </c>
      <c r="R55" s="75">
        <f>IF(($C58*R49*R54*R$3)&gt;($C48*(1+$B$10/100)),INT(($C48*(1+$B$10/100))/R$3),R54*$C58*R49)</f>
        <v>31</v>
      </c>
      <c r="T55" s="75" t="s">
        <v>61</v>
      </c>
      <c r="U55" s="75">
        <f>IF(($C58*U49*U54*U$3)&gt;($C48*(1+$B$10/100)),INT(($C48*(1+$B$10/100))/U$3),U54*$C58*U49)</f>
        <v>30</v>
      </c>
      <c r="W55" s="75" t="s">
        <v>61</v>
      </c>
      <c r="X55" s="75">
        <f>IF(($C58*X49*X54*X$3)&gt;($C48*(1+$B$10/100)),INT(($C48*(1+$B$10/100))/X$3),X54*$C58*X49)</f>
        <v>28</v>
      </c>
      <c r="Z55" s="75" t="s">
        <v>61</v>
      </c>
      <c r="AA55" s="75">
        <f>IF(($C58*AA49*AA54*AA$3)&gt;($C48*(1+$B$10/100)),INT(($C48*(1+$B$10/100))/AA$3),AA54*$C58*AA49)</f>
        <v>25</v>
      </c>
      <c r="AC55" s="75" t="s">
        <v>61</v>
      </c>
      <c r="AD55" s="75">
        <f>IF(($C58*AD49*AD54*AD$3)&gt;($C48*(1+$B$10/100)),INT(($C48*(1+$B$10/100))/AD$3),AD54*$C58*AD49)</f>
        <v>25</v>
      </c>
      <c r="AF55" s="75" t="s">
        <v>61</v>
      </c>
      <c r="AG55" s="75">
        <f>IF(($C58*AG49*AG54*AG$3)&gt;($C48*(1+$B$10/100)),INT(($C48*(1+$B$10/100))/AG$3),AG54*$C58*AG49)</f>
        <v>31</v>
      </c>
    </row>
    <row r="56" spans="1:33">
      <c r="A56" s="96"/>
      <c r="B56" s="73" t="s">
        <v>62</v>
      </c>
      <c r="C56" s="76">
        <f>VLOOKUP(C46,inv_Dados,25,0)</f>
        <v>30</v>
      </c>
      <c r="E56" s="75" t="s">
        <v>63</v>
      </c>
      <c r="F56" s="75">
        <f>F55*F$3</f>
        <v>17600</v>
      </c>
      <c r="H56" s="75" t="s">
        <v>63</v>
      </c>
      <c r="I56" s="75">
        <f>I55*I$3</f>
        <v>17600</v>
      </c>
      <c r="K56" s="75" t="s">
        <v>63</v>
      </c>
      <c r="L56" s="75">
        <f>L55*L$3</f>
        <v>17760</v>
      </c>
      <c r="N56" s="75" t="s">
        <v>63</v>
      </c>
      <c r="O56" s="75">
        <f>O55*O$3</f>
        <v>17670</v>
      </c>
      <c r="Q56" s="75" t="s">
        <v>63</v>
      </c>
      <c r="R56" s="75">
        <f>R55*R$3</f>
        <v>17670</v>
      </c>
      <c r="T56" s="75" t="s">
        <v>63</v>
      </c>
      <c r="U56" s="75">
        <f>U55*U$3</f>
        <v>17550</v>
      </c>
      <c r="W56" s="75" t="s">
        <v>63</v>
      </c>
      <c r="X56" s="75">
        <f>X55*X$3</f>
        <v>17780</v>
      </c>
      <c r="Z56" s="75" t="s">
        <v>63</v>
      </c>
      <c r="AA56" s="75">
        <f>AA55*AA$3</f>
        <v>17500</v>
      </c>
      <c r="AC56" s="75" t="s">
        <v>63</v>
      </c>
      <c r="AD56" s="75">
        <f>AD55*AD$3</f>
        <v>17750</v>
      </c>
      <c r="AF56" s="75" t="s">
        <v>63</v>
      </c>
      <c r="AG56" s="75">
        <f>AG55*AG$3</f>
        <v>17825</v>
      </c>
    </row>
    <row r="57" spans="1:33">
      <c r="A57" s="96"/>
      <c r="B57" s="73" t="s">
        <v>44</v>
      </c>
      <c r="C57" s="76">
        <f>VLOOKUP(C46,inv_Dados,15,0)</f>
        <v>2</v>
      </c>
      <c r="E57" s="72"/>
      <c r="F57" s="64"/>
      <c r="H57" s="72"/>
      <c r="I57" s="64"/>
      <c r="K57" s="72"/>
      <c r="L57" s="64"/>
      <c r="N57" s="72"/>
      <c r="O57" s="64"/>
      <c r="Q57" s="72"/>
      <c r="R57" s="64"/>
      <c r="T57" s="72"/>
      <c r="U57" s="64"/>
      <c r="W57" s="72"/>
      <c r="X57" s="64"/>
      <c r="Z57" s="72"/>
      <c r="AA57" s="64"/>
      <c r="AC57" s="72"/>
      <c r="AD57" s="64"/>
      <c r="AF57" s="72"/>
      <c r="AG57" s="64"/>
    </row>
    <row r="58" spans="1:33">
      <c r="A58" s="96"/>
      <c r="B58" s="73" t="s">
        <v>64</v>
      </c>
      <c r="C58" s="76">
        <f>VLOOKUP(C46,inv_Dados,16,0)</f>
        <v>2</v>
      </c>
      <c r="E58" s="72"/>
      <c r="F58" s="64"/>
      <c r="H58" s="72"/>
      <c r="I58" s="64"/>
      <c r="K58" s="72"/>
      <c r="L58" s="64"/>
      <c r="N58" s="72"/>
      <c r="O58" s="64"/>
      <c r="Q58" s="72"/>
      <c r="R58" s="64"/>
      <c r="T58" s="72"/>
      <c r="U58" s="64"/>
      <c r="W58" s="72"/>
      <c r="X58" s="64"/>
      <c r="Z58" s="72"/>
      <c r="AA58" s="64"/>
      <c r="AC58" s="72"/>
      <c r="AD58" s="64"/>
      <c r="AF58" s="72"/>
      <c r="AG58" s="64"/>
    </row>
    <row r="59" spans="1:33" s="60" customFormat="1">
      <c r="A59" s="96"/>
      <c r="C59" s="71"/>
      <c r="E59" s="72"/>
      <c r="F59" s="64"/>
      <c r="G59" s="64"/>
      <c r="H59" s="72"/>
      <c r="I59" s="64"/>
      <c r="J59" s="64"/>
      <c r="K59" s="72"/>
      <c r="L59" s="64"/>
      <c r="M59" s="64"/>
      <c r="N59" s="72"/>
      <c r="O59" s="64"/>
      <c r="P59" s="64"/>
      <c r="Q59" s="72"/>
      <c r="R59" s="64"/>
      <c r="S59" s="64"/>
      <c r="T59" s="72"/>
      <c r="U59" s="64"/>
      <c r="V59" s="64"/>
      <c r="W59" s="72"/>
      <c r="X59" s="64"/>
      <c r="Y59" s="64"/>
      <c r="Z59" s="72"/>
      <c r="AA59" s="64"/>
      <c r="AB59" s="64"/>
      <c r="AC59" s="72"/>
      <c r="AD59" s="64"/>
      <c r="AE59" s="64"/>
      <c r="AF59" s="72"/>
      <c r="AG59" s="64"/>
    </row>
    <row r="60" spans="1:33">
      <c r="A60" s="96"/>
      <c r="B60" s="73" t="s">
        <v>43</v>
      </c>
      <c r="C60" s="74" t="str">
        <f>'Compare Inversores'!A6</f>
        <v>SIW610 T075 W0</v>
      </c>
      <c r="E60" s="75" t="s">
        <v>44</v>
      </c>
      <c r="F60" s="75">
        <f>$C71</f>
        <v>2</v>
      </c>
      <c r="H60" s="75" t="s">
        <v>44</v>
      </c>
      <c r="I60" s="75">
        <f>$C71</f>
        <v>2</v>
      </c>
      <c r="K60" s="75" t="s">
        <v>44</v>
      </c>
      <c r="L60" s="75">
        <f>$C71</f>
        <v>2</v>
      </c>
      <c r="N60" s="75" t="s">
        <v>44</v>
      </c>
      <c r="O60" s="75">
        <f>$C71</f>
        <v>2</v>
      </c>
      <c r="Q60" s="75" t="s">
        <v>44</v>
      </c>
      <c r="R60" s="75">
        <f>$C71</f>
        <v>2</v>
      </c>
      <c r="T60" s="75" t="s">
        <v>44</v>
      </c>
      <c r="U60" s="75">
        <f>$C71</f>
        <v>2</v>
      </c>
      <c r="W60" s="75" t="s">
        <v>44</v>
      </c>
      <c r="X60" s="75">
        <f>$C71</f>
        <v>2</v>
      </c>
      <c r="Z60" s="75" t="s">
        <v>44</v>
      </c>
      <c r="AA60" s="75">
        <f>$C71</f>
        <v>2</v>
      </c>
      <c r="AC60" s="75" t="s">
        <v>44</v>
      </c>
      <c r="AD60" s="75">
        <f>$C71</f>
        <v>2</v>
      </c>
      <c r="AF60" s="75" t="s">
        <v>44</v>
      </c>
      <c r="AG60" s="75">
        <f>$C71</f>
        <v>2</v>
      </c>
    </row>
    <row r="61" spans="1:33">
      <c r="A61" s="96"/>
      <c r="B61" s="73" t="s">
        <v>45</v>
      </c>
      <c r="C61" s="76">
        <f>VLOOKUP(C60,inv_Dados,13,0)</f>
        <v>75000</v>
      </c>
      <c r="E61" s="75" t="s">
        <v>46</v>
      </c>
      <c r="F61" s="75">
        <f>TRUNC($C69/F$15)</f>
        <v>2</v>
      </c>
      <c r="H61" s="75" t="s">
        <v>46</v>
      </c>
      <c r="I61" s="75">
        <f>TRUNC($C69/I$15)</f>
        <v>2</v>
      </c>
      <c r="K61" s="75" t="s">
        <v>46</v>
      </c>
      <c r="L61" s="75">
        <f>TRUNC($C69/L$15)</f>
        <v>2</v>
      </c>
      <c r="N61" s="75" t="s">
        <v>46</v>
      </c>
      <c r="O61" s="75">
        <f>TRUNC($C69/O$15)</f>
        <v>2</v>
      </c>
      <c r="Q61" s="75" t="s">
        <v>46</v>
      </c>
      <c r="R61" s="75">
        <f>TRUNC($C69/R$15)</f>
        <v>2</v>
      </c>
      <c r="T61" s="75" t="s">
        <v>46</v>
      </c>
      <c r="U61" s="75">
        <f>TRUNC($C69/U$15)</f>
        <v>2</v>
      </c>
      <c r="W61" s="75" t="s">
        <v>46</v>
      </c>
      <c r="X61" s="75">
        <f>TRUNC($C69/X$15)</f>
        <v>2</v>
      </c>
      <c r="Z61" s="75" t="s">
        <v>46</v>
      </c>
      <c r="AA61" s="75">
        <f>TRUNC($C69/AA$15)</f>
        <v>2</v>
      </c>
      <c r="AC61" s="75" t="s">
        <v>46</v>
      </c>
      <c r="AD61" s="75">
        <f>TRUNC($C69/AD$15)</f>
        <v>2</v>
      </c>
      <c r="AF61" s="75" t="s">
        <v>46</v>
      </c>
      <c r="AG61" s="75">
        <f>TRUNC($C69/AG$15)</f>
        <v>2</v>
      </c>
    </row>
    <row r="62" spans="1:33">
      <c r="A62" s="96"/>
      <c r="B62" s="73" t="s">
        <v>47</v>
      </c>
      <c r="C62" s="76">
        <f>C61*(1+VLOOKUP(C60,inv_Dados,33,0)/100)</f>
        <v>75000</v>
      </c>
      <c r="E62" s="75" t="s">
        <v>48</v>
      </c>
      <c r="F62" s="75">
        <f>TRUNC($C70*(1+$B$12/100)/F$16)</f>
        <v>2</v>
      </c>
      <c r="H62" s="75" t="s">
        <v>48</v>
      </c>
      <c r="I62" s="75">
        <f>TRUNC($C70*(1+$B$12/100)/I$16)</f>
        <v>2</v>
      </c>
      <c r="K62" s="75" t="s">
        <v>48</v>
      </c>
      <c r="L62" s="75">
        <f>TRUNC($C70*(1+$B$12/100)/L$16)</f>
        <v>2</v>
      </c>
      <c r="N62" s="75" t="s">
        <v>48</v>
      </c>
      <c r="O62" s="75">
        <f>TRUNC($C70*(1+$B$12/100)/O$16)</f>
        <v>2</v>
      </c>
      <c r="Q62" s="75" t="s">
        <v>48</v>
      </c>
      <c r="R62" s="75">
        <f>TRUNC($C70*(1+$B$12/100)/R$16)</f>
        <v>2</v>
      </c>
      <c r="T62" s="75" t="s">
        <v>48</v>
      </c>
      <c r="U62" s="75">
        <f>TRUNC($C70*(1+$B$12/100)/U$16)</f>
        <v>2</v>
      </c>
      <c r="W62" s="75" t="s">
        <v>48</v>
      </c>
      <c r="X62" s="75">
        <f>TRUNC($C70*(1+$B$12/100)/X$16)</f>
        <v>2</v>
      </c>
      <c r="Z62" s="75" t="s">
        <v>48</v>
      </c>
      <c r="AA62" s="75">
        <f>TRUNC($C70*(1+$B$12/100)/AA$16)</f>
        <v>1</v>
      </c>
      <c r="AC62" s="75" t="s">
        <v>48</v>
      </c>
      <c r="AD62" s="75">
        <f>TRUNC($C70*(1+$B$12/100)/AD$16)</f>
        <v>1</v>
      </c>
      <c r="AF62" s="75" t="s">
        <v>48</v>
      </c>
      <c r="AG62" s="75">
        <f>TRUNC($C70*(1+$B$12/100)/AG$16)</f>
        <v>2</v>
      </c>
    </row>
    <row r="63" spans="1:33">
      <c r="A63" s="96"/>
      <c r="B63" s="73" t="s">
        <v>49</v>
      </c>
      <c r="C63" s="76">
        <f>VLOOKUP(C60,inv_Dados,18,0)</f>
        <v>480</v>
      </c>
      <c r="E63" s="75" t="s">
        <v>50</v>
      </c>
      <c r="F63" s="75">
        <f>SMALL(F60:F62,1)</f>
        <v>2</v>
      </c>
      <c r="H63" s="75" t="s">
        <v>50</v>
      </c>
      <c r="I63" s="75">
        <f>SMALL(I60:I62,1)</f>
        <v>2</v>
      </c>
      <c r="K63" s="75" t="s">
        <v>50</v>
      </c>
      <c r="L63" s="75">
        <f>SMALL(L60:L62,1)</f>
        <v>2</v>
      </c>
      <c r="N63" s="75" t="s">
        <v>50</v>
      </c>
      <c r="O63" s="75">
        <f>SMALL(O60:O62,1)</f>
        <v>2</v>
      </c>
      <c r="Q63" s="75" t="s">
        <v>50</v>
      </c>
      <c r="R63" s="75">
        <f>SMALL(R60:R62,1)</f>
        <v>2</v>
      </c>
      <c r="T63" s="75" t="s">
        <v>50</v>
      </c>
      <c r="U63" s="75">
        <f>SMALL(U60:U62,1)</f>
        <v>2</v>
      </c>
      <c r="W63" s="75" t="s">
        <v>50</v>
      </c>
      <c r="X63" s="75">
        <f>SMALL(X60:X62,1)</f>
        <v>2</v>
      </c>
      <c r="Z63" s="75" t="s">
        <v>50</v>
      </c>
      <c r="AA63" s="75">
        <f>SMALL(AA60:AA62,1)</f>
        <v>1</v>
      </c>
      <c r="AC63" s="75" t="s">
        <v>50</v>
      </c>
      <c r="AD63" s="75">
        <f>SMALL(AD60:AD62,1)</f>
        <v>1</v>
      </c>
      <c r="AF63" s="75" t="s">
        <v>50</v>
      </c>
      <c r="AG63" s="75">
        <f>SMALL(AG60:AG62,1)</f>
        <v>2</v>
      </c>
    </row>
    <row r="64" spans="1:33">
      <c r="A64" s="96"/>
      <c r="B64" s="73" t="s">
        <v>51</v>
      </c>
      <c r="C64" s="76">
        <f>VLOOKUP(C60,inv_Dados,17,0)</f>
        <v>1100</v>
      </c>
      <c r="E64" s="75"/>
      <c r="F64" s="75"/>
      <c r="H64" s="75"/>
      <c r="I64" s="75"/>
      <c r="K64" s="75"/>
      <c r="L64" s="75"/>
      <c r="N64" s="75"/>
      <c r="O64" s="75"/>
      <c r="Q64" s="75"/>
      <c r="R64" s="75"/>
      <c r="T64" s="75"/>
      <c r="U64" s="75"/>
      <c r="W64" s="75"/>
      <c r="X64" s="75"/>
      <c r="Z64" s="75"/>
      <c r="AA64" s="75"/>
      <c r="AC64" s="75"/>
      <c r="AD64" s="75"/>
      <c r="AF64" s="75"/>
      <c r="AG64" s="75"/>
    </row>
    <row r="65" spans="1:33">
      <c r="A65" s="96"/>
      <c r="B65" s="73" t="s">
        <v>52</v>
      </c>
      <c r="C65" s="76">
        <f>VLOOKUP(C60,inv_Dados,20,0)</f>
        <v>250</v>
      </c>
      <c r="E65" s="75" t="s">
        <v>53</v>
      </c>
      <c r="F65" s="75">
        <f>ROUNDUP(IF(($C63/F$11)&gt;($C65/F$13),$C63/F$11,$C65/F$13),0)</f>
        <v>11</v>
      </c>
      <c r="H65" s="75" t="s">
        <v>53</v>
      </c>
      <c r="I65" s="75">
        <f>ROUNDUP(IF(($C63/I$11)&gt;($C65/I$13),$C63/I$11,$C65/I$13),0)</f>
        <v>11</v>
      </c>
      <c r="K65" s="75" t="s">
        <v>53</v>
      </c>
      <c r="L65" s="75">
        <f>ROUNDUP(IF(($C63/L$11)&gt;($C65/L$13),$C63/L$11,$C65/L$13),0)</f>
        <v>11</v>
      </c>
      <c r="N65" s="75" t="s">
        <v>53</v>
      </c>
      <c r="O65" s="75">
        <f>ROUNDUP(IF(($C63/O$11)&gt;($C65/O$13),$C63/O$11,$C65/O$13),0)</f>
        <v>11</v>
      </c>
      <c r="Q65" s="75" t="s">
        <v>53</v>
      </c>
      <c r="R65" s="75">
        <f>ROUNDUP(IF(($C63/R$11)&gt;($C65/R$13),$C63/R$11,$C65/R$13),0)</f>
        <v>11</v>
      </c>
      <c r="T65" s="75" t="s">
        <v>53</v>
      </c>
      <c r="U65" s="75">
        <f>ROUNDUP(IF(($C63/U$11)&gt;($C65/U$13),$C63/U$11,$C65/U$13),0)</f>
        <v>10</v>
      </c>
      <c r="W65" s="75" t="s">
        <v>53</v>
      </c>
      <c r="X65" s="75">
        <f>ROUNDUP(IF(($C63/X$11)&gt;($C65/X$13),$C63/X$11,$C65/X$13),0)</f>
        <v>10</v>
      </c>
      <c r="Z65" s="75" t="s">
        <v>53</v>
      </c>
      <c r="AA65" s="75">
        <f>ROUNDUP(IF(($C63/AA$11)&gt;($C65/AA$13),$C63/AA$11,$C65/AA$13),0)</f>
        <v>11</v>
      </c>
      <c r="AC65" s="75" t="s">
        <v>53</v>
      </c>
      <c r="AD65" s="75">
        <f>ROUNDUP(IF(($C63/AD$11)&gt;($C65/AD$13),$C63/AD$11,$C65/AD$13),0)</f>
        <v>11</v>
      </c>
      <c r="AF65" s="75" t="s">
        <v>53</v>
      </c>
      <c r="AG65" s="75">
        <f>ROUNDUP(IF(($C63/AG$11)&gt;($C65/AG$13),$C63/AG$11,$C65/AG$13),0)</f>
        <v>10</v>
      </c>
    </row>
    <row r="66" spans="1:33">
      <c r="A66" s="96"/>
      <c r="B66" s="73" t="s">
        <v>54</v>
      </c>
      <c r="C66" s="76">
        <f>VLOOKUP(C60,inv_Dados,19,0)</f>
        <v>950</v>
      </c>
      <c r="E66" s="75" t="s">
        <v>55</v>
      </c>
      <c r="F66" s="75">
        <f>TRUNC(IF(($C64/F$12)&gt;($C66/F$14),$C66/F$14,$C64/F$12),0)</f>
        <v>21</v>
      </c>
      <c r="H66" s="75" t="s">
        <v>55</v>
      </c>
      <c r="I66" s="75">
        <f>TRUNC(IF(($C64/I$12)&gt;($C66/I$14),$C66/I$14,$C64/I$12),0)</f>
        <v>20</v>
      </c>
      <c r="K66" s="75" t="s">
        <v>55</v>
      </c>
      <c r="L66" s="75">
        <f>TRUNC(IF(($C64/L$12)&gt;($C66/L$14),$C66/L$14,$C64/L$12),0)</f>
        <v>21</v>
      </c>
      <c r="N66" s="75" t="s">
        <v>55</v>
      </c>
      <c r="O66" s="75">
        <f>TRUNC(IF(($C64/O$12)&gt;($C66/O$14),$C66/O$14,$C64/O$12),0)</f>
        <v>22</v>
      </c>
      <c r="Q66" s="75" t="s">
        <v>55</v>
      </c>
      <c r="R66" s="75">
        <f>TRUNC(IF(($C64/R$12)&gt;($C66/R$14),$C66/R$14,$C64/R$12),0)</f>
        <v>20</v>
      </c>
      <c r="T66" s="75" t="s">
        <v>55</v>
      </c>
      <c r="U66" s="75">
        <f>TRUNC(IF(($C64/U$12)&gt;($C66/U$14),$C66/U$14,$C64/U$12),0)</f>
        <v>20</v>
      </c>
      <c r="W66" s="75" t="s">
        <v>55</v>
      </c>
      <c r="X66" s="75">
        <f>TRUNC(IF(($C64/X$12)&gt;($C66/X$14),$C66/X$14,$C64/X$12),0)</f>
        <v>18</v>
      </c>
      <c r="Z66" s="75" t="s">
        <v>55</v>
      </c>
      <c r="AA66" s="75">
        <f>TRUNC(IF(($C64/AA$12)&gt;($C66/AA$14),$C66/AA$14,$C64/AA$12),0)</f>
        <v>21</v>
      </c>
      <c r="AC66" s="75" t="s">
        <v>55</v>
      </c>
      <c r="AD66" s="75">
        <f>TRUNC(IF(($C64/AD$12)&gt;($C66/AD$14),$C66/AD$14,$C64/AD$12),0)</f>
        <v>21</v>
      </c>
      <c r="AF66" s="75" t="s">
        <v>55</v>
      </c>
      <c r="AG66" s="75">
        <f>TRUNC(IF(($C64/AG$12)&gt;($C66/AG$14),$C66/AG$14,$C64/AG$12),0)</f>
        <v>20</v>
      </c>
    </row>
    <row r="67" spans="1:33">
      <c r="A67" s="96"/>
      <c r="B67" s="73" t="s">
        <v>56</v>
      </c>
      <c r="C67" s="76">
        <f>VLOOKUP(C60,inv_Dados,22,0)</f>
        <v>480</v>
      </c>
      <c r="E67" s="75" t="s">
        <v>57</v>
      </c>
      <c r="F67" s="75">
        <f>ROUNDUP(IF(($C67/F$13)&gt;F65,$C67/F$13,F65),0)</f>
        <v>13</v>
      </c>
      <c r="H67" s="75" t="s">
        <v>57</v>
      </c>
      <c r="I67" s="75">
        <f>ROUNDUP(IF(($C67/I$13)&gt;I65,$C67/I$13,I65),0)</f>
        <v>13</v>
      </c>
      <c r="K67" s="75" t="s">
        <v>57</v>
      </c>
      <c r="L67" s="75">
        <f>ROUNDUP(IF(($C67/L$13)&gt;L65,$C67/L$13,L65),0)</f>
        <v>13</v>
      </c>
      <c r="N67" s="75" t="s">
        <v>57</v>
      </c>
      <c r="O67" s="75">
        <f>ROUNDUP(IF(($C67/O$13)&gt;O65,$C67/O$13,O65),0)</f>
        <v>13</v>
      </c>
      <c r="Q67" s="75" t="s">
        <v>57</v>
      </c>
      <c r="R67" s="75">
        <f>ROUNDUP(IF(($C67/R$13)&gt;R65,$C67/R$13,R65),0)</f>
        <v>12</v>
      </c>
      <c r="T67" s="75" t="s">
        <v>57</v>
      </c>
      <c r="U67" s="75">
        <f>ROUNDUP(IF(($C67/U$13)&gt;U65,$C67/U$13,U65),0)</f>
        <v>12</v>
      </c>
      <c r="W67" s="75" t="s">
        <v>57</v>
      </c>
      <c r="X67" s="75">
        <f>ROUNDUP(IF(($C67/X$13)&gt;X65,$C67/X$13,X65),0)</f>
        <v>11</v>
      </c>
      <c r="Z67" s="75" t="s">
        <v>57</v>
      </c>
      <c r="AA67" s="75">
        <f>ROUNDUP(IF(($C67/AA$13)&gt;AA65,$C67/AA$13,AA65),0)</f>
        <v>13</v>
      </c>
      <c r="AC67" s="75" t="s">
        <v>57</v>
      </c>
      <c r="AD67" s="75">
        <f>ROUNDUP(IF(($C67/AD$13)&gt;AD65,$C67/AD$13,AD65),0)</f>
        <v>13</v>
      </c>
      <c r="AF67" s="75" t="s">
        <v>57</v>
      </c>
      <c r="AG67" s="75">
        <f>ROUNDUP(IF(($C67/AG$13)&gt;AG65,$C67/AG$13,AG65),0)</f>
        <v>12</v>
      </c>
    </row>
    <row r="68" spans="1:33">
      <c r="A68" s="96"/>
      <c r="B68" s="73" t="s">
        <v>58</v>
      </c>
      <c r="C68" s="76">
        <f>VLOOKUP(C60,inv_Dados,21,0)</f>
        <v>850</v>
      </c>
      <c r="E68" s="75" t="s">
        <v>59</v>
      </c>
      <c r="F68" s="75">
        <f>TRUNC(IF(($C68/F$14)&gt;F66,F66,$C68/F$14),0)</f>
        <v>19</v>
      </c>
      <c r="H68" s="75" t="s">
        <v>59</v>
      </c>
      <c r="I68" s="75">
        <f>TRUNC(IF(($C68/I$14)&gt;I66,I66,$C68/I$14),0)</f>
        <v>19</v>
      </c>
      <c r="K68" s="75" t="s">
        <v>59</v>
      </c>
      <c r="L68" s="75">
        <f>TRUNC(IF(($C68/L$14)&gt;L66,L66,$C68/L$14),0)</f>
        <v>19</v>
      </c>
      <c r="N68" s="75" t="s">
        <v>59</v>
      </c>
      <c r="O68" s="75">
        <f>TRUNC(IF(($C68/O$14)&gt;O66,O66,$C68/O$14),0)</f>
        <v>20</v>
      </c>
      <c r="Q68" s="75" t="s">
        <v>59</v>
      </c>
      <c r="R68" s="75">
        <f>TRUNC(IF(($C68/R$14)&gt;R66,R66,$C68/R$14),0)</f>
        <v>19</v>
      </c>
      <c r="T68" s="75" t="s">
        <v>59</v>
      </c>
      <c r="U68" s="75">
        <f>TRUNC(IF(($C68/U$14)&gt;U66,U66,$C68/U$14),0)</f>
        <v>18</v>
      </c>
      <c r="W68" s="75" t="s">
        <v>59</v>
      </c>
      <c r="X68" s="75">
        <f>TRUNC(IF(($C68/X$14)&gt;X66,X66,$C68/X$14),0)</f>
        <v>17</v>
      </c>
      <c r="Z68" s="75" t="s">
        <v>59</v>
      </c>
      <c r="AA68" s="75">
        <f>TRUNC(IF(($C68/AA$14)&gt;AA66,AA66,$C68/AA$14),0)</f>
        <v>19</v>
      </c>
      <c r="AC68" s="75" t="s">
        <v>59</v>
      </c>
      <c r="AD68" s="75">
        <f>TRUNC(IF(($C68/AD$14)&gt;AD66,AD66,$C68/AD$14),0)</f>
        <v>19</v>
      </c>
      <c r="AF68" s="75" t="s">
        <v>59</v>
      </c>
      <c r="AG68" s="75">
        <f>TRUNC(IF(($C68/AG$14)&gt;AG66,AG66,$C68/AG$14),0)</f>
        <v>18</v>
      </c>
    </row>
    <row r="69" spans="1:33">
      <c r="A69" s="96"/>
      <c r="B69" s="73" t="s">
        <v>60</v>
      </c>
      <c r="C69" s="76">
        <f>VLOOKUP(C60,inv_Dados,24,0)</f>
        <v>40</v>
      </c>
      <c r="E69" s="75" t="s">
        <v>61</v>
      </c>
      <c r="F69" s="75">
        <f>IF(($C72*F63*F68*F$3)&gt;($C62*(1+$B$10/100)),INT(($C62*(1+$B$10/100))/F$3),F68*$C72*F63)</f>
        <v>137</v>
      </c>
      <c r="H69" s="75" t="s">
        <v>61</v>
      </c>
      <c r="I69" s="75">
        <f>IF(($C72*I63*I68*I$3)&gt;($C62*(1+$B$10/100)),INT(($C62*(1+$B$10/100))/I$3),I68*$C72*I63)</f>
        <v>137</v>
      </c>
      <c r="K69" s="75" t="s">
        <v>61</v>
      </c>
      <c r="L69" s="75">
        <f>IF(($C72*L63*L68*L$3)&gt;($C62*(1+$B$10/100)),INT(($C62*(1+$B$10/100))/L$3),L68*$C72*L63)</f>
        <v>135</v>
      </c>
      <c r="N69" s="75" t="s">
        <v>61</v>
      </c>
      <c r="O69" s="75">
        <f>IF(($C72*O63*O68*O$3)&gt;($C62*(1+$B$10/100)),INT(($C62*(1+$B$10/100))/O$3),O68*$C72*O63)</f>
        <v>132</v>
      </c>
      <c r="Q69" s="75" t="s">
        <v>61</v>
      </c>
      <c r="R69" s="75">
        <f>IF(($C72*R63*R68*R$3)&gt;($C62*(1+$B$10/100)),INT(($C62*(1+$B$10/100))/R$3),R68*$C72*R63)</f>
        <v>132</v>
      </c>
      <c r="T69" s="75" t="s">
        <v>61</v>
      </c>
      <c r="U69" s="75">
        <f>IF(($C72*U63*U68*U$3)&gt;($C62*(1+$B$10/100)),INT(($C62*(1+$B$10/100))/U$3),U68*$C72*U63)</f>
        <v>128</v>
      </c>
      <c r="W69" s="75" t="s">
        <v>61</v>
      </c>
      <c r="X69" s="75">
        <f>IF(($C72*X63*X68*X$3)&gt;($C62*(1+$B$10/100)),INT(($C62*(1+$B$10/100))/X$3),X68*$C72*X63)</f>
        <v>118</v>
      </c>
      <c r="Z69" s="75" t="s">
        <v>61</v>
      </c>
      <c r="AA69" s="75">
        <f>IF(($C72*AA63*AA68*AA$3)&gt;($C62*(1+$B$10/100)),INT(($C62*(1+$B$10/100))/AA$3),AA68*$C72*AA63)</f>
        <v>107</v>
      </c>
      <c r="AC69" s="75" t="s">
        <v>61</v>
      </c>
      <c r="AD69" s="75">
        <f>IF(($C72*AD63*AD68*AD$3)&gt;($C62*(1+$B$10/100)),INT(($C62*(1+$B$10/100))/AD$3),AD68*$C72*AD63)</f>
        <v>106</v>
      </c>
      <c r="AF69" s="75" t="s">
        <v>61</v>
      </c>
      <c r="AG69" s="75">
        <f>IF(($C72*AG63*AG68*AG$3)&gt;($C62*(1+$B$10/100)),INT(($C62*(1+$B$10/100))/AG$3),AG68*$C72*AG63)</f>
        <v>131</v>
      </c>
    </row>
    <row r="70" spans="1:33">
      <c r="A70" s="96"/>
      <c r="B70" s="73" t="s">
        <v>62</v>
      </c>
      <c r="C70" s="76">
        <f>VLOOKUP(C60,inv_Dados,25,0)</f>
        <v>30</v>
      </c>
      <c r="E70" s="75" t="s">
        <v>63</v>
      </c>
      <c r="F70" s="75">
        <f>F69*F$3</f>
        <v>75350</v>
      </c>
      <c r="H70" s="75" t="s">
        <v>63</v>
      </c>
      <c r="I70" s="75">
        <f>I69*I$3</f>
        <v>75350</v>
      </c>
      <c r="K70" s="75" t="s">
        <v>63</v>
      </c>
      <c r="L70" s="75">
        <f>L69*L$3</f>
        <v>74925</v>
      </c>
      <c r="N70" s="75" t="s">
        <v>63</v>
      </c>
      <c r="O70" s="75">
        <f>O69*O$3</f>
        <v>75240</v>
      </c>
      <c r="Q70" s="75" t="s">
        <v>63</v>
      </c>
      <c r="R70" s="75">
        <f>R69*R$3</f>
        <v>75240</v>
      </c>
      <c r="T70" s="75" t="s">
        <v>63</v>
      </c>
      <c r="U70" s="75">
        <f>U69*U$3</f>
        <v>74880</v>
      </c>
      <c r="W70" s="75" t="s">
        <v>63</v>
      </c>
      <c r="X70" s="75">
        <f>X69*X$3</f>
        <v>74930</v>
      </c>
      <c r="Z70" s="75" t="s">
        <v>63</v>
      </c>
      <c r="AA70" s="75">
        <f>AA69*AA$3</f>
        <v>74900</v>
      </c>
      <c r="AC70" s="75" t="s">
        <v>63</v>
      </c>
      <c r="AD70" s="75">
        <f>AD69*AD$3</f>
        <v>75260</v>
      </c>
      <c r="AF70" s="75" t="s">
        <v>63</v>
      </c>
      <c r="AG70" s="75">
        <f>AG69*AG$3</f>
        <v>75325</v>
      </c>
    </row>
    <row r="71" spans="1:33">
      <c r="A71" s="96"/>
      <c r="B71" s="73" t="s">
        <v>44</v>
      </c>
      <c r="C71" s="76">
        <f>VLOOKUP(C60,inv_Dados,15,0)</f>
        <v>2</v>
      </c>
      <c r="E71" s="72"/>
      <c r="F71" s="64"/>
      <c r="H71" s="72"/>
      <c r="I71" s="64"/>
      <c r="K71" s="72"/>
      <c r="L71" s="64"/>
      <c r="N71" s="72"/>
      <c r="O71" s="64"/>
      <c r="Q71" s="72"/>
      <c r="R71" s="64"/>
      <c r="T71" s="72"/>
      <c r="U71" s="64"/>
      <c r="W71" s="72"/>
      <c r="X71" s="64"/>
      <c r="Z71" s="72"/>
      <c r="AA71" s="64"/>
      <c r="AC71" s="72"/>
      <c r="AD71" s="64"/>
      <c r="AF71" s="72"/>
      <c r="AG71" s="64"/>
    </row>
    <row r="72" spans="1:33">
      <c r="A72" s="96"/>
      <c r="B72" s="73" t="s">
        <v>64</v>
      </c>
      <c r="C72" s="76">
        <f>VLOOKUP(C60,inv_Dados,16,0)</f>
        <v>6</v>
      </c>
      <c r="E72" s="72"/>
      <c r="F72" s="64"/>
      <c r="H72" s="72"/>
      <c r="I72" s="64"/>
      <c r="K72" s="72"/>
      <c r="L72" s="64"/>
      <c r="N72" s="72"/>
      <c r="O72" s="64"/>
      <c r="Q72" s="72"/>
      <c r="R72" s="64"/>
      <c r="T72" s="72"/>
      <c r="U72" s="64"/>
      <c r="W72" s="72"/>
      <c r="X72" s="64"/>
      <c r="Z72" s="72"/>
      <c r="AA72" s="64"/>
      <c r="AC72" s="72"/>
      <c r="AD72" s="64"/>
      <c r="AF72" s="72"/>
      <c r="AG72" s="64"/>
    </row>
    <row r="73" spans="1:33" s="60" customFormat="1">
      <c r="A73" s="96"/>
      <c r="C73" s="71"/>
      <c r="E73" s="72"/>
      <c r="F73" s="64"/>
      <c r="G73" s="64"/>
      <c r="H73" s="72"/>
      <c r="I73" s="64"/>
      <c r="J73" s="64"/>
      <c r="K73" s="72"/>
      <c r="L73" s="64"/>
      <c r="M73" s="64"/>
      <c r="N73" s="72"/>
      <c r="O73" s="64"/>
      <c r="P73" s="64"/>
      <c r="Q73" s="72"/>
      <c r="R73" s="64"/>
      <c r="S73" s="64"/>
      <c r="T73" s="72"/>
      <c r="U73" s="64"/>
      <c r="V73" s="64"/>
      <c r="W73" s="72"/>
      <c r="X73" s="64"/>
      <c r="Y73" s="64"/>
      <c r="Z73" s="72"/>
      <c r="AA73" s="64"/>
      <c r="AB73" s="64"/>
      <c r="AC73" s="72"/>
      <c r="AD73" s="64"/>
      <c r="AE73" s="64"/>
      <c r="AF73" s="72"/>
      <c r="AG73" s="64"/>
    </row>
    <row r="74" spans="1:33">
      <c r="A74" s="96"/>
      <c r="B74" s="73" t="s">
        <v>43</v>
      </c>
      <c r="C74" s="74" t="str">
        <f>'Compare Inversores'!A7</f>
        <v>T12</v>
      </c>
      <c r="E74" s="75" t="s">
        <v>44</v>
      </c>
      <c r="F74" s="75">
        <f>$C85</f>
        <v>1</v>
      </c>
      <c r="H74" s="75" t="s">
        <v>44</v>
      </c>
      <c r="I74" s="75">
        <f>$C85</f>
        <v>1</v>
      </c>
      <c r="K74" s="75" t="s">
        <v>44</v>
      </c>
      <c r="L74" s="75">
        <f>$C85</f>
        <v>1</v>
      </c>
      <c r="N74" s="75" t="s">
        <v>44</v>
      </c>
      <c r="O74" s="75">
        <f>$C85</f>
        <v>1</v>
      </c>
      <c r="Q74" s="75" t="s">
        <v>44</v>
      </c>
      <c r="R74" s="75">
        <f>$C85</f>
        <v>1</v>
      </c>
      <c r="T74" s="75" t="s">
        <v>44</v>
      </c>
      <c r="U74" s="75">
        <f>$C85</f>
        <v>1</v>
      </c>
      <c r="W74" s="75" t="s">
        <v>44</v>
      </c>
      <c r="X74" s="75">
        <f>$C85</f>
        <v>1</v>
      </c>
      <c r="Z74" s="75" t="s">
        <v>44</v>
      </c>
      <c r="AA74" s="75">
        <f>$C85</f>
        <v>1</v>
      </c>
      <c r="AC74" s="75" t="s">
        <v>44</v>
      </c>
      <c r="AD74" s="75">
        <f>$C85</f>
        <v>1</v>
      </c>
      <c r="AF74" s="75" t="s">
        <v>44</v>
      </c>
      <c r="AG74" s="75">
        <f>$C85</f>
        <v>1</v>
      </c>
    </row>
    <row r="75" spans="1:33">
      <c r="A75" s="96"/>
      <c r="B75" s="73" t="s">
        <v>45</v>
      </c>
      <c r="C75" s="76">
        <f>VLOOKUP(C74,inv_Dados,13,0)</f>
        <v>12000</v>
      </c>
      <c r="E75" s="75" t="s">
        <v>46</v>
      </c>
      <c r="F75" s="75">
        <f>TRUNC($C83/F$15)</f>
        <v>1</v>
      </c>
      <c r="H75" s="75" t="s">
        <v>46</v>
      </c>
      <c r="I75" s="75">
        <f>TRUNC($C83/I$15)</f>
        <v>1</v>
      </c>
      <c r="K75" s="75" t="s">
        <v>46</v>
      </c>
      <c r="L75" s="75">
        <f>TRUNC($C83/L$15)</f>
        <v>1</v>
      </c>
      <c r="N75" s="75" t="s">
        <v>46</v>
      </c>
      <c r="O75" s="75">
        <f>TRUNC($C83/O$15)</f>
        <v>1</v>
      </c>
      <c r="Q75" s="75" t="s">
        <v>46</v>
      </c>
      <c r="R75" s="75">
        <f>TRUNC($C83/R$15)</f>
        <v>1</v>
      </c>
      <c r="T75" s="75" t="s">
        <v>46</v>
      </c>
      <c r="U75" s="75">
        <f>TRUNC($C83/U$15)</f>
        <v>1</v>
      </c>
      <c r="W75" s="75" t="s">
        <v>46</v>
      </c>
      <c r="X75" s="75">
        <f>TRUNC($C83/X$15)</f>
        <v>1</v>
      </c>
      <c r="Z75" s="75" t="s">
        <v>46</v>
      </c>
      <c r="AA75" s="75">
        <f>TRUNC($C83/AA$15)</f>
        <v>0</v>
      </c>
      <c r="AC75" s="75" t="s">
        <v>46</v>
      </c>
      <c r="AD75" s="75">
        <f>TRUNC($C83/AD$15)</f>
        <v>0</v>
      </c>
      <c r="AF75" s="75" t="s">
        <v>46</v>
      </c>
      <c r="AG75" s="75">
        <f>TRUNC($C83/AG$15)</f>
        <v>1</v>
      </c>
    </row>
    <row r="76" spans="1:33">
      <c r="A76" s="96"/>
      <c r="B76" s="73" t="s">
        <v>47</v>
      </c>
      <c r="C76" s="76">
        <f>C75*(1+VLOOKUP(C74,inv_Dados,33,0)/100)</f>
        <v>18000</v>
      </c>
      <c r="E76" s="75" t="s">
        <v>48</v>
      </c>
      <c r="F76" s="75">
        <f>TRUNC($C84*(1+$B$12/100)/F$16)</f>
        <v>1</v>
      </c>
      <c r="H76" s="75" t="s">
        <v>48</v>
      </c>
      <c r="I76" s="75">
        <f>TRUNC($C84*(1+$B$12/100)/I$16)</f>
        <v>1</v>
      </c>
      <c r="K76" s="75" t="s">
        <v>48</v>
      </c>
      <c r="L76" s="75">
        <f>TRUNC($C84*(1+$B$12/100)/L$16)</f>
        <v>1</v>
      </c>
      <c r="N76" s="75" t="s">
        <v>48</v>
      </c>
      <c r="O76" s="75">
        <f>TRUNC($C84*(1+$B$12/100)/O$16)</f>
        <v>0</v>
      </c>
      <c r="Q76" s="75" t="s">
        <v>48</v>
      </c>
      <c r="R76" s="75">
        <f>TRUNC($C84*(1+$B$12/100)/R$16)</f>
        <v>1</v>
      </c>
      <c r="T76" s="75" t="s">
        <v>48</v>
      </c>
      <c r="U76" s="75">
        <f>TRUNC($C84*(1+$B$12/100)/U$16)</f>
        <v>1</v>
      </c>
      <c r="W76" s="75" t="s">
        <v>48</v>
      </c>
      <c r="X76" s="75">
        <f>TRUNC($C84*(1+$B$12/100)/X$16)</f>
        <v>0</v>
      </c>
      <c r="Z76" s="75" t="s">
        <v>48</v>
      </c>
      <c r="AA76" s="75">
        <f>TRUNC($C84*(1+$B$12/100)/AA$16)</f>
        <v>0</v>
      </c>
      <c r="AC76" s="75" t="s">
        <v>48</v>
      </c>
      <c r="AD76" s="75">
        <f>TRUNC($C84*(1+$B$12/100)/AD$16)</f>
        <v>0</v>
      </c>
      <c r="AF76" s="75" t="s">
        <v>48</v>
      </c>
      <c r="AG76" s="75">
        <f>TRUNC($C84*(1+$B$12/100)/AG$16)</f>
        <v>1</v>
      </c>
    </row>
    <row r="77" spans="1:33">
      <c r="A77" s="96"/>
      <c r="B77" s="73" t="s">
        <v>49</v>
      </c>
      <c r="C77" s="76">
        <f>VLOOKUP(C74,inv_Dados,18,0)</f>
        <v>180</v>
      </c>
      <c r="E77" s="75" t="s">
        <v>50</v>
      </c>
      <c r="F77" s="75">
        <f>SMALL(F74:F76,1)</f>
        <v>1</v>
      </c>
      <c r="H77" s="75" t="s">
        <v>50</v>
      </c>
      <c r="I77" s="75">
        <f>SMALL(I74:I76,1)</f>
        <v>1</v>
      </c>
      <c r="K77" s="75" t="s">
        <v>50</v>
      </c>
      <c r="L77" s="75">
        <f>SMALL(L74:L76,1)</f>
        <v>1</v>
      </c>
      <c r="N77" s="75" t="s">
        <v>50</v>
      </c>
      <c r="O77" s="75">
        <f>SMALL(O74:O76,1)</f>
        <v>0</v>
      </c>
      <c r="Q77" s="75" t="s">
        <v>50</v>
      </c>
      <c r="R77" s="75">
        <f>SMALL(R74:R76,1)</f>
        <v>1</v>
      </c>
      <c r="T77" s="75" t="s">
        <v>50</v>
      </c>
      <c r="U77" s="75">
        <f>SMALL(U74:U76,1)</f>
        <v>1</v>
      </c>
      <c r="W77" s="75" t="s">
        <v>50</v>
      </c>
      <c r="X77" s="75">
        <f>SMALL(X74:X76,1)</f>
        <v>0</v>
      </c>
      <c r="Z77" s="75" t="s">
        <v>50</v>
      </c>
      <c r="AA77" s="75">
        <f>SMALL(AA74:AA76,1)</f>
        <v>0</v>
      </c>
      <c r="AC77" s="75" t="s">
        <v>50</v>
      </c>
      <c r="AD77" s="75">
        <f>SMALL(AD74:AD76,1)</f>
        <v>0</v>
      </c>
      <c r="AF77" s="75" t="s">
        <v>50</v>
      </c>
      <c r="AG77" s="75">
        <f>SMALL(AG74:AG76,1)</f>
        <v>1</v>
      </c>
    </row>
    <row r="78" spans="1:33">
      <c r="A78" s="96"/>
      <c r="B78" s="73" t="s">
        <v>51</v>
      </c>
      <c r="C78" s="76">
        <f>VLOOKUP(C74,inv_Dados,17,0)</f>
        <v>1100</v>
      </c>
      <c r="E78" s="75"/>
      <c r="F78" s="75"/>
      <c r="H78" s="75"/>
      <c r="I78" s="75"/>
      <c r="K78" s="75"/>
      <c r="L78" s="75"/>
      <c r="N78" s="75"/>
      <c r="O78" s="75"/>
      <c r="Q78" s="75"/>
      <c r="R78" s="75"/>
      <c r="T78" s="75"/>
      <c r="U78" s="75"/>
      <c r="W78" s="75"/>
      <c r="X78" s="75"/>
      <c r="Z78" s="75"/>
      <c r="AA78" s="75"/>
      <c r="AC78" s="75"/>
      <c r="AD78" s="75"/>
      <c r="AF78" s="75"/>
      <c r="AG78" s="75"/>
    </row>
    <row r="79" spans="1:33">
      <c r="A79" s="96"/>
      <c r="B79" s="73" t="s">
        <v>52</v>
      </c>
      <c r="C79" s="76">
        <f>VLOOKUP(C74,inv_Dados,20,0)</f>
        <v>160</v>
      </c>
      <c r="E79" s="75" t="s">
        <v>53</v>
      </c>
      <c r="F79" s="75">
        <f>ROUNDUP(IF(($C77/F$11)&gt;($C79/F$13),$C77/F$11,$C79/F$13),0)</f>
        <v>5</v>
      </c>
      <c r="H79" s="75" t="s">
        <v>53</v>
      </c>
      <c r="I79" s="75">
        <f>ROUNDUP(IF(($C77/I$11)&gt;($C79/I$13),$C77/I$11,$C79/I$13),0)</f>
        <v>5</v>
      </c>
      <c r="K79" s="75" t="s">
        <v>53</v>
      </c>
      <c r="L79" s="75">
        <f>ROUNDUP(IF(($C77/L$11)&gt;($C79/L$13),$C77/L$11,$C79/L$13),0)</f>
        <v>5</v>
      </c>
      <c r="N79" s="75" t="s">
        <v>53</v>
      </c>
      <c r="O79" s="75">
        <f>ROUNDUP(IF(($C77/O$11)&gt;($C79/O$13),$C77/O$11,$C79/O$13),0)</f>
        <v>5</v>
      </c>
      <c r="Q79" s="75" t="s">
        <v>53</v>
      </c>
      <c r="R79" s="75">
        <f>ROUNDUP(IF(($C77/R$11)&gt;($C79/R$13),$C77/R$11,$C79/R$13),0)</f>
        <v>4</v>
      </c>
      <c r="T79" s="75" t="s">
        <v>53</v>
      </c>
      <c r="U79" s="75">
        <f>ROUNDUP(IF(($C77/U$11)&gt;($C79/U$13),$C77/U$11,$C79/U$13),0)</f>
        <v>4</v>
      </c>
      <c r="W79" s="75" t="s">
        <v>53</v>
      </c>
      <c r="X79" s="75">
        <f>ROUNDUP(IF(($C77/X$11)&gt;($C79/X$13),$C77/X$11,$C79/X$13),0)</f>
        <v>4</v>
      </c>
      <c r="Z79" s="75" t="s">
        <v>53</v>
      </c>
      <c r="AA79" s="75">
        <f>ROUNDUP(IF(($C77/AA$11)&gt;($C79/AA$13),$C77/AA$11,$C79/AA$13),0)</f>
        <v>5</v>
      </c>
      <c r="AC79" s="75" t="s">
        <v>53</v>
      </c>
      <c r="AD79" s="75">
        <f>ROUNDUP(IF(($C77/AD$11)&gt;($C79/AD$13),$C77/AD$11,$C79/AD$13),0)</f>
        <v>5</v>
      </c>
      <c r="AF79" s="75" t="s">
        <v>53</v>
      </c>
      <c r="AG79" s="75">
        <f>ROUNDUP(IF(($C77/AG$11)&gt;($C79/AG$13),$C77/AG$11,$C79/AG$13),0)</f>
        <v>4</v>
      </c>
    </row>
    <row r="80" spans="1:33">
      <c r="A80" s="96"/>
      <c r="B80" s="73" t="s">
        <v>54</v>
      </c>
      <c r="C80" s="76">
        <f>VLOOKUP(C74,inv_Dados,19,0)</f>
        <v>850</v>
      </c>
      <c r="E80" s="75" t="s">
        <v>55</v>
      </c>
      <c r="F80" s="75">
        <f>TRUNC(IF(($C78/F$12)&gt;($C80/F$14),$C80/F$14,$C78/F$12),0)</f>
        <v>19</v>
      </c>
      <c r="H80" s="75" t="s">
        <v>55</v>
      </c>
      <c r="I80" s="75">
        <f>TRUNC(IF(($C78/I$12)&gt;($C80/I$14),$C80/I$14,$C78/I$12),0)</f>
        <v>19</v>
      </c>
      <c r="K80" s="75" t="s">
        <v>55</v>
      </c>
      <c r="L80" s="75">
        <f>TRUNC(IF(($C78/L$12)&gt;($C80/L$14),$C80/L$14,$C78/L$12),0)</f>
        <v>19</v>
      </c>
      <c r="N80" s="75" t="s">
        <v>55</v>
      </c>
      <c r="O80" s="75">
        <f>TRUNC(IF(($C78/O$12)&gt;($C80/O$14),$C80/O$14,$C78/O$12),0)</f>
        <v>20</v>
      </c>
      <c r="Q80" s="75" t="s">
        <v>55</v>
      </c>
      <c r="R80" s="75">
        <f>TRUNC(IF(($C78/R$12)&gt;($C80/R$14),$C80/R$14,$C78/R$12),0)</f>
        <v>19</v>
      </c>
      <c r="T80" s="75" t="s">
        <v>55</v>
      </c>
      <c r="U80" s="75">
        <f>TRUNC(IF(($C78/U$12)&gt;($C80/U$14),$C80/U$14,$C78/U$12),0)</f>
        <v>18</v>
      </c>
      <c r="W80" s="75" t="s">
        <v>55</v>
      </c>
      <c r="X80" s="75">
        <f>TRUNC(IF(($C78/X$12)&gt;($C80/X$14),$C80/X$14,$C78/X$12),0)</f>
        <v>17</v>
      </c>
      <c r="Z80" s="75" t="s">
        <v>55</v>
      </c>
      <c r="AA80" s="75">
        <f>TRUNC(IF(($C78/AA$12)&gt;($C80/AA$14),$C80/AA$14,$C78/AA$12),0)</f>
        <v>19</v>
      </c>
      <c r="AC80" s="75" t="s">
        <v>55</v>
      </c>
      <c r="AD80" s="75">
        <f>TRUNC(IF(($C78/AD$12)&gt;($C80/AD$14),$C80/AD$14,$C78/AD$12),0)</f>
        <v>19</v>
      </c>
      <c r="AF80" s="75" t="s">
        <v>55</v>
      </c>
      <c r="AG80" s="75">
        <f>TRUNC(IF(($C78/AG$12)&gt;($C80/AG$14),$C80/AG$14,$C78/AG$12),0)</f>
        <v>18</v>
      </c>
    </row>
    <row r="81" spans="1:33">
      <c r="A81" s="96"/>
      <c r="B81" s="73" t="s">
        <v>56</v>
      </c>
      <c r="C81" s="76">
        <f>VLOOKUP(C74,inv_Dados,22,0)</f>
        <v>490</v>
      </c>
      <c r="E81" s="75" t="s">
        <v>57</v>
      </c>
      <c r="F81" s="75">
        <f>ROUNDUP(IF(($C81/F$13)&gt;F79,$C81/F$13,F79),0)</f>
        <v>13</v>
      </c>
      <c r="H81" s="75" t="s">
        <v>57</v>
      </c>
      <c r="I81" s="75">
        <f>ROUNDUP(IF(($C81/I$13)&gt;I79,$C81/I$13,I79),0)</f>
        <v>13</v>
      </c>
      <c r="K81" s="75" t="s">
        <v>57</v>
      </c>
      <c r="L81" s="75">
        <f>ROUNDUP(IF(($C81/L$13)&gt;L79,$C81/L$13,L79),0)</f>
        <v>13</v>
      </c>
      <c r="N81" s="75" t="s">
        <v>57</v>
      </c>
      <c r="O81" s="75">
        <f>ROUNDUP(IF(($C81/O$13)&gt;O79,$C81/O$13,O79),0)</f>
        <v>14</v>
      </c>
      <c r="Q81" s="75" t="s">
        <v>57</v>
      </c>
      <c r="R81" s="75">
        <f>ROUNDUP(IF(($C81/R$13)&gt;R79,$C81/R$13,R79),0)</f>
        <v>13</v>
      </c>
      <c r="T81" s="75" t="s">
        <v>57</v>
      </c>
      <c r="U81" s="75">
        <f>ROUNDUP(IF(($C81/U$13)&gt;U79,$C81/U$13,U79),0)</f>
        <v>13</v>
      </c>
      <c r="W81" s="75" t="s">
        <v>57</v>
      </c>
      <c r="X81" s="75">
        <f>ROUNDUP(IF(($C81/X$13)&gt;X79,$C81/X$13,X79),0)</f>
        <v>12</v>
      </c>
      <c r="Z81" s="75" t="s">
        <v>57</v>
      </c>
      <c r="AA81" s="75">
        <f>ROUNDUP(IF(($C81/AA$13)&gt;AA79,$C81/AA$13,AA79),0)</f>
        <v>13</v>
      </c>
      <c r="AC81" s="75" t="s">
        <v>57</v>
      </c>
      <c r="AD81" s="75">
        <f>ROUNDUP(IF(($C81/AD$13)&gt;AD79,$C81/AD$13,AD79),0)</f>
        <v>13</v>
      </c>
      <c r="AF81" s="75" t="s">
        <v>57</v>
      </c>
      <c r="AG81" s="75">
        <f>ROUNDUP(IF(($C81/AG$13)&gt;AG79,$C81/AG$13,AG79),0)</f>
        <v>12</v>
      </c>
    </row>
    <row r="82" spans="1:33">
      <c r="A82" s="96"/>
      <c r="B82" s="73" t="s">
        <v>58</v>
      </c>
      <c r="C82" s="76">
        <f>VLOOKUP(C74,inv_Dados,21,0)</f>
        <v>850</v>
      </c>
      <c r="E82" s="75" t="s">
        <v>59</v>
      </c>
      <c r="F82" s="75">
        <f>TRUNC(IF(($C82/F$14)&gt;F80,F80,$C82/F$14),0)</f>
        <v>19</v>
      </c>
      <c r="H82" s="75" t="s">
        <v>59</v>
      </c>
      <c r="I82" s="75">
        <f>TRUNC(IF(($C82/I$14)&gt;I80,I80,$C82/I$14),0)</f>
        <v>19</v>
      </c>
      <c r="K82" s="75" t="s">
        <v>59</v>
      </c>
      <c r="L82" s="75">
        <f>TRUNC(IF(($C82/L$14)&gt;L80,L80,$C82/L$14),0)</f>
        <v>19</v>
      </c>
      <c r="N82" s="75" t="s">
        <v>59</v>
      </c>
      <c r="O82" s="75">
        <f>TRUNC(IF(($C82/O$14)&gt;O80,O80,$C82/O$14),0)</f>
        <v>20</v>
      </c>
      <c r="Q82" s="75" t="s">
        <v>59</v>
      </c>
      <c r="R82" s="75">
        <f>TRUNC(IF(($C82/R$14)&gt;R80,R80,$C82/R$14),0)</f>
        <v>19</v>
      </c>
      <c r="T82" s="75" t="s">
        <v>59</v>
      </c>
      <c r="U82" s="75">
        <f>TRUNC(IF(($C82/U$14)&gt;U80,U80,$C82/U$14),0)</f>
        <v>18</v>
      </c>
      <c r="W82" s="75" t="s">
        <v>59</v>
      </c>
      <c r="X82" s="75">
        <f>TRUNC(IF(($C82/X$14)&gt;X80,X80,$C82/X$14),0)</f>
        <v>17</v>
      </c>
      <c r="Z82" s="75" t="s">
        <v>59</v>
      </c>
      <c r="AA82" s="75">
        <f>TRUNC(IF(($C82/AA$14)&gt;AA80,AA80,$C82/AA$14),0)</f>
        <v>19</v>
      </c>
      <c r="AC82" s="75" t="s">
        <v>59</v>
      </c>
      <c r="AD82" s="75">
        <f>TRUNC(IF(($C82/AD$14)&gt;AD80,AD80,$C82/AD$14),0)</f>
        <v>19</v>
      </c>
      <c r="AF82" s="75" t="s">
        <v>59</v>
      </c>
      <c r="AG82" s="75">
        <f>TRUNC(IF(($C82/AG$14)&gt;AG80,AG80,$C82/AG$14),0)</f>
        <v>18</v>
      </c>
    </row>
    <row r="83" spans="1:33">
      <c r="A83" s="96"/>
      <c r="B83" s="73" t="s">
        <v>60</v>
      </c>
      <c r="C83" s="76">
        <f>VLOOKUP(C74,inv_Dados,24,0)</f>
        <v>16.25</v>
      </c>
      <c r="E83" s="75" t="s">
        <v>61</v>
      </c>
      <c r="F83" s="75">
        <f>IF(($C86*F77*F82*F$3)&gt;($C76*(1+$B$10/100)),INT(($C76*(1+$B$10/100))/F$3),F82*$C86*F77)</f>
        <v>32</v>
      </c>
      <c r="H83" s="75" t="s">
        <v>61</v>
      </c>
      <c r="I83" s="75">
        <f>IF(($C86*I77*I82*I$3)&gt;($C76*(1+$B$10/100)),INT(($C76*(1+$B$10/100))/I$3),I82*$C86*I77)</f>
        <v>32</v>
      </c>
      <c r="K83" s="75" t="s">
        <v>61</v>
      </c>
      <c r="L83" s="75">
        <f>IF(($C86*L77*L82*L$3)&gt;($C76*(1+$B$10/100)),INT(($C76*(1+$B$10/100))/L$3),L82*$C86*L77)</f>
        <v>32</v>
      </c>
      <c r="N83" s="75" t="s">
        <v>61</v>
      </c>
      <c r="O83" s="75">
        <f>IF(($C86*O77*O82*O$3)&gt;($C76*(1+$B$10/100)),INT(($C76*(1+$B$10/100))/O$3),O82*$C86*O77)</f>
        <v>0</v>
      </c>
      <c r="Q83" s="75" t="s">
        <v>61</v>
      </c>
      <c r="R83" s="75">
        <f>IF(($C86*R77*R82*R$3)&gt;($C76*(1+$B$10/100)),INT(($C76*(1+$B$10/100))/R$3),R82*$C86*R77)</f>
        <v>31</v>
      </c>
      <c r="T83" s="75" t="s">
        <v>61</v>
      </c>
      <c r="U83" s="75">
        <f>IF(($C86*U77*U82*U$3)&gt;($C76*(1+$B$10/100)),INT(($C76*(1+$B$10/100))/U$3),U82*$C86*U77)</f>
        <v>30</v>
      </c>
      <c r="W83" s="75" t="s">
        <v>61</v>
      </c>
      <c r="X83" s="75">
        <f>IF(($C86*X77*X82*X$3)&gt;($C76*(1+$B$10/100)),INT(($C76*(1+$B$10/100))/X$3),X82*$C86*X77)</f>
        <v>0</v>
      </c>
      <c r="Z83" s="75" t="s">
        <v>61</v>
      </c>
      <c r="AA83" s="75">
        <f>IF(($C86*AA77*AA82*AA$3)&gt;($C76*(1+$B$10/100)),INT(($C76*(1+$B$10/100))/AA$3),AA82*$C86*AA77)</f>
        <v>0</v>
      </c>
      <c r="AC83" s="75" t="s">
        <v>61</v>
      </c>
      <c r="AD83" s="75">
        <f>IF(($C86*AD77*AD82*AD$3)&gt;($C76*(1+$B$10/100)),INT(($C76*(1+$B$10/100))/AD$3),AD82*$C86*AD77)</f>
        <v>0</v>
      </c>
      <c r="AF83" s="75" t="s">
        <v>61</v>
      </c>
      <c r="AG83" s="75">
        <f>IF(($C86*AG77*AG82*AG$3)&gt;($C76*(1+$B$10/100)),INT(($C76*(1+$B$10/100))/AG$3),AG82*$C86*AG77)</f>
        <v>31</v>
      </c>
    </row>
    <row r="84" spans="1:33">
      <c r="A84" s="96"/>
      <c r="B84" s="73" t="s">
        <v>62</v>
      </c>
      <c r="C84" s="76">
        <f>VLOOKUP(C74,inv_Dados,25,0)</f>
        <v>12.5</v>
      </c>
      <c r="E84" s="75" t="s">
        <v>63</v>
      </c>
      <c r="F84" s="75">
        <f>F83*F$3</f>
        <v>17600</v>
      </c>
      <c r="H84" s="75" t="s">
        <v>63</v>
      </c>
      <c r="I84" s="75">
        <f>I83*I$3</f>
        <v>17600</v>
      </c>
      <c r="K84" s="75" t="s">
        <v>63</v>
      </c>
      <c r="L84" s="75">
        <f>L83*L$3</f>
        <v>17760</v>
      </c>
      <c r="N84" s="75" t="s">
        <v>63</v>
      </c>
      <c r="O84" s="75">
        <f>O83*O$3</f>
        <v>0</v>
      </c>
      <c r="Q84" s="75" t="s">
        <v>63</v>
      </c>
      <c r="R84" s="75">
        <f>R83*R$3</f>
        <v>17670</v>
      </c>
      <c r="T84" s="75" t="s">
        <v>63</v>
      </c>
      <c r="U84" s="75">
        <f>U83*U$3</f>
        <v>17550</v>
      </c>
      <c r="W84" s="75" t="s">
        <v>63</v>
      </c>
      <c r="X84" s="75">
        <f>X83*X$3</f>
        <v>0</v>
      </c>
      <c r="Z84" s="75" t="s">
        <v>63</v>
      </c>
      <c r="AA84" s="75">
        <f>AA83*AA$3</f>
        <v>0</v>
      </c>
      <c r="AC84" s="75" t="s">
        <v>63</v>
      </c>
      <c r="AD84" s="75">
        <f>AD83*AD$3</f>
        <v>0</v>
      </c>
      <c r="AF84" s="75" t="s">
        <v>63</v>
      </c>
      <c r="AG84" s="75">
        <f>AG83*AG$3</f>
        <v>17825</v>
      </c>
    </row>
    <row r="85" spans="1:33">
      <c r="A85" s="96"/>
      <c r="B85" s="73" t="s">
        <v>44</v>
      </c>
      <c r="C85" s="76">
        <f>VLOOKUP(C74,inv_Dados,15,0)</f>
        <v>1</v>
      </c>
      <c r="E85" s="72"/>
      <c r="F85" s="64"/>
      <c r="H85" s="72"/>
      <c r="I85" s="64"/>
      <c r="K85" s="72"/>
      <c r="L85" s="64"/>
      <c r="N85" s="72"/>
      <c r="O85" s="64"/>
      <c r="Q85" s="72"/>
      <c r="R85" s="64"/>
      <c r="T85" s="72"/>
      <c r="U85" s="64"/>
      <c r="W85" s="72"/>
      <c r="X85" s="64"/>
      <c r="Z85" s="72"/>
      <c r="AA85" s="64"/>
      <c r="AC85" s="72"/>
      <c r="AD85" s="64"/>
      <c r="AF85" s="72"/>
      <c r="AG85" s="64"/>
    </row>
    <row r="86" spans="1:33">
      <c r="A86" s="96"/>
      <c r="B86" s="73" t="s">
        <v>64</v>
      </c>
      <c r="C86" s="76">
        <f>VLOOKUP(C74,inv_Dados,16,0)</f>
        <v>2</v>
      </c>
      <c r="E86" s="72"/>
      <c r="F86" s="64"/>
      <c r="H86" s="72"/>
      <c r="I86" s="64"/>
      <c r="K86" s="72"/>
      <c r="L86" s="64"/>
      <c r="N86" s="72"/>
      <c r="O86" s="64"/>
      <c r="Q86" s="72"/>
      <c r="R86" s="64"/>
      <c r="T86" s="72"/>
      <c r="U86" s="64"/>
      <c r="W86" s="72"/>
      <c r="X86" s="64"/>
      <c r="Z86" s="72"/>
      <c r="AA86" s="64"/>
      <c r="AC86" s="72"/>
      <c r="AD86" s="64"/>
      <c r="AF86" s="72"/>
      <c r="AG86" s="64"/>
    </row>
    <row r="87" spans="1:33" s="60" customFormat="1">
      <c r="A87" s="96"/>
      <c r="C87" s="71"/>
      <c r="E87" s="72"/>
      <c r="F87" s="64"/>
      <c r="G87" s="64"/>
      <c r="H87" s="72"/>
      <c r="I87" s="64"/>
      <c r="J87" s="64"/>
      <c r="K87" s="72"/>
      <c r="L87" s="64"/>
      <c r="M87" s="64"/>
      <c r="N87" s="72"/>
      <c r="O87" s="64"/>
      <c r="P87" s="64"/>
      <c r="Q87" s="72"/>
      <c r="R87" s="64"/>
      <c r="S87" s="64"/>
      <c r="T87" s="72"/>
      <c r="U87" s="64"/>
      <c r="V87" s="64"/>
      <c r="W87" s="72"/>
      <c r="X87" s="64"/>
      <c r="Y87" s="64"/>
      <c r="Z87" s="72"/>
      <c r="AA87" s="64"/>
      <c r="AB87" s="64"/>
      <c r="AC87" s="72"/>
      <c r="AD87" s="64"/>
      <c r="AE87" s="64"/>
      <c r="AF87" s="72"/>
      <c r="AG87" s="64"/>
    </row>
    <row r="88" spans="1:33">
      <c r="A88" s="96"/>
      <c r="B88" s="73" t="s">
        <v>43</v>
      </c>
      <c r="C88" s="74" t="str">
        <f>'Compare Inversores'!A8</f>
        <v>SIW300H M030 L1</v>
      </c>
      <c r="E88" s="75" t="s">
        <v>44</v>
      </c>
      <c r="F88" s="75">
        <f>$C99</f>
        <v>1</v>
      </c>
      <c r="H88" s="75" t="s">
        <v>44</v>
      </c>
      <c r="I88" s="75">
        <f>$C99</f>
        <v>1</v>
      </c>
      <c r="K88" s="75" t="s">
        <v>44</v>
      </c>
      <c r="L88" s="75">
        <f>$C99</f>
        <v>1</v>
      </c>
      <c r="N88" s="75" t="s">
        <v>44</v>
      </c>
      <c r="O88" s="75">
        <f>$C99</f>
        <v>1</v>
      </c>
      <c r="Q88" s="75" t="s">
        <v>44</v>
      </c>
      <c r="R88" s="75">
        <f>$C99</f>
        <v>1</v>
      </c>
      <c r="T88" s="75" t="s">
        <v>44</v>
      </c>
      <c r="U88" s="75">
        <f>$C99</f>
        <v>1</v>
      </c>
      <c r="W88" s="75" t="s">
        <v>44</v>
      </c>
      <c r="X88" s="75">
        <f>$C99</f>
        <v>1</v>
      </c>
      <c r="Z88" s="75" t="s">
        <v>44</v>
      </c>
      <c r="AA88" s="75">
        <f>$C99</f>
        <v>1</v>
      </c>
      <c r="AC88" s="75" t="s">
        <v>44</v>
      </c>
      <c r="AD88" s="75">
        <f>$C99</f>
        <v>1</v>
      </c>
      <c r="AF88" s="75" t="s">
        <v>44</v>
      </c>
      <c r="AG88" s="75">
        <f>$C99</f>
        <v>1</v>
      </c>
    </row>
    <row r="89" spans="1:33">
      <c r="A89" s="96"/>
      <c r="B89" s="73" t="s">
        <v>45</v>
      </c>
      <c r="C89" s="76">
        <f>VLOOKUP(C88,inv_Dados,13,0)</f>
        <v>3000</v>
      </c>
      <c r="E89" s="75" t="s">
        <v>46</v>
      </c>
      <c r="F89" s="75">
        <f>TRUNC($C97/F$15)</f>
        <v>1</v>
      </c>
      <c r="H89" s="75" t="s">
        <v>46</v>
      </c>
      <c r="I89" s="75">
        <f>TRUNC($C97/I$15)</f>
        <v>1</v>
      </c>
      <c r="K89" s="75" t="s">
        <v>46</v>
      </c>
      <c r="L89" s="75">
        <f>TRUNC($C97/L$15)</f>
        <v>1</v>
      </c>
      <c r="N89" s="75" t="s">
        <v>46</v>
      </c>
      <c r="O89" s="75">
        <f>TRUNC($C97/O$15)</f>
        <v>1</v>
      </c>
      <c r="Q89" s="75" t="s">
        <v>46</v>
      </c>
      <c r="R89" s="75">
        <f>TRUNC($C97/R$15)</f>
        <v>1</v>
      </c>
      <c r="T89" s="75" t="s">
        <v>46</v>
      </c>
      <c r="U89" s="75">
        <f>TRUNC($C97/U$15)</f>
        <v>1</v>
      </c>
      <c r="W89" s="75" t="s">
        <v>46</v>
      </c>
      <c r="X89" s="75">
        <f>TRUNC($C97/X$15)</f>
        <v>1</v>
      </c>
      <c r="Z89" s="75" t="s">
        <v>46</v>
      </c>
      <c r="AA89" s="75">
        <f>TRUNC($C97/AA$15)</f>
        <v>1</v>
      </c>
      <c r="AC89" s="75" t="s">
        <v>46</v>
      </c>
      <c r="AD89" s="75">
        <f>TRUNC($C97/AD$15)</f>
        <v>0</v>
      </c>
      <c r="AF89" s="75" t="s">
        <v>46</v>
      </c>
      <c r="AG89" s="75">
        <f>TRUNC($C97/AG$15)</f>
        <v>1</v>
      </c>
    </row>
    <row r="90" spans="1:33">
      <c r="A90" s="96"/>
      <c r="B90" s="73" t="s">
        <v>47</v>
      </c>
      <c r="C90" s="76">
        <f>C89*(1+VLOOKUP(C88,inv_Dados,33,0)/100)</f>
        <v>4500</v>
      </c>
      <c r="E90" s="75" t="s">
        <v>48</v>
      </c>
      <c r="F90" s="75">
        <f>TRUNC($C98*(1+$B$12/100)/F$16)</f>
        <v>1</v>
      </c>
      <c r="H90" s="75" t="s">
        <v>48</v>
      </c>
      <c r="I90" s="75">
        <f>TRUNC($C98*(1+$B$12/100)/I$16)</f>
        <v>1</v>
      </c>
      <c r="K90" s="75" t="s">
        <v>48</v>
      </c>
      <c r="L90" s="75">
        <f>TRUNC($C98*(1+$B$12/100)/L$16)</f>
        <v>1</v>
      </c>
      <c r="N90" s="75" t="s">
        <v>48</v>
      </c>
      <c r="O90" s="75">
        <f>TRUNC($C98*(1+$B$12/100)/O$16)</f>
        <v>0</v>
      </c>
      <c r="Q90" s="75" t="s">
        <v>48</v>
      </c>
      <c r="R90" s="75">
        <f>TRUNC($C98*(1+$B$12/100)/R$16)</f>
        <v>1</v>
      </c>
      <c r="T90" s="75" t="s">
        <v>48</v>
      </c>
      <c r="U90" s="75">
        <f>TRUNC($C98*(1+$B$12/100)/U$16)</f>
        <v>1</v>
      </c>
      <c r="W90" s="75" t="s">
        <v>48</v>
      </c>
      <c r="X90" s="75">
        <f>TRUNC($C98*(1+$B$12/100)/X$16)</f>
        <v>0</v>
      </c>
      <c r="Z90" s="75" t="s">
        <v>48</v>
      </c>
      <c r="AA90" s="75">
        <f>TRUNC($C98*(1+$B$12/100)/AA$16)</f>
        <v>0</v>
      </c>
      <c r="AC90" s="75" t="s">
        <v>48</v>
      </c>
      <c r="AD90" s="75">
        <f>TRUNC($C98*(1+$B$12/100)/AD$16)</f>
        <v>0</v>
      </c>
      <c r="AF90" s="75" t="s">
        <v>48</v>
      </c>
      <c r="AG90" s="75">
        <f>TRUNC($C98*(1+$B$12/100)/AG$16)</f>
        <v>1</v>
      </c>
    </row>
    <row r="91" spans="1:33">
      <c r="A91" s="96"/>
      <c r="B91" s="73" t="s">
        <v>49</v>
      </c>
      <c r="C91" s="76">
        <f>VLOOKUP(C88,inv_Dados,18,0)</f>
        <v>100</v>
      </c>
      <c r="E91" s="75" t="s">
        <v>50</v>
      </c>
      <c r="F91" s="75">
        <f>SMALL(F88:F90,1)</f>
        <v>1</v>
      </c>
      <c r="H91" s="75" t="s">
        <v>50</v>
      </c>
      <c r="I91" s="75">
        <f>SMALL(I88:I90,1)</f>
        <v>1</v>
      </c>
      <c r="K91" s="75" t="s">
        <v>50</v>
      </c>
      <c r="L91" s="75">
        <f>SMALL(L88:L90,1)</f>
        <v>1</v>
      </c>
      <c r="N91" s="75" t="s">
        <v>50</v>
      </c>
      <c r="O91" s="75">
        <f>SMALL(O88:O90,1)</f>
        <v>0</v>
      </c>
      <c r="Q91" s="75" t="s">
        <v>50</v>
      </c>
      <c r="R91" s="75">
        <f>SMALL(R88:R90,1)</f>
        <v>1</v>
      </c>
      <c r="T91" s="75" t="s">
        <v>50</v>
      </c>
      <c r="U91" s="75">
        <f>SMALL(U88:U90,1)</f>
        <v>1</v>
      </c>
      <c r="W91" s="75" t="s">
        <v>50</v>
      </c>
      <c r="X91" s="75">
        <f>SMALL(X88:X90,1)</f>
        <v>0</v>
      </c>
      <c r="Z91" s="75" t="s">
        <v>50</v>
      </c>
      <c r="AA91" s="75">
        <f>SMALL(AA88:AA90,1)</f>
        <v>0</v>
      </c>
      <c r="AC91" s="75" t="s">
        <v>50</v>
      </c>
      <c r="AD91" s="75">
        <f>SMALL(AD88:AD90,1)</f>
        <v>0</v>
      </c>
      <c r="AF91" s="75" t="s">
        <v>50</v>
      </c>
      <c r="AG91" s="75">
        <f>SMALL(AG88:AG90,1)</f>
        <v>1</v>
      </c>
    </row>
    <row r="92" spans="1:33">
      <c r="A92" s="96"/>
      <c r="B92" s="73" t="s">
        <v>51</v>
      </c>
      <c r="C92" s="76">
        <f>VLOOKUP(C88,inv_Dados,17,0)</f>
        <v>600</v>
      </c>
      <c r="E92" s="75"/>
      <c r="F92" s="75"/>
      <c r="H92" s="75"/>
      <c r="I92" s="75"/>
      <c r="K92" s="75"/>
      <c r="L92" s="75"/>
      <c r="N92" s="75"/>
      <c r="O92" s="75"/>
      <c r="Q92" s="75"/>
      <c r="R92" s="75"/>
      <c r="T92" s="75"/>
      <c r="U92" s="75"/>
      <c r="W92" s="75"/>
      <c r="X92" s="75"/>
      <c r="Z92" s="75"/>
      <c r="AA92" s="75"/>
      <c r="AC92" s="75"/>
      <c r="AD92" s="75"/>
      <c r="AF92" s="75"/>
      <c r="AG92" s="75"/>
    </row>
    <row r="93" spans="1:33">
      <c r="A93" s="96"/>
      <c r="B93" s="73" t="s">
        <v>52</v>
      </c>
      <c r="C93" s="76">
        <f>VLOOKUP(C88,inv_Dados,20,0)</f>
        <v>90</v>
      </c>
      <c r="E93" s="75" t="s">
        <v>53</v>
      </c>
      <c r="F93" s="75">
        <f>ROUNDUP(IF(($C91/F$11)&gt;($C93/F$13),$C91/F$11,$C93/F$13),0)</f>
        <v>3</v>
      </c>
      <c r="H93" s="75" t="s">
        <v>53</v>
      </c>
      <c r="I93" s="75">
        <f>ROUNDUP(IF(($C91/I$11)&gt;($C93/I$13),$C91/I$11,$C93/I$13),0)</f>
        <v>3</v>
      </c>
      <c r="K93" s="75" t="s">
        <v>53</v>
      </c>
      <c r="L93" s="75">
        <f>ROUNDUP(IF(($C91/L$11)&gt;($C93/L$13),$C91/L$11,$C93/L$13),0)</f>
        <v>3</v>
      </c>
      <c r="N93" s="75" t="s">
        <v>53</v>
      </c>
      <c r="O93" s="75">
        <f>ROUNDUP(IF(($C91/O$11)&gt;($C93/O$13),$C91/O$11,$C93/O$13),0)</f>
        <v>3</v>
      </c>
      <c r="Q93" s="75" t="s">
        <v>53</v>
      </c>
      <c r="R93" s="75">
        <f>ROUNDUP(IF(($C91/R$11)&gt;($C93/R$13),$C91/R$11,$C93/R$13),0)</f>
        <v>3</v>
      </c>
      <c r="T93" s="75" t="s">
        <v>53</v>
      </c>
      <c r="U93" s="75">
        <f>ROUNDUP(IF(($C91/U$11)&gt;($C93/U$13),$C91/U$11,$C93/U$13),0)</f>
        <v>3</v>
      </c>
      <c r="W93" s="75" t="s">
        <v>53</v>
      </c>
      <c r="X93" s="75">
        <f>ROUNDUP(IF(($C91/X$11)&gt;($C93/X$13),$C91/X$11,$C93/X$13),0)</f>
        <v>3</v>
      </c>
      <c r="Z93" s="75" t="s">
        <v>53</v>
      </c>
      <c r="AA93" s="75">
        <f>ROUNDUP(IF(($C91/AA$11)&gt;($C93/AA$13),$C91/AA$11,$C93/AA$13),0)</f>
        <v>3</v>
      </c>
      <c r="AC93" s="75" t="s">
        <v>53</v>
      </c>
      <c r="AD93" s="75">
        <f>ROUNDUP(IF(($C91/AD$11)&gt;($C93/AD$13),$C91/AD$11,$C93/AD$13),0)</f>
        <v>3</v>
      </c>
      <c r="AF93" s="75" t="s">
        <v>53</v>
      </c>
      <c r="AG93" s="75">
        <f>ROUNDUP(IF(($C91/AG$11)&gt;($C93/AG$13),$C91/AG$11,$C93/AG$13),0)</f>
        <v>3</v>
      </c>
    </row>
    <row r="94" spans="1:33">
      <c r="A94" s="96"/>
      <c r="B94" s="73" t="s">
        <v>54</v>
      </c>
      <c r="C94" s="76">
        <f>VLOOKUP(C88,inv_Dados,19,0)</f>
        <v>600</v>
      </c>
      <c r="E94" s="75" t="s">
        <v>55</v>
      </c>
      <c r="F94" s="75">
        <f>TRUNC(IF(($C92/F$12)&gt;($C94/F$14),$C94/F$14,$C92/F$12),0)</f>
        <v>11</v>
      </c>
      <c r="H94" s="75" t="s">
        <v>55</v>
      </c>
      <c r="I94" s="75">
        <f>TRUNC(IF(($C92/I$12)&gt;($C94/I$14),$C94/I$14,$C92/I$12),0)</f>
        <v>11</v>
      </c>
      <c r="K94" s="75" t="s">
        <v>55</v>
      </c>
      <c r="L94" s="75">
        <f>TRUNC(IF(($C92/L$12)&gt;($C94/L$14),$C94/L$14,$C92/L$12),0)</f>
        <v>11</v>
      </c>
      <c r="N94" s="75" t="s">
        <v>55</v>
      </c>
      <c r="O94" s="75">
        <f>TRUNC(IF(($C92/O$12)&gt;($C94/O$14),$C94/O$14,$C92/O$12),0)</f>
        <v>12</v>
      </c>
      <c r="Q94" s="75" t="s">
        <v>55</v>
      </c>
      <c r="R94" s="75">
        <f>TRUNC(IF(($C92/R$12)&gt;($C94/R$14),$C94/R$14,$C92/R$12),0)</f>
        <v>11</v>
      </c>
      <c r="T94" s="75" t="s">
        <v>55</v>
      </c>
      <c r="U94" s="75">
        <f>TRUNC(IF(($C92/U$12)&gt;($C94/U$14),$C94/U$14,$C92/U$12),0)</f>
        <v>10</v>
      </c>
      <c r="W94" s="75" t="s">
        <v>55</v>
      </c>
      <c r="X94" s="75">
        <f>TRUNC(IF(($C92/X$12)&gt;($C94/X$14),$C94/X$14,$C92/X$12),0)</f>
        <v>10</v>
      </c>
      <c r="Z94" s="75" t="s">
        <v>55</v>
      </c>
      <c r="AA94" s="75">
        <f>TRUNC(IF(($C92/AA$12)&gt;($C94/AA$14),$C94/AA$14,$C92/AA$12),0)</f>
        <v>11</v>
      </c>
      <c r="AC94" s="75" t="s">
        <v>55</v>
      </c>
      <c r="AD94" s="75">
        <f>TRUNC(IF(($C92/AD$12)&gt;($C94/AD$14),$C94/AD$14,$C92/AD$12),0)</f>
        <v>11</v>
      </c>
      <c r="AF94" s="75" t="s">
        <v>55</v>
      </c>
      <c r="AG94" s="75">
        <f>TRUNC(IF(($C92/AG$12)&gt;($C94/AG$14),$C94/AG$14,$C92/AG$12),0)</f>
        <v>11</v>
      </c>
    </row>
    <row r="95" spans="1:33">
      <c r="A95" s="96"/>
      <c r="B95" s="73" t="s">
        <v>56</v>
      </c>
      <c r="C95" s="76">
        <f>VLOOKUP(C88,inv_Dados,22,0)</f>
        <v>90</v>
      </c>
      <c r="E95" s="75" t="s">
        <v>57</v>
      </c>
      <c r="F95" s="75">
        <f>ROUNDUP(IF(($C95/F$13)&gt;F93,$C95/F$13,F93),0)</f>
        <v>3</v>
      </c>
      <c r="H95" s="75" t="s">
        <v>57</v>
      </c>
      <c r="I95" s="75">
        <f>ROUNDUP(IF(($C95/I$13)&gt;I93,$C95/I$13,I93),0)</f>
        <v>3</v>
      </c>
      <c r="K95" s="75" t="s">
        <v>57</v>
      </c>
      <c r="L95" s="75">
        <f>ROUNDUP(IF(($C95/L$13)&gt;L93,$C95/L$13,L93),0)</f>
        <v>3</v>
      </c>
      <c r="N95" s="75" t="s">
        <v>57</v>
      </c>
      <c r="O95" s="75">
        <f>ROUNDUP(IF(($C95/O$13)&gt;O93,$C95/O$13,O93),0)</f>
        <v>3</v>
      </c>
      <c r="Q95" s="75" t="s">
        <v>57</v>
      </c>
      <c r="R95" s="75">
        <f>ROUNDUP(IF(($C95/R$13)&gt;R93,$C95/R$13,R93),0)</f>
        <v>3</v>
      </c>
      <c r="T95" s="75" t="s">
        <v>57</v>
      </c>
      <c r="U95" s="75">
        <f>ROUNDUP(IF(($C95/U$13)&gt;U93,$C95/U$13,U93),0)</f>
        <v>3</v>
      </c>
      <c r="W95" s="75" t="s">
        <v>57</v>
      </c>
      <c r="X95" s="75">
        <f>ROUNDUP(IF(($C95/X$13)&gt;X93,$C95/X$13,X93),0)</f>
        <v>3</v>
      </c>
      <c r="Z95" s="75" t="s">
        <v>57</v>
      </c>
      <c r="AA95" s="75">
        <f>ROUNDUP(IF(($C95/AA$13)&gt;AA93,$C95/AA$13,AA93),0)</f>
        <v>3</v>
      </c>
      <c r="AC95" s="75" t="s">
        <v>57</v>
      </c>
      <c r="AD95" s="75">
        <f>ROUNDUP(IF(($C95/AD$13)&gt;AD93,$C95/AD$13,AD93),0)</f>
        <v>3</v>
      </c>
      <c r="AF95" s="75" t="s">
        <v>57</v>
      </c>
      <c r="AG95" s="75">
        <f>ROUNDUP(IF(($C95/AG$13)&gt;AG93,$C95/AG$13,AG93),0)</f>
        <v>3</v>
      </c>
    </row>
    <row r="96" spans="1:33">
      <c r="A96" s="96"/>
      <c r="B96" s="73" t="s">
        <v>58</v>
      </c>
      <c r="C96" s="76">
        <f>VLOOKUP(C88,inv_Dados,21,0)</f>
        <v>560</v>
      </c>
      <c r="E96" s="75" t="s">
        <v>59</v>
      </c>
      <c r="F96" s="75">
        <f>TRUNC(IF(($C96/F$14)&gt;F94,F94,$C96/F$14),0)</f>
        <v>11</v>
      </c>
      <c r="H96" s="75" t="s">
        <v>59</v>
      </c>
      <c r="I96" s="75">
        <f>TRUNC(IF(($C96/I$14)&gt;I94,I94,$C96/I$14),0)</f>
        <v>11</v>
      </c>
      <c r="K96" s="75" t="s">
        <v>59</v>
      </c>
      <c r="L96" s="75">
        <f>TRUNC(IF(($C96/L$14)&gt;L94,L94,$C96/L$14),0)</f>
        <v>11</v>
      </c>
      <c r="N96" s="75" t="s">
        <v>59</v>
      </c>
      <c r="O96" s="75">
        <f>TRUNC(IF(($C96/O$14)&gt;O94,O94,$C96/O$14),0)</f>
        <v>12</v>
      </c>
      <c r="Q96" s="75" t="s">
        <v>59</v>
      </c>
      <c r="R96" s="75">
        <f>TRUNC(IF(($C96/R$14)&gt;R94,R94,$C96/R$14),0)</f>
        <v>11</v>
      </c>
      <c r="T96" s="75" t="s">
        <v>59</v>
      </c>
      <c r="U96" s="75">
        <f>TRUNC(IF(($C96/U$14)&gt;U94,U94,$C96/U$14),0)</f>
        <v>10</v>
      </c>
      <c r="W96" s="75" t="s">
        <v>59</v>
      </c>
      <c r="X96" s="75">
        <f>TRUNC(IF(($C96/X$14)&gt;X94,X94,$C96/X$14),0)</f>
        <v>10</v>
      </c>
      <c r="Z96" s="75" t="s">
        <v>59</v>
      </c>
      <c r="AA96" s="75">
        <f>TRUNC(IF(($C96/AA$14)&gt;AA94,AA94,$C96/AA$14),0)</f>
        <v>11</v>
      </c>
      <c r="AC96" s="75" t="s">
        <v>59</v>
      </c>
      <c r="AD96" s="75">
        <f>TRUNC(IF(($C96/AD$14)&gt;AD94,AD94,$C96/AD$14),0)</f>
        <v>11</v>
      </c>
      <c r="AF96" s="75" t="s">
        <v>59</v>
      </c>
      <c r="AG96" s="75">
        <f>TRUNC(IF(($C96/AG$14)&gt;AG94,AG94,$C96/AG$14),0)</f>
        <v>11</v>
      </c>
    </row>
    <row r="97" spans="1:33">
      <c r="A97" s="96"/>
      <c r="B97" s="73" t="s">
        <v>60</v>
      </c>
      <c r="C97" s="76">
        <f>VLOOKUP(C88,inv_Dados,24,0)</f>
        <v>18</v>
      </c>
      <c r="E97" s="75" t="s">
        <v>61</v>
      </c>
      <c r="F97" s="75">
        <f>IF(($C100*F91*F96*F$3)&gt;($C90*(1+$B$10/100)),INT(($C90*(1+$B$10/100))/F$3),F96*$C100*F91)</f>
        <v>8</v>
      </c>
      <c r="H97" s="75" t="s">
        <v>61</v>
      </c>
      <c r="I97" s="75">
        <f>IF(($C100*I91*I96*I$3)&gt;($C90*(1+$B$10/100)),INT(($C90*(1+$B$10/100))/I$3),I96*$C100*I91)</f>
        <v>8</v>
      </c>
      <c r="K97" s="75" t="s">
        <v>61</v>
      </c>
      <c r="L97" s="75">
        <f>IF(($C100*L91*L96*L$3)&gt;($C90*(1+$B$10/100)),INT(($C90*(1+$B$10/100))/L$3),L96*$C100*L91)</f>
        <v>8</v>
      </c>
      <c r="N97" s="75" t="s">
        <v>61</v>
      </c>
      <c r="O97" s="75">
        <f>IF(($C100*O91*O96*O$3)&gt;($C90*(1+$B$10/100)),INT(($C90*(1+$B$10/100))/O$3),O96*$C100*O91)</f>
        <v>0</v>
      </c>
      <c r="Q97" s="75" t="s">
        <v>61</v>
      </c>
      <c r="R97" s="75">
        <f>IF(($C100*R91*R96*R$3)&gt;($C90*(1+$B$10/100)),INT(($C90*(1+$B$10/100))/R$3),R96*$C100*R91)</f>
        <v>7</v>
      </c>
      <c r="T97" s="75" t="s">
        <v>61</v>
      </c>
      <c r="U97" s="75">
        <f>IF(($C100*U91*U96*U$3)&gt;($C90*(1+$B$10/100)),INT(($C90*(1+$B$10/100))/U$3),U96*$C100*U91)</f>
        <v>7</v>
      </c>
      <c r="W97" s="75" t="s">
        <v>61</v>
      </c>
      <c r="X97" s="75">
        <f>IF(($C100*X91*X96*X$3)&gt;($C90*(1+$B$10/100)),INT(($C90*(1+$B$10/100))/X$3),X96*$C100*X91)</f>
        <v>0</v>
      </c>
      <c r="Z97" s="75" t="s">
        <v>61</v>
      </c>
      <c r="AA97" s="75">
        <f>IF(($C100*AA91*AA96*AA$3)&gt;($C90*(1+$B$10/100)),INT(($C90*(1+$B$10/100))/AA$3),AA96*$C100*AA91)</f>
        <v>0</v>
      </c>
      <c r="AC97" s="75" t="s">
        <v>61</v>
      </c>
      <c r="AD97" s="75">
        <f>IF(($C100*AD91*AD96*AD$3)&gt;($C90*(1+$B$10/100)),INT(($C90*(1+$B$10/100))/AD$3),AD96*$C100*AD91)</f>
        <v>0</v>
      </c>
      <c r="AF97" s="75" t="s">
        <v>61</v>
      </c>
      <c r="AG97" s="75">
        <f>IF(($C100*AG91*AG96*AG$3)&gt;($C90*(1+$B$10/100)),INT(($C90*(1+$B$10/100))/AG$3),AG96*$C100*AG91)</f>
        <v>7</v>
      </c>
    </row>
    <row r="98" spans="1:33">
      <c r="A98" s="96"/>
      <c r="B98" s="73" t="s">
        <v>62</v>
      </c>
      <c r="C98" s="76">
        <f>VLOOKUP(C88,inv_Dados,25,0)</f>
        <v>12.5</v>
      </c>
      <c r="E98" s="75" t="s">
        <v>63</v>
      </c>
      <c r="F98" s="75">
        <f>F97*F$3</f>
        <v>4400</v>
      </c>
      <c r="H98" s="75" t="s">
        <v>63</v>
      </c>
      <c r="I98" s="75">
        <f>I97*I$3</f>
        <v>4400</v>
      </c>
      <c r="K98" s="75" t="s">
        <v>63</v>
      </c>
      <c r="L98" s="75">
        <f>L97*L$3</f>
        <v>4440</v>
      </c>
      <c r="N98" s="75" t="s">
        <v>63</v>
      </c>
      <c r="O98" s="75">
        <f>O97*O$3</f>
        <v>0</v>
      </c>
      <c r="Q98" s="75" t="s">
        <v>63</v>
      </c>
      <c r="R98" s="75">
        <f>R97*R$3</f>
        <v>3990</v>
      </c>
      <c r="T98" s="75" t="s">
        <v>63</v>
      </c>
      <c r="U98" s="75">
        <f>U97*U$3</f>
        <v>4095</v>
      </c>
      <c r="W98" s="75" t="s">
        <v>63</v>
      </c>
      <c r="X98" s="75">
        <f>X97*X$3</f>
        <v>0</v>
      </c>
      <c r="Z98" s="75" t="s">
        <v>63</v>
      </c>
      <c r="AA98" s="75">
        <f>AA97*AA$3</f>
        <v>0</v>
      </c>
      <c r="AC98" s="75" t="s">
        <v>63</v>
      </c>
      <c r="AD98" s="75">
        <f>AD97*AD$3</f>
        <v>0</v>
      </c>
      <c r="AF98" s="75" t="s">
        <v>63</v>
      </c>
      <c r="AG98" s="75">
        <f>AG97*AG$3</f>
        <v>4025</v>
      </c>
    </row>
    <row r="99" spans="1:33">
      <c r="A99" s="96"/>
      <c r="B99" s="73" t="s">
        <v>44</v>
      </c>
      <c r="C99" s="76">
        <f>VLOOKUP(C88,inv_Dados,15,0)</f>
        <v>1</v>
      </c>
      <c r="E99" s="72"/>
      <c r="F99" s="64"/>
      <c r="H99" s="72"/>
      <c r="I99" s="64"/>
      <c r="K99" s="72"/>
      <c r="L99" s="64"/>
      <c r="N99" s="72"/>
      <c r="O99" s="64"/>
      <c r="Q99" s="72"/>
      <c r="R99" s="64"/>
      <c r="T99" s="72"/>
      <c r="U99" s="64"/>
      <c r="W99" s="72"/>
      <c r="X99" s="64"/>
      <c r="Z99" s="72"/>
      <c r="AA99" s="64"/>
      <c r="AC99" s="72"/>
      <c r="AD99" s="64"/>
      <c r="AF99" s="72"/>
      <c r="AG99" s="64"/>
    </row>
    <row r="100" spans="1:33">
      <c r="A100" s="96"/>
      <c r="B100" s="73" t="s">
        <v>64</v>
      </c>
      <c r="C100" s="76">
        <f>VLOOKUP(C88,inv_Dados,16,0)</f>
        <v>2</v>
      </c>
      <c r="E100" s="72"/>
      <c r="F100" s="64"/>
      <c r="H100" s="72"/>
      <c r="I100" s="64"/>
      <c r="K100" s="72"/>
      <c r="L100" s="64"/>
      <c r="N100" s="72"/>
      <c r="O100" s="64"/>
      <c r="Q100" s="72"/>
      <c r="R100" s="64"/>
      <c r="T100" s="72"/>
      <c r="U100" s="64"/>
      <c r="W100" s="72"/>
      <c r="X100" s="64"/>
      <c r="Z100" s="72"/>
      <c r="AA100" s="64"/>
      <c r="AC100" s="72"/>
      <c r="AD100" s="64"/>
      <c r="AF100" s="72"/>
      <c r="AG100" s="64"/>
    </row>
    <row r="101" spans="1:33" s="60" customFormat="1">
      <c r="A101" s="96"/>
      <c r="C101" s="71"/>
      <c r="E101" s="72"/>
      <c r="F101" s="64"/>
      <c r="G101" s="64"/>
      <c r="H101" s="72"/>
      <c r="I101" s="64"/>
      <c r="J101" s="64"/>
      <c r="K101" s="72"/>
      <c r="L101" s="64"/>
      <c r="M101" s="64"/>
      <c r="N101" s="72"/>
      <c r="O101" s="64"/>
      <c r="P101" s="64"/>
      <c r="Q101" s="72"/>
      <c r="R101" s="64"/>
      <c r="S101" s="64"/>
      <c r="T101" s="72"/>
      <c r="U101" s="64"/>
      <c r="V101" s="64"/>
      <c r="W101" s="72"/>
      <c r="X101" s="64"/>
      <c r="Y101" s="64"/>
      <c r="Z101" s="72"/>
      <c r="AA101" s="64"/>
      <c r="AB101" s="64"/>
      <c r="AC101" s="72"/>
      <c r="AD101" s="64"/>
      <c r="AE101" s="64"/>
      <c r="AF101" s="72"/>
      <c r="AG101" s="64"/>
    </row>
    <row r="102" spans="1:33">
      <c r="A102" s="96"/>
      <c r="B102" s="73" t="s">
        <v>43</v>
      </c>
      <c r="C102" s="74" t="str">
        <f>'Compare Inversores'!A9</f>
        <v>SIW300H M060 L1</v>
      </c>
      <c r="E102" s="75" t="s">
        <v>44</v>
      </c>
      <c r="F102" s="75">
        <f>$C113</f>
        <v>1</v>
      </c>
      <c r="H102" s="75" t="s">
        <v>44</v>
      </c>
      <c r="I102" s="75">
        <f>$C113</f>
        <v>1</v>
      </c>
      <c r="K102" s="75" t="s">
        <v>44</v>
      </c>
      <c r="L102" s="75">
        <f>$C113</f>
        <v>1</v>
      </c>
      <c r="N102" s="75" t="s">
        <v>44</v>
      </c>
      <c r="O102" s="75">
        <f>$C113</f>
        <v>1</v>
      </c>
      <c r="Q102" s="75" t="s">
        <v>44</v>
      </c>
      <c r="R102" s="75">
        <f>$C113</f>
        <v>1</v>
      </c>
      <c r="T102" s="75" t="s">
        <v>44</v>
      </c>
      <c r="U102" s="75">
        <f>$C113</f>
        <v>1</v>
      </c>
      <c r="W102" s="75" t="s">
        <v>44</v>
      </c>
      <c r="X102" s="75">
        <f>$C113</f>
        <v>1</v>
      </c>
      <c r="Z102" s="75" t="s">
        <v>44</v>
      </c>
      <c r="AA102" s="75">
        <f>$C113</f>
        <v>1</v>
      </c>
      <c r="AC102" s="75" t="s">
        <v>44</v>
      </c>
      <c r="AD102" s="75">
        <f>$C113</f>
        <v>1</v>
      </c>
      <c r="AF102" s="75" t="s">
        <v>44</v>
      </c>
      <c r="AG102" s="75">
        <f>$C113</f>
        <v>1</v>
      </c>
    </row>
    <row r="103" spans="1:33">
      <c r="A103" s="96"/>
      <c r="B103" s="73" t="s">
        <v>45</v>
      </c>
      <c r="C103" s="76">
        <f>VLOOKUP(C102,inv_Dados,13,0)</f>
        <v>6000</v>
      </c>
      <c r="E103" s="75" t="s">
        <v>46</v>
      </c>
      <c r="F103" s="75">
        <f>TRUNC($C111/F$15)</f>
        <v>1</v>
      </c>
      <c r="H103" s="75" t="s">
        <v>46</v>
      </c>
      <c r="I103" s="75">
        <f>TRUNC($C111/I$15)</f>
        <v>1</v>
      </c>
      <c r="K103" s="75" t="s">
        <v>46</v>
      </c>
      <c r="L103" s="75">
        <f>TRUNC($C111/L$15)</f>
        <v>1</v>
      </c>
      <c r="N103" s="75" t="s">
        <v>46</v>
      </c>
      <c r="O103" s="75">
        <f>TRUNC($C111/O$15)</f>
        <v>1</v>
      </c>
      <c r="Q103" s="75" t="s">
        <v>46</v>
      </c>
      <c r="R103" s="75">
        <f>TRUNC($C111/R$15)</f>
        <v>1</v>
      </c>
      <c r="T103" s="75" t="s">
        <v>46</v>
      </c>
      <c r="U103" s="75">
        <f>TRUNC($C111/U$15)</f>
        <v>1</v>
      </c>
      <c r="W103" s="75" t="s">
        <v>46</v>
      </c>
      <c r="X103" s="75">
        <f>TRUNC($C111/X$15)</f>
        <v>1</v>
      </c>
      <c r="Z103" s="75" t="s">
        <v>46</v>
      </c>
      <c r="AA103" s="75">
        <f>TRUNC($C111/AA$15)</f>
        <v>1</v>
      </c>
      <c r="AC103" s="75" t="s">
        <v>46</v>
      </c>
      <c r="AD103" s="75">
        <f>TRUNC($C111/AD$15)</f>
        <v>0</v>
      </c>
      <c r="AF103" s="75" t="s">
        <v>46</v>
      </c>
      <c r="AG103" s="75">
        <f>TRUNC($C111/AG$15)</f>
        <v>1</v>
      </c>
    </row>
    <row r="104" spans="1:33">
      <c r="A104" s="96"/>
      <c r="B104" s="73" t="s">
        <v>47</v>
      </c>
      <c r="C104" s="76">
        <f>C103*(1+VLOOKUP(C102,inv_Dados,33,0)/100)</f>
        <v>9000</v>
      </c>
      <c r="E104" s="75" t="s">
        <v>48</v>
      </c>
      <c r="F104" s="75">
        <f>TRUNC($C112*(1+$B$12/100)/F$16)</f>
        <v>1</v>
      </c>
      <c r="H104" s="75" t="s">
        <v>48</v>
      </c>
      <c r="I104" s="75">
        <f>TRUNC($C112*(1+$B$12/100)/I$16)</f>
        <v>1</v>
      </c>
      <c r="K104" s="75" t="s">
        <v>48</v>
      </c>
      <c r="L104" s="75">
        <f>TRUNC($C112*(1+$B$12/100)/L$16)</f>
        <v>1</v>
      </c>
      <c r="N104" s="75" t="s">
        <v>48</v>
      </c>
      <c r="O104" s="75">
        <f>TRUNC($C112*(1+$B$12/100)/O$16)</f>
        <v>0</v>
      </c>
      <c r="Q104" s="75" t="s">
        <v>48</v>
      </c>
      <c r="R104" s="75">
        <f>TRUNC($C112*(1+$B$12/100)/R$16)</f>
        <v>1</v>
      </c>
      <c r="T104" s="75" t="s">
        <v>48</v>
      </c>
      <c r="U104" s="75">
        <f>TRUNC($C112*(1+$B$12/100)/U$16)</f>
        <v>1</v>
      </c>
      <c r="W104" s="75" t="s">
        <v>48</v>
      </c>
      <c r="X104" s="75">
        <f>TRUNC($C112*(1+$B$12/100)/X$16)</f>
        <v>0</v>
      </c>
      <c r="Z104" s="75" t="s">
        <v>48</v>
      </c>
      <c r="AA104" s="75">
        <f>TRUNC($C112*(1+$B$12/100)/AA$16)</f>
        <v>0</v>
      </c>
      <c r="AC104" s="75" t="s">
        <v>48</v>
      </c>
      <c r="AD104" s="75">
        <f>TRUNC($C112*(1+$B$12/100)/AD$16)</f>
        <v>0</v>
      </c>
      <c r="AF104" s="75" t="s">
        <v>48</v>
      </c>
      <c r="AG104" s="75">
        <f>TRUNC($C112*(1+$B$12/100)/AG$16)</f>
        <v>1</v>
      </c>
    </row>
    <row r="105" spans="1:33">
      <c r="A105" s="96"/>
      <c r="B105" s="73" t="s">
        <v>49</v>
      </c>
      <c r="C105" s="76">
        <f>VLOOKUP(C102,inv_Dados,18,0)</f>
        <v>100</v>
      </c>
      <c r="E105" s="75" t="s">
        <v>50</v>
      </c>
      <c r="F105" s="75">
        <f>SMALL(F102:F104,1)</f>
        <v>1</v>
      </c>
      <c r="H105" s="75" t="s">
        <v>50</v>
      </c>
      <c r="I105" s="75">
        <f>SMALL(I102:I104,1)</f>
        <v>1</v>
      </c>
      <c r="K105" s="75" t="s">
        <v>50</v>
      </c>
      <c r="L105" s="75">
        <f>SMALL(L102:L104,1)</f>
        <v>1</v>
      </c>
      <c r="N105" s="75" t="s">
        <v>50</v>
      </c>
      <c r="O105" s="75">
        <f>SMALL(O102:O104,1)</f>
        <v>0</v>
      </c>
      <c r="Q105" s="75" t="s">
        <v>50</v>
      </c>
      <c r="R105" s="75">
        <f>SMALL(R102:R104,1)</f>
        <v>1</v>
      </c>
      <c r="T105" s="75" t="s">
        <v>50</v>
      </c>
      <c r="U105" s="75">
        <f>SMALL(U102:U104,1)</f>
        <v>1</v>
      </c>
      <c r="W105" s="75" t="s">
        <v>50</v>
      </c>
      <c r="X105" s="75">
        <f>SMALL(X102:X104,1)</f>
        <v>0</v>
      </c>
      <c r="Z105" s="75" t="s">
        <v>50</v>
      </c>
      <c r="AA105" s="75">
        <f>SMALL(AA102:AA104,1)</f>
        <v>0</v>
      </c>
      <c r="AC105" s="75" t="s">
        <v>50</v>
      </c>
      <c r="AD105" s="75">
        <f>SMALL(AD102:AD104,1)</f>
        <v>0</v>
      </c>
      <c r="AF105" s="75" t="s">
        <v>50</v>
      </c>
      <c r="AG105" s="75">
        <f>SMALL(AG102:AG104,1)</f>
        <v>1</v>
      </c>
    </row>
    <row r="106" spans="1:33">
      <c r="A106" s="96"/>
      <c r="B106" s="73" t="s">
        <v>51</v>
      </c>
      <c r="C106" s="76">
        <f>VLOOKUP(C102,inv_Dados,17,0)</f>
        <v>600</v>
      </c>
      <c r="E106" s="75"/>
      <c r="F106" s="75"/>
      <c r="H106" s="75"/>
      <c r="I106" s="75"/>
      <c r="K106" s="75"/>
      <c r="L106" s="75"/>
      <c r="N106" s="75"/>
      <c r="O106" s="75"/>
      <c r="Q106" s="75"/>
      <c r="R106" s="75"/>
      <c r="T106" s="75"/>
      <c r="U106" s="75"/>
      <c r="W106" s="75"/>
      <c r="X106" s="75"/>
      <c r="Z106" s="75"/>
      <c r="AA106" s="75"/>
      <c r="AC106" s="75"/>
      <c r="AD106" s="75"/>
      <c r="AF106" s="75"/>
      <c r="AG106" s="75"/>
    </row>
    <row r="107" spans="1:33">
      <c r="A107" s="96"/>
      <c r="B107" s="73" t="s">
        <v>52</v>
      </c>
      <c r="C107" s="76">
        <f>VLOOKUP(C102,inv_Dados,20,0)</f>
        <v>90</v>
      </c>
      <c r="E107" s="75" t="s">
        <v>53</v>
      </c>
      <c r="F107" s="75">
        <f>ROUNDUP(IF(($C105/F$11)&gt;($C107/F$13),$C105/F$11,$C107/F$13),0)</f>
        <v>3</v>
      </c>
      <c r="H107" s="75" t="s">
        <v>53</v>
      </c>
      <c r="I107" s="75">
        <f>ROUNDUP(IF(($C105/I$11)&gt;($C107/I$13),$C105/I$11,$C107/I$13),0)</f>
        <v>3</v>
      </c>
      <c r="K107" s="75" t="s">
        <v>53</v>
      </c>
      <c r="L107" s="75">
        <f>ROUNDUP(IF(($C105/L$11)&gt;($C107/L$13),$C105/L$11,$C107/L$13),0)</f>
        <v>3</v>
      </c>
      <c r="N107" s="75" t="s">
        <v>53</v>
      </c>
      <c r="O107" s="75">
        <f>ROUNDUP(IF(($C105/O$11)&gt;($C107/O$13),$C105/O$11,$C107/O$13),0)</f>
        <v>3</v>
      </c>
      <c r="Q107" s="75" t="s">
        <v>53</v>
      </c>
      <c r="R107" s="75">
        <f>ROUNDUP(IF(($C105/R$11)&gt;($C107/R$13),$C105/R$11,$C107/R$13),0)</f>
        <v>3</v>
      </c>
      <c r="T107" s="75" t="s">
        <v>53</v>
      </c>
      <c r="U107" s="75">
        <f>ROUNDUP(IF(($C105/U$11)&gt;($C107/U$13),$C105/U$11,$C107/U$13),0)</f>
        <v>3</v>
      </c>
      <c r="W107" s="75" t="s">
        <v>53</v>
      </c>
      <c r="X107" s="75">
        <f>ROUNDUP(IF(($C105/X$11)&gt;($C107/X$13),$C105/X$11,$C107/X$13),0)</f>
        <v>3</v>
      </c>
      <c r="Z107" s="75" t="s">
        <v>53</v>
      </c>
      <c r="AA107" s="75">
        <f>ROUNDUP(IF(($C105/AA$11)&gt;($C107/AA$13),$C105/AA$11,$C107/AA$13),0)</f>
        <v>3</v>
      </c>
      <c r="AC107" s="75" t="s">
        <v>53</v>
      </c>
      <c r="AD107" s="75">
        <f>ROUNDUP(IF(($C105/AD$11)&gt;($C107/AD$13),$C105/AD$11,$C107/AD$13),0)</f>
        <v>3</v>
      </c>
      <c r="AF107" s="75" t="s">
        <v>53</v>
      </c>
      <c r="AG107" s="75">
        <f>ROUNDUP(IF(($C105/AG$11)&gt;($C107/AG$13),$C105/AG$11,$C107/AG$13),0)</f>
        <v>3</v>
      </c>
    </row>
    <row r="108" spans="1:33">
      <c r="A108" s="96"/>
      <c r="B108" s="73" t="s">
        <v>54</v>
      </c>
      <c r="C108" s="76">
        <f>VLOOKUP(C102,inv_Dados,19,0)</f>
        <v>600</v>
      </c>
      <c r="E108" s="75" t="s">
        <v>55</v>
      </c>
      <c r="F108" s="75">
        <f>TRUNC(IF(($C106/F$12)&gt;($C108/F$14),$C108/F$14,$C106/F$12),0)</f>
        <v>11</v>
      </c>
      <c r="H108" s="75" t="s">
        <v>55</v>
      </c>
      <c r="I108" s="75">
        <f>TRUNC(IF(($C106/I$12)&gt;($C108/I$14),$C108/I$14,$C106/I$12),0)</f>
        <v>11</v>
      </c>
      <c r="K108" s="75" t="s">
        <v>55</v>
      </c>
      <c r="L108" s="75">
        <f>TRUNC(IF(($C106/L$12)&gt;($C108/L$14),$C108/L$14,$C106/L$12),0)</f>
        <v>11</v>
      </c>
      <c r="N108" s="75" t="s">
        <v>55</v>
      </c>
      <c r="O108" s="75">
        <f>TRUNC(IF(($C106/O$12)&gt;($C108/O$14),$C108/O$14,$C106/O$12),0)</f>
        <v>12</v>
      </c>
      <c r="Q108" s="75" t="s">
        <v>55</v>
      </c>
      <c r="R108" s="75">
        <f>TRUNC(IF(($C106/R$12)&gt;($C108/R$14),$C108/R$14,$C106/R$12),0)</f>
        <v>11</v>
      </c>
      <c r="T108" s="75" t="s">
        <v>55</v>
      </c>
      <c r="U108" s="75">
        <f>TRUNC(IF(($C106/U$12)&gt;($C108/U$14),$C108/U$14,$C106/U$12),0)</f>
        <v>10</v>
      </c>
      <c r="W108" s="75" t="s">
        <v>55</v>
      </c>
      <c r="X108" s="75">
        <f>TRUNC(IF(($C106/X$12)&gt;($C108/X$14),$C108/X$14,$C106/X$12),0)</f>
        <v>10</v>
      </c>
      <c r="Z108" s="75" t="s">
        <v>55</v>
      </c>
      <c r="AA108" s="75">
        <f>TRUNC(IF(($C106/AA$12)&gt;($C108/AA$14),$C108/AA$14,$C106/AA$12),0)</f>
        <v>11</v>
      </c>
      <c r="AC108" s="75" t="s">
        <v>55</v>
      </c>
      <c r="AD108" s="75">
        <f>TRUNC(IF(($C106/AD$12)&gt;($C108/AD$14),$C108/AD$14,$C106/AD$12),0)</f>
        <v>11</v>
      </c>
      <c r="AF108" s="75" t="s">
        <v>55</v>
      </c>
      <c r="AG108" s="75">
        <f>TRUNC(IF(($C106/AG$12)&gt;($C108/AG$14),$C108/AG$14,$C106/AG$12),0)</f>
        <v>11</v>
      </c>
    </row>
    <row r="109" spans="1:33">
      <c r="A109" s="96"/>
      <c r="B109" s="73" t="s">
        <v>56</v>
      </c>
      <c r="C109" s="76">
        <f>VLOOKUP(C102,inv_Dados,22,0)</f>
        <v>90</v>
      </c>
      <c r="E109" s="75" t="s">
        <v>57</v>
      </c>
      <c r="F109" s="75">
        <f>ROUNDUP(IF(($C109/F$13)&gt;F107,$C109/F$13,F107),0)</f>
        <v>3</v>
      </c>
      <c r="H109" s="75" t="s">
        <v>57</v>
      </c>
      <c r="I109" s="75">
        <f>ROUNDUP(IF(($C109/I$13)&gt;I107,$C109/I$13,I107),0)</f>
        <v>3</v>
      </c>
      <c r="K109" s="75" t="s">
        <v>57</v>
      </c>
      <c r="L109" s="75">
        <f>ROUNDUP(IF(($C109/L$13)&gt;L107,$C109/L$13,L107),0)</f>
        <v>3</v>
      </c>
      <c r="N109" s="75" t="s">
        <v>57</v>
      </c>
      <c r="O109" s="75">
        <f>ROUNDUP(IF(($C109/O$13)&gt;O107,$C109/O$13,O107),0)</f>
        <v>3</v>
      </c>
      <c r="Q109" s="75" t="s">
        <v>57</v>
      </c>
      <c r="R109" s="75">
        <f>ROUNDUP(IF(($C109/R$13)&gt;R107,$C109/R$13,R107),0)</f>
        <v>3</v>
      </c>
      <c r="T109" s="75" t="s">
        <v>57</v>
      </c>
      <c r="U109" s="75">
        <f>ROUNDUP(IF(($C109/U$13)&gt;U107,$C109/U$13,U107),0)</f>
        <v>3</v>
      </c>
      <c r="W109" s="75" t="s">
        <v>57</v>
      </c>
      <c r="X109" s="75">
        <f>ROUNDUP(IF(($C109/X$13)&gt;X107,$C109/X$13,X107),0)</f>
        <v>3</v>
      </c>
      <c r="Z109" s="75" t="s">
        <v>57</v>
      </c>
      <c r="AA109" s="75">
        <f>ROUNDUP(IF(($C109/AA$13)&gt;AA107,$C109/AA$13,AA107),0)</f>
        <v>3</v>
      </c>
      <c r="AC109" s="75" t="s">
        <v>57</v>
      </c>
      <c r="AD109" s="75">
        <f>ROUNDUP(IF(($C109/AD$13)&gt;AD107,$C109/AD$13,AD107),0)</f>
        <v>3</v>
      </c>
      <c r="AF109" s="75" t="s">
        <v>57</v>
      </c>
      <c r="AG109" s="75">
        <f>ROUNDUP(IF(($C109/AG$13)&gt;AG107,$C109/AG$13,AG107),0)</f>
        <v>3</v>
      </c>
    </row>
    <row r="110" spans="1:33">
      <c r="A110" s="96"/>
      <c r="B110" s="73" t="s">
        <v>58</v>
      </c>
      <c r="C110" s="76">
        <f>VLOOKUP(C102,inv_Dados,21,0)</f>
        <v>560</v>
      </c>
      <c r="E110" s="75" t="s">
        <v>59</v>
      </c>
      <c r="F110" s="75">
        <f>TRUNC(IF(($C110/F$14)&gt;F108,F108,$C110/F$14),0)</f>
        <v>11</v>
      </c>
      <c r="H110" s="75" t="s">
        <v>59</v>
      </c>
      <c r="I110" s="75">
        <f>TRUNC(IF(($C110/I$14)&gt;I108,I108,$C110/I$14),0)</f>
        <v>11</v>
      </c>
      <c r="K110" s="75" t="s">
        <v>59</v>
      </c>
      <c r="L110" s="75">
        <f>TRUNC(IF(($C110/L$14)&gt;L108,L108,$C110/L$14),0)</f>
        <v>11</v>
      </c>
      <c r="N110" s="75" t="s">
        <v>59</v>
      </c>
      <c r="O110" s="75">
        <f>TRUNC(IF(($C110/O$14)&gt;O108,O108,$C110/O$14),0)</f>
        <v>12</v>
      </c>
      <c r="Q110" s="75" t="s">
        <v>59</v>
      </c>
      <c r="R110" s="75">
        <f>TRUNC(IF(($C110/R$14)&gt;R108,R108,$C110/R$14),0)</f>
        <v>11</v>
      </c>
      <c r="T110" s="75" t="s">
        <v>59</v>
      </c>
      <c r="U110" s="75">
        <f>TRUNC(IF(($C110/U$14)&gt;U108,U108,$C110/U$14),0)</f>
        <v>10</v>
      </c>
      <c r="W110" s="75" t="s">
        <v>59</v>
      </c>
      <c r="X110" s="75">
        <f>TRUNC(IF(($C110/X$14)&gt;X108,X108,$C110/X$14),0)</f>
        <v>10</v>
      </c>
      <c r="Z110" s="75" t="s">
        <v>59</v>
      </c>
      <c r="AA110" s="75">
        <f>TRUNC(IF(($C110/AA$14)&gt;AA108,AA108,$C110/AA$14),0)</f>
        <v>11</v>
      </c>
      <c r="AC110" s="75" t="s">
        <v>59</v>
      </c>
      <c r="AD110" s="75">
        <f>TRUNC(IF(($C110/AD$14)&gt;AD108,AD108,$C110/AD$14),0)</f>
        <v>11</v>
      </c>
      <c r="AF110" s="75" t="s">
        <v>59</v>
      </c>
      <c r="AG110" s="75">
        <f>TRUNC(IF(($C110/AG$14)&gt;AG108,AG108,$C110/AG$14),0)</f>
        <v>11</v>
      </c>
    </row>
    <row r="111" spans="1:33">
      <c r="A111" s="96"/>
      <c r="B111" s="73" t="s">
        <v>60</v>
      </c>
      <c r="C111" s="76">
        <f>VLOOKUP(C102,inv_Dados,24,0)</f>
        <v>18</v>
      </c>
      <c r="E111" s="75" t="s">
        <v>61</v>
      </c>
      <c r="F111" s="75">
        <f>IF(($C114*F105*F110*F$3)&gt;($C104*(1+$B$10/100)),INT(($C104*(1+$B$10/100))/F$3),F110*$C114*F105)</f>
        <v>16</v>
      </c>
      <c r="H111" s="75" t="s">
        <v>61</v>
      </c>
      <c r="I111" s="75">
        <f>IF(($C114*I105*I110*I$3)&gt;($C104*(1+$B$10/100)),INT(($C104*(1+$B$10/100))/I$3),I110*$C114*I105)</f>
        <v>16</v>
      </c>
      <c r="K111" s="75" t="s">
        <v>61</v>
      </c>
      <c r="L111" s="75">
        <f>IF(($C114*L105*L110*L$3)&gt;($C104*(1+$B$10/100)),INT(($C104*(1+$B$10/100))/L$3),L110*$C114*L105)</f>
        <v>16</v>
      </c>
      <c r="N111" s="75" t="s">
        <v>61</v>
      </c>
      <c r="O111" s="75">
        <f>IF(($C114*O105*O110*O$3)&gt;($C104*(1+$B$10/100)),INT(($C104*(1+$B$10/100))/O$3),O110*$C114*O105)</f>
        <v>0</v>
      </c>
      <c r="Q111" s="75" t="s">
        <v>61</v>
      </c>
      <c r="R111" s="75">
        <f>IF(($C114*R105*R110*R$3)&gt;($C104*(1+$B$10/100)),INT(($C104*(1+$B$10/100))/R$3),R110*$C114*R105)</f>
        <v>15</v>
      </c>
      <c r="T111" s="75" t="s">
        <v>61</v>
      </c>
      <c r="U111" s="75">
        <f>IF(($C114*U105*U110*U$3)&gt;($C104*(1+$B$10/100)),INT(($C104*(1+$B$10/100))/U$3),U110*$C114*U105)</f>
        <v>15</v>
      </c>
      <c r="W111" s="75" t="s">
        <v>61</v>
      </c>
      <c r="X111" s="75">
        <f>IF(($C114*X105*X110*X$3)&gt;($C104*(1+$B$10/100)),INT(($C104*(1+$B$10/100))/X$3),X110*$C114*X105)</f>
        <v>0</v>
      </c>
      <c r="Z111" s="75" t="s">
        <v>61</v>
      </c>
      <c r="AA111" s="75">
        <f>IF(($C114*AA105*AA110*AA$3)&gt;($C104*(1+$B$10/100)),INT(($C104*(1+$B$10/100))/AA$3),AA110*$C114*AA105)</f>
        <v>0</v>
      </c>
      <c r="AC111" s="75" t="s">
        <v>61</v>
      </c>
      <c r="AD111" s="75">
        <f>IF(($C114*AD105*AD110*AD$3)&gt;($C104*(1+$B$10/100)),INT(($C104*(1+$B$10/100))/AD$3),AD110*$C114*AD105)</f>
        <v>0</v>
      </c>
      <c r="AF111" s="75" t="s">
        <v>61</v>
      </c>
      <c r="AG111" s="75">
        <f>IF(($C114*AG105*AG110*AG$3)&gt;($C104*(1+$B$10/100)),INT(($C104*(1+$B$10/100))/AG$3),AG110*$C114*AG105)</f>
        <v>15</v>
      </c>
    </row>
    <row r="112" spans="1:33">
      <c r="A112" s="96"/>
      <c r="B112" s="73" t="s">
        <v>62</v>
      </c>
      <c r="C112" s="76">
        <f>VLOOKUP(C102,inv_Dados,25,0)</f>
        <v>12.5</v>
      </c>
      <c r="E112" s="75" t="s">
        <v>63</v>
      </c>
      <c r="F112" s="75">
        <f>F111*F$3</f>
        <v>8800</v>
      </c>
      <c r="H112" s="75" t="s">
        <v>63</v>
      </c>
      <c r="I112" s="75">
        <f>I111*I$3</f>
        <v>8800</v>
      </c>
      <c r="K112" s="75" t="s">
        <v>63</v>
      </c>
      <c r="L112" s="75">
        <f>L111*L$3</f>
        <v>8880</v>
      </c>
      <c r="N112" s="75" t="s">
        <v>63</v>
      </c>
      <c r="O112" s="75">
        <f>O111*O$3</f>
        <v>0</v>
      </c>
      <c r="Q112" s="75" t="s">
        <v>63</v>
      </c>
      <c r="R112" s="75">
        <f>R111*R$3</f>
        <v>8550</v>
      </c>
      <c r="T112" s="75" t="s">
        <v>63</v>
      </c>
      <c r="U112" s="75">
        <f>U111*U$3</f>
        <v>8775</v>
      </c>
      <c r="W112" s="75" t="s">
        <v>63</v>
      </c>
      <c r="X112" s="75">
        <f>X111*X$3</f>
        <v>0</v>
      </c>
      <c r="Z112" s="75" t="s">
        <v>63</v>
      </c>
      <c r="AA112" s="75">
        <f>AA111*AA$3</f>
        <v>0</v>
      </c>
      <c r="AC112" s="75" t="s">
        <v>63</v>
      </c>
      <c r="AD112" s="75">
        <f>AD111*AD$3</f>
        <v>0</v>
      </c>
      <c r="AF112" s="75" t="s">
        <v>63</v>
      </c>
      <c r="AG112" s="75">
        <f>AG111*AG$3</f>
        <v>8625</v>
      </c>
    </row>
    <row r="113" spans="1:33">
      <c r="A113" s="96"/>
      <c r="B113" s="73" t="s">
        <v>44</v>
      </c>
      <c r="C113" s="76">
        <f>VLOOKUP(C102,inv_Dados,15,0)</f>
        <v>1</v>
      </c>
      <c r="E113" s="72"/>
      <c r="F113" s="64"/>
      <c r="H113" s="72"/>
      <c r="I113" s="64"/>
      <c r="K113" s="72"/>
      <c r="L113" s="64"/>
      <c r="N113" s="72"/>
      <c r="O113" s="64"/>
      <c r="Q113" s="72"/>
      <c r="R113" s="64"/>
      <c r="T113" s="72"/>
      <c r="U113" s="64"/>
      <c r="W113" s="72"/>
      <c r="X113" s="64"/>
      <c r="Z113" s="72"/>
      <c r="AA113" s="64"/>
      <c r="AC113" s="72"/>
      <c r="AD113" s="64"/>
      <c r="AF113" s="72"/>
      <c r="AG113" s="64"/>
    </row>
    <row r="114" spans="1:33">
      <c r="A114" s="96"/>
      <c r="B114" s="73" t="s">
        <v>64</v>
      </c>
      <c r="C114" s="76">
        <f>VLOOKUP(C102,inv_Dados,16,0)</f>
        <v>2</v>
      </c>
      <c r="E114" s="72"/>
      <c r="F114" s="64"/>
      <c r="H114" s="72"/>
      <c r="I114" s="64"/>
      <c r="K114" s="72"/>
      <c r="L114" s="64"/>
      <c r="N114" s="72"/>
      <c r="O114" s="64"/>
      <c r="Q114" s="72"/>
      <c r="R114" s="64"/>
      <c r="T114" s="72"/>
      <c r="U114" s="64"/>
      <c r="W114" s="72"/>
      <c r="X114" s="64"/>
      <c r="Z114" s="72"/>
      <c r="AA114" s="64"/>
      <c r="AC114" s="72"/>
      <c r="AD114" s="64"/>
      <c r="AF114" s="72"/>
      <c r="AG114" s="64"/>
    </row>
    <row r="115" spans="1:33" s="60" customFormat="1">
      <c r="A115" s="96"/>
      <c r="C115" s="71"/>
      <c r="E115" s="72"/>
      <c r="F115" s="64"/>
      <c r="G115" s="64"/>
      <c r="H115" s="72"/>
      <c r="I115" s="64"/>
      <c r="J115" s="64"/>
      <c r="K115" s="72"/>
      <c r="L115" s="64"/>
      <c r="M115" s="64"/>
      <c r="N115" s="72"/>
      <c r="O115" s="64"/>
      <c r="P115" s="64"/>
      <c r="Q115" s="72"/>
      <c r="R115" s="64"/>
      <c r="S115" s="64"/>
      <c r="T115" s="72"/>
      <c r="U115" s="64"/>
      <c r="V115" s="64"/>
      <c r="W115" s="72"/>
      <c r="X115" s="64"/>
      <c r="Y115" s="64"/>
      <c r="Z115" s="72"/>
      <c r="AA115" s="64"/>
      <c r="AB115" s="64"/>
      <c r="AC115" s="72"/>
      <c r="AD115" s="64"/>
      <c r="AE115" s="64"/>
      <c r="AF115" s="72"/>
      <c r="AG115" s="64"/>
    </row>
    <row r="116" spans="1:33">
      <c r="A116" s="96"/>
      <c r="B116" s="73" t="s">
        <v>43</v>
      </c>
      <c r="C116" s="74" t="str">
        <f>'Compare Inversores'!A10</f>
        <v>SIW300H M075 W00</v>
      </c>
      <c r="E116" s="75" t="s">
        <v>44</v>
      </c>
      <c r="F116" s="75">
        <f>$C127</f>
        <v>1</v>
      </c>
      <c r="H116" s="75" t="s">
        <v>44</v>
      </c>
      <c r="I116" s="75">
        <f>$C127</f>
        <v>1</v>
      </c>
      <c r="K116" s="75" t="s">
        <v>44</v>
      </c>
      <c r="L116" s="75">
        <f>$C127</f>
        <v>1</v>
      </c>
      <c r="N116" s="75" t="s">
        <v>44</v>
      </c>
      <c r="O116" s="75">
        <f>$C127</f>
        <v>1</v>
      </c>
      <c r="Q116" s="75" t="s">
        <v>44</v>
      </c>
      <c r="R116" s="75">
        <f>$C127</f>
        <v>1</v>
      </c>
      <c r="T116" s="75" t="s">
        <v>44</v>
      </c>
      <c r="U116" s="75">
        <f>$C127</f>
        <v>1</v>
      </c>
      <c r="W116" s="75" t="s">
        <v>44</v>
      </c>
      <c r="X116" s="75">
        <f>$C127</f>
        <v>1</v>
      </c>
      <c r="Z116" s="75" t="s">
        <v>44</v>
      </c>
      <c r="AA116" s="75">
        <f>$C127</f>
        <v>1</v>
      </c>
      <c r="AC116" s="75" t="s">
        <v>44</v>
      </c>
      <c r="AD116" s="75">
        <f>$C127</f>
        <v>1</v>
      </c>
      <c r="AF116" s="75" t="s">
        <v>44</v>
      </c>
      <c r="AG116" s="75">
        <f>$C127</f>
        <v>1</v>
      </c>
    </row>
    <row r="117" spans="1:33">
      <c r="A117" s="96"/>
      <c r="B117" s="73" t="s">
        <v>45</v>
      </c>
      <c r="C117" s="76">
        <f>VLOOKUP(C116,inv_Dados,13,0)</f>
        <v>7500</v>
      </c>
      <c r="E117" s="75" t="s">
        <v>46</v>
      </c>
      <c r="F117" s="75">
        <f>TRUNC($C125/F$15)</f>
        <v>1</v>
      </c>
      <c r="H117" s="75" t="s">
        <v>46</v>
      </c>
      <c r="I117" s="75">
        <f>TRUNC($C125/I$15)</f>
        <v>1</v>
      </c>
      <c r="K117" s="75" t="s">
        <v>46</v>
      </c>
      <c r="L117" s="75">
        <f>TRUNC($C125/L$15)</f>
        <v>1</v>
      </c>
      <c r="N117" s="75" t="s">
        <v>46</v>
      </c>
      <c r="O117" s="75">
        <f>TRUNC($C125/O$15)</f>
        <v>1</v>
      </c>
      <c r="Q117" s="75" t="s">
        <v>46</v>
      </c>
      <c r="R117" s="75">
        <f>TRUNC($C125/R$15)</f>
        <v>1</v>
      </c>
      <c r="T117" s="75" t="s">
        <v>46</v>
      </c>
      <c r="U117" s="75">
        <f>TRUNC($C125/U$15)</f>
        <v>1</v>
      </c>
      <c r="W117" s="75" t="s">
        <v>46</v>
      </c>
      <c r="X117" s="75">
        <f>TRUNC($C125/X$15)</f>
        <v>1</v>
      </c>
      <c r="Z117" s="75" t="s">
        <v>46</v>
      </c>
      <c r="AA117" s="75">
        <f>TRUNC($C125/AA$15)</f>
        <v>1</v>
      </c>
      <c r="AC117" s="75" t="s">
        <v>46</v>
      </c>
      <c r="AD117" s="75">
        <f>TRUNC($C125/AD$15)</f>
        <v>1</v>
      </c>
      <c r="AF117" s="75" t="s">
        <v>46</v>
      </c>
      <c r="AG117" s="75">
        <f>TRUNC($C125/AG$15)</f>
        <v>1</v>
      </c>
    </row>
    <row r="118" spans="1:33">
      <c r="A118" s="96"/>
      <c r="B118" s="73" t="s">
        <v>47</v>
      </c>
      <c r="C118" s="76">
        <f>C117*(1+VLOOKUP(C116,inv_Dados,33,0)/100)</f>
        <v>11250</v>
      </c>
      <c r="E118" s="75" t="s">
        <v>48</v>
      </c>
      <c r="F118" s="75">
        <f>TRUNC($C126*(1+$B$12/100)/F$16)</f>
        <v>1</v>
      </c>
      <c r="H118" s="75" t="s">
        <v>48</v>
      </c>
      <c r="I118" s="75">
        <f>TRUNC($C126*(1+$B$12/100)/I$16)</f>
        <v>1</v>
      </c>
      <c r="K118" s="75" t="s">
        <v>48</v>
      </c>
      <c r="L118" s="75">
        <f>TRUNC($C126*(1+$B$12/100)/L$16)</f>
        <v>1</v>
      </c>
      <c r="N118" s="75" t="s">
        <v>48</v>
      </c>
      <c r="O118" s="75">
        <f>TRUNC($C126*(1+$B$12/100)/O$16)</f>
        <v>1</v>
      </c>
      <c r="Q118" s="75" t="s">
        <v>48</v>
      </c>
      <c r="R118" s="75">
        <f>TRUNC($C126*(1+$B$12/100)/R$16)</f>
        <v>1</v>
      </c>
      <c r="T118" s="75" t="s">
        <v>48</v>
      </c>
      <c r="U118" s="75">
        <f>TRUNC($C126*(1+$B$12/100)/U$16)</f>
        <v>1</v>
      </c>
      <c r="W118" s="75" t="s">
        <v>48</v>
      </c>
      <c r="X118" s="75">
        <f>TRUNC($C126*(1+$B$12/100)/X$16)</f>
        <v>1</v>
      </c>
      <c r="Z118" s="75" t="s">
        <v>48</v>
      </c>
      <c r="AA118" s="75">
        <f>TRUNC($C126*(1+$B$12/100)/AA$16)</f>
        <v>1</v>
      </c>
      <c r="AC118" s="75" t="s">
        <v>48</v>
      </c>
      <c r="AD118" s="75">
        <f>TRUNC($C126*(1+$B$12/100)/AD$16)</f>
        <v>1</v>
      </c>
      <c r="AF118" s="75" t="s">
        <v>48</v>
      </c>
      <c r="AG118" s="75">
        <f>TRUNC($C126*(1+$B$12/100)/AG$16)</f>
        <v>1</v>
      </c>
    </row>
    <row r="119" spans="1:33">
      <c r="A119" s="96"/>
      <c r="B119" s="73" t="s">
        <v>49</v>
      </c>
      <c r="C119" s="76">
        <f>VLOOKUP(C116,inv_Dados,18,0)</f>
        <v>50</v>
      </c>
      <c r="E119" s="75" t="s">
        <v>50</v>
      </c>
      <c r="F119" s="75">
        <f>SMALL(F116:F118,1)</f>
        <v>1</v>
      </c>
      <c r="H119" s="75" t="s">
        <v>50</v>
      </c>
      <c r="I119" s="75">
        <f>SMALL(I116:I118,1)</f>
        <v>1</v>
      </c>
      <c r="K119" s="75" t="s">
        <v>50</v>
      </c>
      <c r="L119" s="75">
        <f>SMALL(L116:L118,1)</f>
        <v>1</v>
      </c>
      <c r="N119" s="75" t="s">
        <v>50</v>
      </c>
      <c r="O119" s="75">
        <f>SMALL(O116:O118,1)</f>
        <v>1</v>
      </c>
      <c r="Q119" s="75" t="s">
        <v>50</v>
      </c>
      <c r="R119" s="75">
        <f>SMALL(R116:R118,1)</f>
        <v>1</v>
      </c>
      <c r="T119" s="75" t="s">
        <v>50</v>
      </c>
      <c r="U119" s="75">
        <f>SMALL(U116:U118,1)</f>
        <v>1</v>
      </c>
      <c r="W119" s="75" t="s">
        <v>50</v>
      </c>
      <c r="X119" s="75">
        <f>SMALL(X116:X118,1)</f>
        <v>1</v>
      </c>
      <c r="Z119" s="75" t="s">
        <v>50</v>
      </c>
      <c r="AA119" s="75">
        <f>SMALL(AA116:AA118,1)</f>
        <v>1</v>
      </c>
      <c r="AC119" s="75" t="s">
        <v>50</v>
      </c>
      <c r="AD119" s="75">
        <f>SMALL(AD116:AD118,1)</f>
        <v>1</v>
      </c>
      <c r="AF119" s="75" t="s">
        <v>50</v>
      </c>
      <c r="AG119" s="75">
        <f>SMALL(AG116:AG118,1)</f>
        <v>1</v>
      </c>
    </row>
    <row r="120" spans="1:33">
      <c r="A120" s="96"/>
      <c r="B120" s="73" t="s">
        <v>51</v>
      </c>
      <c r="C120" s="76">
        <f>VLOOKUP(C116,inv_Dados,17,0)</f>
        <v>600</v>
      </c>
      <c r="E120" s="75"/>
      <c r="F120" s="75"/>
      <c r="H120" s="75"/>
      <c r="I120" s="75"/>
      <c r="K120" s="75"/>
      <c r="L120" s="75"/>
      <c r="N120" s="75"/>
      <c r="O120" s="75"/>
      <c r="Q120" s="75"/>
      <c r="R120" s="75"/>
      <c r="T120" s="75"/>
      <c r="U120" s="75"/>
      <c r="W120" s="75"/>
      <c r="X120" s="75"/>
      <c r="Z120" s="75"/>
      <c r="AA120" s="75"/>
      <c r="AC120" s="75"/>
      <c r="AD120" s="75"/>
      <c r="AF120" s="75"/>
      <c r="AG120" s="75"/>
    </row>
    <row r="121" spans="1:33">
      <c r="A121" s="96"/>
      <c r="B121" s="73" t="s">
        <v>52</v>
      </c>
      <c r="C121" s="76">
        <f>VLOOKUP(C116,inv_Dados,20,0)</f>
        <v>40</v>
      </c>
      <c r="E121" s="75" t="s">
        <v>53</v>
      </c>
      <c r="F121" s="75">
        <f>ROUNDUP(IF(($C119/F$11)&gt;($C121/F$13),$C119/F$11,$C121/F$13),0)</f>
        <v>2</v>
      </c>
      <c r="H121" s="75" t="s">
        <v>53</v>
      </c>
      <c r="I121" s="75">
        <f>ROUNDUP(IF(($C119/I$11)&gt;($C121/I$13),$C119/I$11,$C121/I$13),0)</f>
        <v>2</v>
      </c>
      <c r="K121" s="75" t="s">
        <v>53</v>
      </c>
      <c r="L121" s="75">
        <f>ROUNDUP(IF(($C119/L$11)&gt;($C121/L$13),$C119/L$11,$C121/L$13),0)</f>
        <v>2</v>
      </c>
      <c r="N121" s="75" t="s">
        <v>53</v>
      </c>
      <c r="O121" s="75">
        <f>ROUNDUP(IF(($C119/O$11)&gt;($C121/O$13),$C119/O$11,$C121/O$13),0)</f>
        <v>2</v>
      </c>
      <c r="Q121" s="75" t="s">
        <v>53</v>
      </c>
      <c r="R121" s="75">
        <f>ROUNDUP(IF(($C119/R$11)&gt;($C121/R$13),$C119/R$11,$C121/R$13),0)</f>
        <v>2</v>
      </c>
      <c r="T121" s="75" t="s">
        <v>53</v>
      </c>
      <c r="U121" s="75">
        <f>ROUNDUP(IF(($C119/U$11)&gt;($C121/U$13),$C119/U$11,$C121/U$13),0)</f>
        <v>2</v>
      </c>
      <c r="W121" s="75" t="s">
        <v>53</v>
      </c>
      <c r="X121" s="75">
        <f>ROUNDUP(IF(($C119/X$11)&gt;($C121/X$13),$C119/X$11,$C121/X$13),0)</f>
        <v>1</v>
      </c>
      <c r="Z121" s="75" t="s">
        <v>53</v>
      </c>
      <c r="AA121" s="75">
        <f>ROUNDUP(IF(($C119/AA$11)&gt;($C121/AA$13),$C119/AA$11,$C121/AA$13),0)</f>
        <v>2</v>
      </c>
      <c r="AC121" s="75" t="s">
        <v>53</v>
      </c>
      <c r="AD121" s="75">
        <f>ROUNDUP(IF(($C119/AD$11)&gt;($C121/AD$13),$C119/AD$11,$C121/AD$13),0)</f>
        <v>2</v>
      </c>
      <c r="AF121" s="75" t="s">
        <v>53</v>
      </c>
      <c r="AG121" s="75">
        <f>ROUNDUP(IF(($C119/AG$11)&gt;($C121/AG$13),$C119/AG$11,$C121/AG$13),0)</f>
        <v>2</v>
      </c>
    </row>
    <row r="122" spans="1:33">
      <c r="A122" s="96"/>
      <c r="B122" s="73" t="s">
        <v>54</v>
      </c>
      <c r="C122" s="76">
        <f>VLOOKUP(C116,inv_Dados,19,0)</f>
        <v>560</v>
      </c>
      <c r="E122" s="75" t="s">
        <v>55</v>
      </c>
      <c r="F122" s="75">
        <f>TRUNC(IF(($C120/F$12)&gt;($C122/F$14),$C122/F$14,$C120/F$12),0)</f>
        <v>11</v>
      </c>
      <c r="H122" s="75" t="s">
        <v>55</v>
      </c>
      <c r="I122" s="75">
        <f>TRUNC(IF(($C120/I$12)&gt;($C122/I$14),$C122/I$14,$C120/I$12),0)</f>
        <v>11</v>
      </c>
      <c r="K122" s="75" t="s">
        <v>55</v>
      </c>
      <c r="L122" s="75">
        <f>TRUNC(IF(($C120/L$12)&gt;($C122/L$14),$C122/L$14,$C120/L$12),0)</f>
        <v>11</v>
      </c>
      <c r="N122" s="75" t="s">
        <v>55</v>
      </c>
      <c r="O122" s="75">
        <f>TRUNC(IF(($C120/O$12)&gt;($C122/O$14),$C122/O$14,$C120/O$12),0)</f>
        <v>12</v>
      </c>
      <c r="Q122" s="75" t="s">
        <v>55</v>
      </c>
      <c r="R122" s="75">
        <f>TRUNC(IF(($C120/R$12)&gt;($C122/R$14),$C122/R$14,$C120/R$12),0)</f>
        <v>11</v>
      </c>
      <c r="T122" s="75" t="s">
        <v>55</v>
      </c>
      <c r="U122" s="75">
        <f>TRUNC(IF(($C120/U$12)&gt;($C122/U$14),$C122/U$14,$C120/U$12),0)</f>
        <v>10</v>
      </c>
      <c r="W122" s="75" t="s">
        <v>55</v>
      </c>
      <c r="X122" s="75">
        <f>TRUNC(IF(($C120/X$12)&gt;($C122/X$14),$C122/X$14,$C120/X$12),0)</f>
        <v>10</v>
      </c>
      <c r="Z122" s="75" t="s">
        <v>55</v>
      </c>
      <c r="AA122" s="75">
        <f>TRUNC(IF(($C120/AA$12)&gt;($C122/AA$14),$C122/AA$14,$C120/AA$12),0)</f>
        <v>11</v>
      </c>
      <c r="AC122" s="75" t="s">
        <v>55</v>
      </c>
      <c r="AD122" s="75">
        <f>TRUNC(IF(($C120/AD$12)&gt;($C122/AD$14),$C122/AD$14,$C120/AD$12),0)</f>
        <v>11</v>
      </c>
      <c r="AF122" s="75" t="s">
        <v>55</v>
      </c>
      <c r="AG122" s="75">
        <f>TRUNC(IF(($C120/AG$12)&gt;($C122/AG$14),$C122/AG$14,$C120/AG$12),0)</f>
        <v>11</v>
      </c>
    </row>
    <row r="123" spans="1:33">
      <c r="A123" s="96"/>
      <c r="B123" s="73" t="s">
        <v>56</v>
      </c>
      <c r="C123" s="76">
        <f>VLOOKUP(C116,inv_Dados,22,0)</f>
        <v>40</v>
      </c>
      <c r="E123" s="75" t="s">
        <v>57</v>
      </c>
      <c r="F123" s="75">
        <f>ROUNDUP(IF(($C123/F$13)&gt;F121,$C123/F$13,F121),0)</f>
        <v>2</v>
      </c>
      <c r="H123" s="75" t="s">
        <v>57</v>
      </c>
      <c r="I123" s="75">
        <f>ROUNDUP(IF(($C123/I$13)&gt;I121,$C123/I$13,I121),0)</f>
        <v>2</v>
      </c>
      <c r="K123" s="75" t="s">
        <v>57</v>
      </c>
      <c r="L123" s="75">
        <f>ROUNDUP(IF(($C123/L$13)&gt;L121,$C123/L$13,L121),0)</f>
        <v>2</v>
      </c>
      <c r="N123" s="75" t="s">
        <v>57</v>
      </c>
      <c r="O123" s="75">
        <f>ROUNDUP(IF(($C123/O$13)&gt;O121,$C123/O$13,O121),0)</f>
        <v>2</v>
      </c>
      <c r="Q123" s="75" t="s">
        <v>57</v>
      </c>
      <c r="R123" s="75">
        <f>ROUNDUP(IF(($C123/R$13)&gt;R121,$C123/R$13,R121),0)</f>
        <v>2</v>
      </c>
      <c r="T123" s="75" t="s">
        <v>57</v>
      </c>
      <c r="U123" s="75">
        <f>ROUNDUP(IF(($C123/U$13)&gt;U121,$C123/U$13,U121),0)</f>
        <v>2</v>
      </c>
      <c r="W123" s="75" t="s">
        <v>57</v>
      </c>
      <c r="X123" s="75">
        <f>ROUNDUP(IF(($C123/X$13)&gt;X121,$C123/X$13,X121),0)</f>
        <v>1</v>
      </c>
      <c r="Z123" s="75" t="s">
        <v>57</v>
      </c>
      <c r="AA123" s="75">
        <f>ROUNDUP(IF(($C123/AA$13)&gt;AA121,$C123/AA$13,AA121),0)</f>
        <v>2</v>
      </c>
      <c r="AC123" s="75" t="s">
        <v>57</v>
      </c>
      <c r="AD123" s="75">
        <f>ROUNDUP(IF(($C123/AD$13)&gt;AD121,$C123/AD$13,AD121),0)</f>
        <v>2</v>
      </c>
      <c r="AF123" s="75" t="s">
        <v>57</v>
      </c>
      <c r="AG123" s="75">
        <f>ROUNDUP(IF(($C123/AG$13)&gt;AG121,$C123/AG$13,AG121),0)</f>
        <v>2</v>
      </c>
    </row>
    <row r="124" spans="1:33">
      <c r="A124" s="96"/>
      <c r="B124" s="73" t="s">
        <v>58</v>
      </c>
      <c r="C124" s="76">
        <f>VLOOKUP(C116,inv_Dados,21,0)</f>
        <v>560</v>
      </c>
      <c r="E124" s="75" t="s">
        <v>59</v>
      </c>
      <c r="F124" s="75">
        <f>TRUNC(IF(($C124/F$14)&gt;F122,F122,$C124/F$14),0)</f>
        <v>11</v>
      </c>
      <c r="H124" s="75" t="s">
        <v>59</v>
      </c>
      <c r="I124" s="75">
        <f>TRUNC(IF(($C124/I$14)&gt;I122,I122,$C124/I$14),0)</f>
        <v>11</v>
      </c>
      <c r="K124" s="75" t="s">
        <v>59</v>
      </c>
      <c r="L124" s="75">
        <f>TRUNC(IF(($C124/L$14)&gt;L122,L122,$C124/L$14),0)</f>
        <v>11</v>
      </c>
      <c r="N124" s="75" t="s">
        <v>59</v>
      </c>
      <c r="O124" s="75">
        <f>TRUNC(IF(($C124/O$14)&gt;O122,O122,$C124/O$14),0)</f>
        <v>12</v>
      </c>
      <c r="Q124" s="75" t="s">
        <v>59</v>
      </c>
      <c r="R124" s="75">
        <f>TRUNC(IF(($C124/R$14)&gt;R122,R122,$C124/R$14),0)</f>
        <v>11</v>
      </c>
      <c r="T124" s="75" t="s">
        <v>59</v>
      </c>
      <c r="U124" s="75">
        <f>TRUNC(IF(($C124/U$14)&gt;U122,U122,$C124/U$14),0)</f>
        <v>10</v>
      </c>
      <c r="W124" s="75" t="s">
        <v>59</v>
      </c>
      <c r="X124" s="75">
        <f>TRUNC(IF(($C124/X$14)&gt;X122,X122,$C124/X$14),0)</f>
        <v>10</v>
      </c>
      <c r="Z124" s="75" t="s">
        <v>59</v>
      </c>
      <c r="AA124" s="75">
        <f>TRUNC(IF(($C124/AA$14)&gt;AA122,AA122,$C124/AA$14),0)</f>
        <v>11</v>
      </c>
      <c r="AC124" s="75" t="s">
        <v>59</v>
      </c>
      <c r="AD124" s="75">
        <f>TRUNC(IF(($C124/AD$14)&gt;AD122,AD122,$C124/AD$14),0)</f>
        <v>11</v>
      </c>
      <c r="AF124" s="75" t="s">
        <v>59</v>
      </c>
      <c r="AG124" s="75">
        <f>TRUNC(IF(($C124/AG$14)&gt;AG122,AG122,$C124/AG$14),0)</f>
        <v>11</v>
      </c>
    </row>
    <row r="125" spans="1:33">
      <c r="A125" s="96"/>
      <c r="B125" s="73" t="s">
        <v>60</v>
      </c>
      <c r="C125" s="76">
        <f>VLOOKUP(C116,inv_Dados,24,0)</f>
        <v>20</v>
      </c>
      <c r="E125" s="75" t="s">
        <v>61</v>
      </c>
      <c r="F125" s="75">
        <f>IF(($C128*F119*F124*F$3)&gt;($C118*(1+$B$10/100)),INT(($C118*(1+$B$10/100))/F$3),F124*$C128*F119)</f>
        <v>20</v>
      </c>
      <c r="H125" s="75" t="s">
        <v>61</v>
      </c>
      <c r="I125" s="75">
        <f>IF(($C128*I119*I124*I$3)&gt;($C118*(1+$B$10/100)),INT(($C118*(1+$B$10/100))/I$3),I124*$C128*I119)</f>
        <v>20</v>
      </c>
      <c r="K125" s="75" t="s">
        <v>61</v>
      </c>
      <c r="L125" s="75">
        <f>IF(($C128*L119*L124*L$3)&gt;($C118*(1+$B$10/100)),INT(($C118*(1+$B$10/100))/L$3),L124*$C128*L119)</f>
        <v>20</v>
      </c>
      <c r="N125" s="75" t="s">
        <v>61</v>
      </c>
      <c r="O125" s="75">
        <f>IF(($C128*O119*O124*O$3)&gt;($C118*(1+$B$10/100)),INT(($C118*(1+$B$10/100))/O$3),O124*$C128*O119)</f>
        <v>19</v>
      </c>
      <c r="Q125" s="75" t="s">
        <v>61</v>
      </c>
      <c r="R125" s="75">
        <f>IF(($C128*R119*R124*R$3)&gt;($C118*(1+$B$10/100)),INT(($C118*(1+$B$10/100))/R$3),R124*$C128*R119)</f>
        <v>19</v>
      </c>
      <c r="T125" s="75" t="s">
        <v>61</v>
      </c>
      <c r="U125" s="75">
        <f>IF(($C128*U119*U124*U$3)&gt;($C118*(1+$B$10/100)),INT(($C118*(1+$B$10/100))/U$3),U124*$C128*U119)</f>
        <v>19</v>
      </c>
      <c r="W125" s="75" t="s">
        <v>61</v>
      </c>
      <c r="X125" s="75">
        <f>IF(($C128*X119*X124*X$3)&gt;($C118*(1+$B$10/100)),INT(($C118*(1+$B$10/100))/X$3),X124*$C128*X119)</f>
        <v>17</v>
      </c>
      <c r="Z125" s="75" t="s">
        <v>61</v>
      </c>
      <c r="AA125" s="75">
        <f>IF(($C128*AA119*AA124*AA$3)&gt;($C118*(1+$B$10/100)),INT(($C118*(1+$B$10/100))/AA$3),AA124*$C128*AA119)</f>
        <v>16</v>
      </c>
      <c r="AC125" s="75" t="s">
        <v>61</v>
      </c>
      <c r="AD125" s="75">
        <f>IF(($C128*AD119*AD124*AD$3)&gt;($C118*(1+$B$10/100)),INT(($C118*(1+$B$10/100))/AD$3),AD124*$C128*AD119)</f>
        <v>15</v>
      </c>
      <c r="AF125" s="75" t="s">
        <v>61</v>
      </c>
      <c r="AG125" s="75">
        <f>IF(($C128*AG119*AG124*AG$3)&gt;($C118*(1+$B$10/100)),INT(($C118*(1+$B$10/100))/AG$3),AG124*$C128*AG119)</f>
        <v>19</v>
      </c>
    </row>
    <row r="126" spans="1:33">
      <c r="A126" s="96"/>
      <c r="B126" s="73" t="s">
        <v>62</v>
      </c>
      <c r="C126" s="76">
        <f>VLOOKUP(C116,inv_Dados,25,0)</f>
        <v>16</v>
      </c>
      <c r="E126" s="75" t="s">
        <v>63</v>
      </c>
      <c r="F126" s="75">
        <f>F125*F$3</f>
        <v>11000</v>
      </c>
      <c r="H126" s="75" t="s">
        <v>63</v>
      </c>
      <c r="I126" s="75">
        <f>I125*I$3</f>
        <v>11000</v>
      </c>
      <c r="K126" s="75" t="s">
        <v>63</v>
      </c>
      <c r="L126" s="75">
        <f>L125*L$3</f>
        <v>11100</v>
      </c>
      <c r="N126" s="75" t="s">
        <v>63</v>
      </c>
      <c r="O126" s="75">
        <f>O125*O$3</f>
        <v>10830</v>
      </c>
      <c r="Q126" s="75" t="s">
        <v>63</v>
      </c>
      <c r="R126" s="75">
        <f>R125*R$3</f>
        <v>10830</v>
      </c>
      <c r="T126" s="75" t="s">
        <v>63</v>
      </c>
      <c r="U126" s="75">
        <f>U125*U$3</f>
        <v>11115</v>
      </c>
      <c r="W126" s="75" t="s">
        <v>63</v>
      </c>
      <c r="X126" s="75">
        <f>X125*X$3</f>
        <v>10795</v>
      </c>
      <c r="Z126" s="75" t="s">
        <v>63</v>
      </c>
      <c r="AA126" s="75">
        <f>AA125*AA$3</f>
        <v>11200</v>
      </c>
      <c r="AC126" s="75" t="s">
        <v>63</v>
      </c>
      <c r="AD126" s="75">
        <f>AD125*AD$3</f>
        <v>10650</v>
      </c>
      <c r="AF126" s="75" t="s">
        <v>63</v>
      </c>
      <c r="AG126" s="75">
        <f>AG125*AG$3</f>
        <v>10925</v>
      </c>
    </row>
    <row r="127" spans="1:33">
      <c r="A127" s="96"/>
      <c r="B127" s="73" t="s">
        <v>44</v>
      </c>
      <c r="C127" s="76">
        <f>VLOOKUP(C116,inv_Dados,15,0)</f>
        <v>1</v>
      </c>
      <c r="E127" s="72"/>
      <c r="F127" s="64"/>
      <c r="H127" s="72"/>
      <c r="I127" s="64"/>
      <c r="K127" s="72"/>
      <c r="L127" s="64"/>
      <c r="N127" s="72"/>
      <c r="O127" s="64"/>
      <c r="Q127" s="72"/>
      <c r="R127" s="64"/>
      <c r="T127" s="72"/>
      <c r="U127" s="64"/>
      <c r="W127" s="72"/>
      <c r="X127" s="64"/>
      <c r="Z127" s="72"/>
      <c r="AA127" s="64"/>
      <c r="AC127" s="72"/>
      <c r="AD127" s="64"/>
      <c r="AF127" s="72"/>
      <c r="AG127" s="64"/>
    </row>
    <row r="128" spans="1:33">
      <c r="A128" s="96"/>
      <c r="B128" s="73" t="s">
        <v>64</v>
      </c>
      <c r="C128" s="76">
        <f>VLOOKUP(C116,inv_Dados,16,0)</f>
        <v>3</v>
      </c>
      <c r="E128" s="72"/>
      <c r="F128" s="64"/>
      <c r="H128" s="72"/>
      <c r="I128" s="64"/>
      <c r="K128" s="72"/>
      <c r="L128" s="64"/>
      <c r="N128" s="72"/>
      <c r="O128" s="64"/>
      <c r="Q128" s="72"/>
      <c r="R128" s="64"/>
      <c r="T128" s="72"/>
      <c r="U128" s="64"/>
      <c r="W128" s="72"/>
      <c r="X128" s="64"/>
      <c r="Z128" s="72"/>
      <c r="AA128" s="64"/>
      <c r="AC128" s="72"/>
      <c r="AD128" s="64"/>
      <c r="AF128" s="72"/>
      <c r="AG128" s="64"/>
    </row>
    <row r="129" spans="1:33" s="60" customFormat="1">
      <c r="A129" s="96"/>
      <c r="C129" s="71"/>
      <c r="E129" s="72"/>
      <c r="F129" s="64"/>
      <c r="G129" s="64"/>
      <c r="H129" s="72"/>
      <c r="I129" s="64"/>
      <c r="J129" s="64"/>
      <c r="K129" s="72"/>
      <c r="L129" s="64"/>
      <c r="M129" s="64"/>
      <c r="N129" s="72"/>
      <c r="O129" s="64"/>
      <c r="P129" s="64"/>
      <c r="Q129" s="72"/>
      <c r="R129" s="64"/>
      <c r="S129" s="64"/>
      <c r="T129" s="72"/>
      <c r="U129" s="64"/>
      <c r="V129" s="64"/>
      <c r="W129" s="72"/>
      <c r="X129" s="64"/>
      <c r="Y129" s="64"/>
      <c r="Z129" s="72"/>
      <c r="AA129" s="64"/>
      <c r="AB129" s="64"/>
      <c r="AC129" s="72"/>
      <c r="AD129" s="64"/>
      <c r="AE129" s="64"/>
      <c r="AF129" s="72"/>
      <c r="AG129" s="64"/>
    </row>
    <row r="130" spans="1:33">
      <c r="A130" s="96"/>
      <c r="B130" s="73" t="s">
        <v>43</v>
      </c>
      <c r="C130" s="74" t="str">
        <f>'Compare Inversores'!A11</f>
        <v>SIW400G T050 W00</v>
      </c>
      <c r="E130" s="75" t="s">
        <v>44</v>
      </c>
      <c r="F130" s="75">
        <f>$C141</f>
        <v>2</v>
      </c>
      <c r="H130" s="75" t="s">
        <v>44</v>
      </c>
      <c r="I130" s="75">
        <f>$C141</f>
        <v>2</v>
      </c>
      <c r="K130" s="75" t="s">
        <v>44</v>
      </c>
      <c r="L130" s="75">
        <f>$C141</f>
        <v>2</v>
      </c>
      <c r="N130" s="75" t="s">
        <v>44</v>
      </c>
      <c r="O130" s="75">
        <f>$C141</f>
        <v>2</v>
      </c>
      <c r="Q130" s="75" t="s">
        <v>44</v>
      </c>
      <c r="R130" s="75">
        <f>$C141</f>
        <v>2</v>
      </c>
      <c r="T130" s="75" t="s">
        <v>44</v>
      </c>
      <c r="U130" s="75">
        <f>$C141</f>
        <v>2</v>
      </c>
      <c r="W130" s="75" t="s">
        <v>44</v>
      </c>
      <c r="X130" s="75">
        <f>$C141</f>
        <v>2</v>
      </c>
      <c r="Z130" s="75" t="s">
        <v>44</v>
      </c>
      <c r="AA130" s="75">
        <f>$C141</f>
        <v>2</v>
      </c>
      <c r="AC130" s="75" t="s">
        <v>44</v>
      </c>
      <c r="AD130" s="75">
        <f>$C141</f>
        <v>2</v>
      </c>
      <c r="AF130" s="75" t="s">
        <v>44</v>
      </c>
      <c r="AG130" s="75">
        <f>$C141</f>
        <v>2</v>
      </c>
    </row>
    <row r="131" spans="1:33">
      <c r="A131" s="96"/>
      <c r="B131" s="73" t="s">
        <v>45</v>
      </c>
      <c r="C131" s="76">
        <f>VLOOKUP(C130,inv_Dados,13,0)</f>
        <v>50000</v>
      </c>
      <c r="E131" s="75" t="s">
        <v>46</v>
      </c>
      <c r="F131" s="75">
        <f>TRUNC($C139/F$15)</f>
        <v>3</v>
      </c>
      <c r="H131" s="75" t="s">
        <v>46</v>
      </c>
      <c r="I131" s="75">
        <f>TRUNC($C139/I$15)</f>
        <v>3</v>
      </c>
      <c r="K131" s="75" t="s">
        <v>46</v>
      </c>
      <c r="L131" s="75">
        <f>TRUNC($C139/L$15)</f>
        <v>3</v>
      </c>
      <c r="N131" s="75" t="s">
        <v>46</v>
      </c>
      <c r="O131" s="75">
        <f>TRUNC($C139/O$15)</f>
        <v>3</v>
      </c>
      <c r="Q131" s="75" t="s">
        <v>46</v>
      </c>
      <c r="R131" s="75">
        <f>TRUNC($C139/R$15)</f>
        <v>3</v>
      </c>
      <c r="T131" s="75" t="s">
        <v>46</v>
      </c>
      <c r="U131" s="75">
        <f>TRUNC($C139/U$15)</f>
        <v>3</v>
      </c>
      <c r="W131" s="75" t="s">
        <v>46</v>
      </c>
      <c r="X131" s="75">
        <f>TRUNC($C139/X$15)</f>
        <v>3</v>
      </c>
      <c r="Z131" s="75" t="s">
        <v>46</v>
      </c>
      <c r="AA131" s="75">
        <f>TRUNC($C139/AA$15)</f>
        <v>2</v>
      </c>
      <c r="AC131" s="75" t="s">
        <v>46</v>
      </c>
      <c r="AD131" s="75">
        <f>TRUNC($C139/AD$15)</f>
        <v>2</v>
      </c>
      <c r="AF131" s="75" t="s">
        <v>46</v>
      </c>
      <c r="AG131" s="75">
        <f>TRUNC($C139/AG$15)</f>
        <v>3</v>
      </c>
    </row>
    <row r="132" spans="1:33">
      <c r="A132" s="96"/>
      <c r="B132" s="73" t="s">
        <v>47</v>
      </c>
      <c r="C132" s="76">
        <f>C131*(1+VLOOKUP(C130,inv_Dados,33,0)/100)</f>
        <v>75000</v>
      </c>
      <c r="E132" s="75" t="s">
        <v>48</v>
      </c>
      <c r="F132" s="75">
        <f>TRUNC($C140*(1+$B$12/100)/F$16)</f>
        <v>3</v>
      </c>
      <c r="H132" s="75" t="s">
        <v>48</v>
      </c>
      <c r="I132" s="75">
        <f>TRUNC($C140*(1+$B$12/100)/I$16)</f>
        <v>3</v>
      </c>
      <c r="K132" s="75" t="s">
        <v>48</v>
      </c>
      <c r="L132" s="75">
        <f>TRUNC($C140*(1+$B$12/100)/L$16)</f>
        <v>3</v>
      </c>
      <c r="N132" s="75" t="s">
        <v>48</v>
      </c>
      <c r="O132" s="75">
        <f>TRUNC($C140*(1+$B$12/100)/O$16)</f>
        <v>3</v>
      </c>
      <c r="Q132" s="75" t="s">
        <v>48</v>
      </c>
      <c r="R132" s="75">
        <f>TRUNC($C140*(1+$B$12/100)/R$16)</f>
        <v>3</v>
      </c>
      <c r="T132" s="75" t="s">
        <v>48</v>
      </c>
      <c r="U132" s="75">
        <f>TRUNC($C140*(1+$B$12/100)/U$16)</f>
        <v>3</v>
      </c>
      <c r="W132" s="75" t="s">
        <v>48</v>
      </c>
      <c r="X132" s="75">
        <f>TRUNC($C140*(1+$B$12/100)/X$16)</f>
        <v>3</v>
      </c>
      <c r="Z132" s="75" t="s">
        <v>48</v>
      </c>
      <c r="AA132" s="75">
        <f>TRUNC($C140*(1+$B$12/100)/AA$16)</f>
        <v>2</v>
      </c>
      <c r="AC132" s="75" t="s">
        <v>48</v>
      </c>
      <c r="AD132" s="75">
        <f>TRUNC($C140*(1+$B$12/100)/AD$16)</f>
        <v>2</v>
      </c>
      <c r="AF132" s="75" t="s">
        <v>48</v>
      </c>
      <c r="AG132" s="75">
        <f>TRUNC($C140*(1+$B$12/100)/AG$16)</f>
        <v>3</v>
      </c>
    </row>
    <row r="133" spans="1:33">
      <c r="A133" s="96"/>
      <c r="B133" s="73" t="s">
        <v>49</v>
      </c>
      <c r="C133" s="76">
        <f>VLOOKUP(C130,inv_Dados,18,0)</f>
        <v>250</v>
      </c>
      <c r="E133" s="75" t="s">
        <v>50</v>
      </c>
      <c r="F133" s="75">
        <f>SMALL(F130:F132,1)</f>
        <v>2</v>
      </c>
      <c r="H133" s="75" t="s">
        <v>50</v>
      </c>
      <c r="I133" s="75">
        <f>SMALL(I130:I132,1)</f>
        <v>2</v>
      </c>
      <c r="K133" s="75" t="s">
        <v>50</v>
      </c>
      <c r="L133" s="75">
        <f>SMALL(L130:L132,1)</f>
        <v>2</v>
      </c>
      <c r="N133" s="75" t="s">
        <v>50</v>
      </c>
      <c r="O133" s="75">
        <f>SMALL(O130:O132,1)</f>
        <v>2</v>
      </c>
      <c r="Q133" s="75" t="s">
        <v>50</v>
      </c>
      <c r="R133" s="75">
        <f>SMALL(R130:R132,1)</f>
        <v>2</v>
      </c>
      <c r="T133" s="75" t="s">
        <v>50</v>
      </c>
      <c r="U133" s="75">
        <f>SMALL(U130:U132,1)</f>
        <v>2</v>
      </c>
      <c r="W133" s="75" t="s">
        <v>50</v>
      </c>
      <c r="X133" s="75">
        <f>SMALL(X130:X132,1)</f>
        <v>2</v>
      </c>
      <c r="Z133" s="75" t="s">
        <v>50</v>
      </c>
      <c r="AA133" s="75">
        <f>SMALL(AA130:AA132,1)</f>
        <v>2</v>
      </c>
      <c r="AC133" s="75" t="s">
        <v>50</v>
      </c>
      <c r="AD133" s="75">
        <f>SMALL(AD130:AD132,1)</f>
        <v>2</v>
      </c>
      <c r="AF133" s="75" t="s">
        <v>50</v>
      </c>
      <c r="AG133" s="75">
        <f>SMALL(AG130:AG132,1)</f>
        <v>2</v>
      </c>
    </row>
    <row r="134" spans="1:33">
      <c r="A134" s="96"/>
      <c r="B134" s="73" t="s">
        <v>51</v>
      </c>
      <c r="C134" s="76">
        <f>VLOOKUP(C130,inv_Dados,17,0)</f>
        <v>1100</v>
      </c>
      <c r="E134" s="75"/>
      <c r="F134" s="75"/>
      <c r="H134" s="75"/>
      <c r="I134" s="75"/>
      <c r="K134" s="75"/>
      <c r="L134" s="75"/>
      <c r="N134" s="75"/>
      <c r="O134" s="75"/>
      <c r="Q134" s="75"/>
      <c r="R134" s="75"/>
      <c r="T134" s="75"/>
      <c r="U134" s="75"/>
      <c r="W134" s="75"/>
      <c r="X134" s="75"/>
      <c r="Z134" s="75"/>
      <c r="AA134" s="75"/>
      <c r="AC134" s="75"/>
      <c r="AD134" s="75"/>
      <c r="AF134" s="75"/>
      <c r="AG134" s="75"/>
    </row>
    <row r="135" spans="1:33">
      <c r="A135" s="96"/>
      <c r="B135" s="73" t="s">
        <v>52</v>
      </c>
      <c r="C135" s="76">
        <f>VLOOKUP(C130,inv_Dados,20,0)</f>
        <v>200</v>
      </c>
      <c r="E135" s="75" t="s">
        <v>53</v>
      </c>
      <c r="F135" s="75">
        <f>ROUNDUP(IF(($C133/F$11)&gt;($C135/F$13),$C133/F$11,$C135/F$13),0)</f>
        <v>6</v>
      </c>
      <c r="H135" s="75" t="s">
        <v>53</v>
      </c>
      <c r="I135" s="75">
        <f>ROUNDUP(IF(($C133/I$11)&gt;($C135/I$13),$C133/I$11,$C135/I$13),0)</f>
        <v>6</v>
      </c>
      <c r="K135" s="75" t="s">
        <v>53</v>
      </c>
      <c r="L135" s="75">
        <f>ROUNDUP(IF(($C133/L$11)&gt;($C135/L$13),$C133/L$11,$C135/L$13),0)</f>
        <v>6</v>
      </c>
      <c r="N135" s="75" t="s">
        <v>53</v>
      </c>
      <c r="O135" s="75">
        <f>ROUNDUP(IF(($C133/O$11)&gt;($C135/O$13),$C133/O$11,$C135/O$13),0)</f>
        <v>6</v>
      </c>
      <c r="Q135" s="75" t="s">
        <v>53</v>
      </c>
      <c r="R135" s="75">
        <f>ROUNDUP(IF(($C133/R$11)&gt;($C135/R$13),$C133/R$11,$C135/R$13),0)</f>
        <v>6</v>
      </c>
      <c r="T135" s="75" t="s">
        <v>53</v>
      </c>
      <c r="U135" s="75">
        <f>ROUNDUP(IF(($C133/U$11)&gt;($C135/U$13),$C133/U$11,$C135/U$13),0)</f>
        <v>6</v>
      </c>
      <c r="W135" s="75" t="s">
        <v>53</v>
      </c>
      <c r="X135" s="75">
        <f>ROUNDUP(IF(($C133/X$11)&gt;($C135/X$13),$C133/X$11,$C135/X$13),0)</f>
        <v>5</v>
      </c>
      <c r="Z135" s="75" t="s">
        <v>53</v>
      </c>
      <c r="AA135" s="75">
        <f>ROUNDUP(IF(($C133/AA$11)&gt;($C135/AA$13),$C133/AA$11,$C135/AA$13),0)</f>
        <v>6</v>
      </c>
      <c r="AC135" s="75" t="s">
        <v>53</v>
      </c>
      <c r="AD135" s="75">
        <f>ROUNDUP(IF(($C133/AD$11)&gt;($C135/AD$13),$C133/AD$11,$C135/AD$13),0)</f>
        <v>6</v>
      </c>
      <c r="AF135" s="75" t="s">
        <v>53</v>
      </c>
      <c r="AG135" s="75">
        <f>ROUNDUP(IF(($C133/AG$11)&gt;($C135/AG$13),$C133/AG$11,$C135/AG$13),0)</f>
        <v>6</v>
      </c>
    </row>
    <row r="136" spans="1:33">
      <c r="A136" s="96"/>
      <c r="B136" s="73" t="s">
        <v>54</v>
      </c>
      <c r="C136" s="76">
        <f>VLOOKUP(C130,inv_Dados,19,0)</f>
        <v>1000</v>
      </c>
      <c r="E136" s="75" t="s">
        <v>55</v>
      </c>
      <c r="F136" s="75">
        <f>TRUNC(IF(($C134/F$12)&gt;($C136/F$14),$C136/F$14,$C134/F$12),0)</f>
        <v>21</v>
      </c>
      <c r="H136" s="75" t="s">
        <v>55</v>
      </c>
      <c r="I136" s="75">
        <f>TRUNC(IF(($C134/I$12)&gt;($C136/I$14),$C136/I$14,$C134/I$12),0)</f>
        <v>20</v>
      </c>
      <c r="K136" s="75" t="s">
        <v>55</v>
      </c>
      <c r="L136" s="75">
        <f>TRUNC(IF(($C134/L$12)&gt;($C136/L$14),$C136/L$14,$C134/L$12),0)</f>
        <v>21</v>
      </c>
      <c r="N136" s="75" t="s">
        <v>55</v>
      </c>
      <c r="O136" s="75">
        <f>TRUNC(IF(($C134/O$12)&gt;($C136/O$14),$C136/O$14,$C134/O$12),0)</f>
        <v>22</v>
      </c>
      <c r="Q136" s="75" t="s">
        <v>55</v>
      </c>
      <c r="R136" s="75">
        <f>TRUNC(IF(($C134/R$12)&gt;($C136/R$14),$C136/R$14,$C134/R$12),0)</f>
        <v>20</v>
      </c>
      <c r="T136" s="75" t="s">
        <v>55</v>
      </c>
      <c r="U136" s="75">
        <f>TRUNC(IF(($C134/U$12)&gt;($C136/U$14),$C136/U$14,$C134/U$12),0)</f>
        <v>20</v>
      </c>
      <c r="W136" s="75" t="s">
        <v>55</v>
      </c>
      <c r="X136" s="75">
        <f>TRUNC(IF(($C134/X$12)&gt;($C136/X$14),$C136/X$14,$C134/X$12),0)</f>
        <v>18</v>
      </c>
      <c r="Z136" s="75" t="s">
        <v>55</v>
      </c>
      <c r="AA136" s="75">
        <f>TRUNC(IF(($C134/AA$12)&gt;($C136/AA$14),$C136/AA$14,$C134/AA$12),0)</f>
        <v>21</v>
      </c>
      <c r="AC136" s="75" t="s">
        <v>55</v>
      </c>
      <c r="AD136" s="75">
        <f>TRUNC(IF(($C134/AD$12)&gt;($C136/AD$14),$C136/AD$14,$C134/AD$12),0)</f>
        <v>21</v>
      </c>
      <c r="AF136" s="75" t="s">
        <v>55</v>
      </c>
      <c r="AG136" s="75">
        <f>TRUNC(IF(($C134/AG$12)&gt;($C136/AG$14),$C136/AG$14,$C134/AG$12),0)</f>
        <v>20</v>
      </c>
    </row>
    <row r="137" spans="1:33">
      <c r="A137" s="96"/>
      <c r="B137" s="73" t="s">
        <v>56</v>
      </c>
      <c r="C137" s="76">
        <f>VLOOKUP(C130,inv_Dados,22,0)</f>
        <v>550</v>
      </c>
      <c r="E137" s="75" t="s">
        <v>57</v>
      </c>
      <c r="F137" s="75">
        <f>ROUNDUP(IF(($C137/F$13)&gt;F135,$C137/F$13,F135),0)</f>
        <v>15</v>
      </c>
      <c r="H137" s="75" t="s">
        <v>57</v>
      </c>
      <c r="I137" s="75">
        <f>ROUNDUP(IF(($C137/I$13)&gt;I135,$C137/I$13,I135),0)</f>
        <v>14</v>
      </c>
      <c r="K137" s="75" t="s">
        <v>57</v>
      </c>
      <c r="L137" s="75">
        <f>ROUNDUP(IF(($C137/L$13)&gt;L135,$C137/L$13,L135),0)</f>
        <v>15</v>
      </c>
      <c r="N137" s="75" t="s">
        <v>57</v>
      </c>
      <c r="O137" s="75">
        <f>ROUNDUP(IF(($C137/O$13)&gt;O135,$C137/O$13,O135),0)</f>
        <v>15</v>
      </c>
      <c r="Q137" s="75" t="s">
        <v>57</v>
      </c>
      <c r="R137" s="75">
        <f>ROUNDUP(IF(($C137/R$13)&gt;R135,$C137/R$13,R135),0)</f>
        <v>14</v>
      </c>
      <c r="T137" s="75" t="s">
        <v>57</v>
      </c>
      <c r="U137" s="75">
        <f>ROUNDUP(IF(($C137/U$13)&gt;U135,$C137/U$13,U135),0)</f>
        <v>14</v>
      </c>
      <c r="W137" s="75" t="s">
        <v>57</v>
      </c>
      <c r="X137" s="75">
        <f>ROUNDUP(IF(($C137/X$13)&gt;X135,$C137/X$13,X135),0)</f>
        <v>13</v>
      </c>
      <c r="Z137" s="75" t="s">
        <v>57</v>
      </c>
      <c r="AA137" s="75">
        <f>ROUNDUP(IF(($C137/AA$13)&gt;AA135,$C137/AA$13,AA135),0)</f>
        <v>14</v>
      </c>
      <c r="AC137" s="75" t="s">
        <v>57</v>
      </c>
      <c r="AD137" s="75">
        <f>ROUNDUP(IF(($C137/AD$13)&gt;AD135,$C137/AD$13,AD135),0)</f>
        <v>15</v>
      </c>
      <c r="AF137" s="75" t="s">
        <v>57</v>
      </c>
      <c r="AG137" s="75">
        <f>ROUNDUP(IF(($C137/AG$13)&gt;AG135,$C137/AG$13,AG135),0)</f>
        <v>14</v>
      </c>
    </row>
    <row r="138" spans="1:33">
      <c r="A138" s="96"/>
      <c r="B138" s="73" t="s">
        <v>58</v>
      </c>
      <c r="C138" s="76">
        <f>VLOOKUP(C130,inv_Dados,21,0)</f>
        <v>800</v>
      </c>
      <c r="E138" s="75" t="s">
        <v>59</v>
      </c>
      <c r="F138" s="75">
        <f>TRUNC(IF(($C138/F$14)&gt;F136,F136,$C138/F$14),0)</f>
        <v>18</v>
      </c>
      <c r="H138" s="75" t="s">
        <v>59</v>
      </c>
      <c r="I138" s="75">
        <f>TRUNC(IF(($C138/I$14)&gt;I136,I136,$C138/I$14),0)</f>
        <v>18</v>
      </c>
      <c r="K138" s="75" t="s">
        <v>59</v>
      </c>
      <c r="L138" s="75">
        <f>TRUNC(IF(($C138/L$14)&gt;L136,L136,$C138/L$14),0)</f>
        <v>18</v>
      </c>
      <c r="N138" s="75" t="s">
        <v>59</v>
      </c>
      <c r="O138" s="75">
        <f>TRUNC(IF(($C138/O$14)&gt;O136,O136,$C138/O$14),0)</f>
        <v>19</v>
      </c>
      <c r="Q138" s="75" t="s">
        <v>59</v>
      </c>
      <c r="R138" s="75">
        <f>TRUNC(IF(($C138/R$14)&gt;R136,R136,$C138/R$14),0)</f>
        <v>18</v>
      </c>
      <c r="T138" s="75" t="s">
        <v>59</v>
      </c>
      <c r="U138" s="75">
        <f>TRUNC(IF(($C138/U$14)&gt;U136,U136,$C138/U$14),0)</f>
        <v>17</v>
      </c>
      <c r="W138" s="75" t="s">
        <v>59</v>
      </c>
      <c r="X138" s="75">
        <f>TRUNC(IF(($C138/X$14)&gt;X136,X136,$C138/X$14),0)</f>
        <v>16</v>
      </c>
      <c r="Z138" s="75" t="s">
        <v>59</v>
      </c>
      <c r="AA138" s="75">
        <f>TRUNC(IF(($C138/AA$14)&gt;AA136,AA136,$C138/AA$14),0)</f>
        <v>18</v>
      </c>
      <c r="AC138" s="75" t="s">
        <v>59</v>
      </c>
      <c r="AD138" s="75">
        <f>TRUNC(IF(($C138/AD$14)&gt;AD136,AD136,$C138/AD$14),0)</f>
        <v>18</v>
      </c>
      <c r="AF138" s="75" t="s">
        <v>59</v>
      </c>
      <c r="AG138" s="75">
        <f>TRUNC(IF(($C138/AG$14)&gt;AG136,AG136,$C138/AG$14),0)</f>
        <v>17</v>
      </c>
    </row>
    <row r="139" spans="1:33">
      <c r="A139" s="96"/>
      <c r="B139" s="73" t="s">
        <v>60</v>
      </c>
      <c r="C139" s="76">
        <f>VLOOKUP(C130,inv_Dados,24,0)</f>
        <v>50</v>
      </c>
      <c r="E139" s="75" t="s">
        <v>61</v>
      </c>
      <c r="F139" s="75">
        <f>IF(($C142*F133*F138*F$3)&gt;($C132*(1+$B$10/100)),INT(($C132*(1+$B$10/100))/F$3),F138*$C142*F133)</f>
        <v>137</v>
      </c>
      <c r="H139" s="75" t="s">
        <v>61</v>
      </c>
      <c r="I139" s="75">
        <f>IF(($C142*I133*I138*I$3)&gt;($C132*(1+$B$10/100)),INT(($C132*(1+$B$10/100))/I$3),I138*$C142*I133)</f>
        <v>137</v>
      </c>
      <c r="K139" s="75" t="s">
        <v>61</v>
      </c>
      <c r="L139" s="75">
        <f>IF(($C142*L133*L138*L$3)&gt;($C132*(1+$B$10/100)),INT(($C132*(1+$B$10/100))/L$3),L138*$C142*L133)</f>
        <v>135</v>
      </c>
      <c r="N139" s="75" t="s">
        <v>61</v>
      </c>
      <c r="O139" s="75">
        <f>IF(($C142*O133*O138*O$3)&gt;($C132*(1+$B$10/100)),INT(($C132*(1+$B$10/100))/O$3),O138*$C142*O133)</f>
        <v>132</v>
      </c>
      <c r="Q139" s="75" t="s">
        <v>61</v>
      </c>
      <c r="R139" s="75">
        <f>IF(($C142*R133*R138*R$3)&gt;($C132*(1+$B$10/100)),INT(($C132*(1+$B$10/100))/R$3),R138*$C142*R133)</f>
        <v>132</v>
      </c>
      <c r="T139" s="75" t="s">
        <v>61</v>
      </c>
      <c r="U139" s="75">
        <f>IF(($C142*U133*U138*U$3)&gt;($C132*(1+$B$10/100)),INT(($C132*(1+$B$10/100))/U$3),U138*$C142*U133)</f>
        <v>128</v>
      </c>
      <c r="W139" s="75" t="s">
        <v>61</v>
      </c>
      <c r="X139" s="75">
        <f>IF(($C142*X133*X138*X$3)&gt;($C132*(1+$B$10/100)),INT(($C132*(1+$B$10/100))/X$3),X138*$C142*X133)</f>
        <v>118</v>
      </c>
      <c r="Z139" s="75" t="s">
        <v>61</v>
      </c>
      <c r="AA139" s="75">
        <f>IF(($C142*AA133*AA138*AA$3)&gt;($C132*(1+$B$10/100)),INT(($C132*(1+$B$10/100))/AA$3),AA138*$C142*AA133)</f>
        <v>107</v>
      </c>
      <c r="AC139" s="75" t="s">
        <v>61</v>
      </c>
      <c r="AD139" s="75">
        <f>IF(($C142*AD133*AD138*AD$3)&gt;($C132*(1+$B$10/100)),INT(($C132*(1+$B$10/100))/AD$3),AD138*$C142*AD133)</f>
        <v>106</v>
      </c>
      <c r="AF139" s="75" t="s">
        <v>61</v>
      </c>
      <c r="AG139" s="75">
        <f>IF(($C142*AG133*AG138*AG$3)&gt;($C132*(1+$B$10/100)),INT(($C132*(1+$B$10/100))/AG$3),AG138*$C142*AG133)</f>
        <v>131</v>
      </c>
    </row>
    <row r="140" spans="1:33">
      <c r="A140" s="96"/>
      <c r="B140" s="73" t="s">
        <v>62</v>
      </c>
      <c r="C140" s="76">
        <f>VLOOKUP(C130,inv_Dados,25,0)</f>
        <v>40</v>
      </c>
      <c r="E140" s="75" t="s">
        <v>63</v>
      </c>
      <c r="F140" s="75">
        <f>F139*F$3</f>
        <v>75350</v>
      </c>
      <c r="H140" s="75" t="s">
        <v>63</v>
      </c>
      <c r="I140" s="75">
        <f>I139*I$3</f>
        <v>75350</v>
      </c>
      <c r="K140" s="75" t="s">
        <v>63</v>
      </c>
      <c r="L140" s="75">
        <f>L139*L$3</f>
        <v>74925</v>
      </c>
      <c r="N140" s="75" t="s">
        <v>63</v>
      </c>
      <c r="O140" s="75">
        <f>O139*O$3</f>
        <v>75240</v>
      </c>
      <c r="Q140" s="75" t="s">
        <v>63</v>
      </c>
      <c r="R140" s="75">
        <f>R139*R$3</f>
        <v>75240</v>
      </c>
      <c r="T140" s="75" t="s">
        <v>63</v>
      </c>
      <c r="U140" s="75">
        <f>U139*U$3</f>
        <v>74880</v>
      </c>
      <c r="W140" s="75" t="s">
        <v>63</v>
      </c>
      <c r="X140" s="75">
        <f>X139*X$3</f>
        <v>74930</v>
      </c>
      <c r="Z140" s="75" t="s">
        <v>63</v>
      </c>
      <c r="AA140" s="75">
        <f>AA139*AA$3</f>
        <v>74900</v>
      </c>
      <c r="AC140" s="75" t="s">
        <v>63</v>
      </c>
      <c r="AD140" s="75">
        <f>AD139*AD$3</f>
        <v>75260</v>
      </c>
      <c r="AF140" s="75" t="s">
        <v>63</v>
      </c>
      <c r="AG140" s="75">
        <f>AG139*AG$3</f>
        <v>75325</v>
      </c>
    </row>
    <row r="141" spans="1:33">
      <c r="A141" s="96"/>
      <c r="B141" s="73" t="s">
        <v>44</v>
      </c>
      <c r="C141" s="76">
        <f>VLOOKUP(C130,inv_Dados,15,0)</f>
        <v>2</v>
      </c>
      <c r="E141" s="72"/>
      <c r="F141" s="64"/>
      <c r="H141" s="72"/>
      <c r="I141" s="64"/>
      <c r="K141" s="72"/>
      <c r="L141" s="64"/>
      <c r="N141" s="72"/>
      <c r="O141" s="64"/>
      <c r="Q141" s="72"/>
      <c r="R141" s="64"/>
      <c r="T141" s="72"/>
      <c r="U141" s="64"/>
      <c r="W141" s="72"/>
      <c r="X141" s="64"/>
      <c r="Z141" s="72"/>
      <c r="AA141" s="64"/>
      <c r="AC141" s="72"/>
      <c r="AD141" s="64"/>
      <c r="AF141" s="72"/>
      <c r="AG141" s="64"/>
    </row>
    <row r="142" spans="1:33">
      <c r="A142" s="96"/>
      <c r="B142" s="73" t="s">
        <v>64</v>
      </c>
      <c r="C142" s="76">
        <f>VLOOKUP(C130,inv_Dados,16,0)</f>
        <v>4</v>
      </c>
      <c r="E142" s="72"/>
      <c r="F142" s="64"/>
      <c r="H142" s="72"/>
      <c r="I142" s="64"/>
      <c r="K142" s="72"/>
      <c r="L142" s="64"/>
      <c r="N142" s="72"/>
      <c r="O142" s="64"/>
      <c r="Q142" s="72"/>
      <c r="R142" s="64"/>
      <c r="T142" s="72"/>
      <c r="U142" s="64"/>
      <c r="W142" s="72"/>
      <c r="X142" s="64"/>
      <c r="Z142" s="72"/>
      <c r="AA142" s="64"/>
      <c r="AC142" s="72"/>
      <c r="AD142" s="64"/>
      <c r="AF142" s="72"/>
      <c r="AG142" s="64"/>
    </row>
    <row r="143" spans="1:33" s="60" customFormat="1">
      <c r="C143" s="71"/>
      <c r="E143" s="72"/>
      <c r="F143" s="64"/>
      <c r="G143" s="64"/>
      <c r="H143" s="72"/>
      <c r="I143" s="64"/>
      <c r="J143" s="64"/>
      <c r="K143" s="72"/>
      <c r="L143" s="64"/>
      <c r="M143" s="64"/>
      <c r="N143" s="72"/>
      <c r="O143" s="64"/>
      <c r="P143" s="64"/>
      <c r="Q143" s="72"/>
      <c r="R143" s="64"/>
      <c r="S143" s="64"/>
      <c r="T143" s="72"/>
      <c r="U143" s="64"/>
      <c r="V143" s="64"/>
      <c r="W143" s="72"/>
      <c r="X143" s="64"/>
      <c r="Y143" s="64"/>
      <c r="Z143" s="72"/>
      <c r="AA143" s="64"/>
      <c r="AB143" s="64"/>
      <c r="AC143" s="72"/>
      <c r="AD143" s="64"/>
      <c r="AE143" s="64"/>
      <c r="AF143" s="72"/>
      <c r="AG143" s="64"/>
    </row>
    <row r="144" spans="1:33">
      <c r="A144" s="60"/>
      <c r="B144" s="73" t="s">
        <v>43</v>
      </c>
      <c r="C144" s="74" t="str">
        <f>'Compare Inversores'!A12</f>
        <v>SIW400G T060 W00</v>
      </c>
      <c r="E144" s="75" t="s">
        <v>44</v>
      </c>
      <c r="F144" s="75">
        <f>$C155</f>
        <v>2</v>
      </c>
      <c r="H144" s="75" t="s">
        <v>44</v>
      </c>
      <c r="I144" s="75">
        <f>$C155</f>
        <v>2</v>
      </c>
      <c r="K144" s="75" t="s">
        <v>44</v>
      </c>
      <c r="L144" s="75">
        <f>$C155</f>
        <v>2</v>
      </c>
      <c r="N144" s="75" t="s">
        <v>44</v>
      </c>
      <c r="O144" s="75">
        <f>$C155</f>
        <v>2</v>
      </c>
      <c r="Q144" s="75" t="s">
        <v>44</v>
      </c>
      <c r="R144" s="75">
        <f>$C155</f>
        <v>2</v>
      </c>
      <c r="T144" s="75" t="s">
        <v>44</v>
      </c>
      <c r="U144" s="75">
        <f>$C155</f>
        <v>2</v>
      </c>
      <c r="W144" s="75" t="s">
        <v>44</v>
      </c>
      <c r="X144" s="75">
        <f>$C155</f>
        <v>2</v>
      </c>
      <c r="Z144" s="75" t="s">
        <v>44</v>
      </c>
      <c r="AA144" s="75">
        <f>$C155</f>
        <v>2</v>
      </c>
      <c r="AC144" s="75" t="s">
        <v>44</v>
      </c>
      <c r="AD144" s="75">
        <f>$C155</f>
        <v>2</v>
      </c>
      <c r="AF144" s="75" t="s">
        <v>44</v>
      </c>
      <c r="AG144" s="75">
        <f>$C155</f>
        <v>2</v>
      </c>
    </row>
    <row r="145" spans="1:33">
      <c r="A145" s="60"/>
      <c r="B145" s="73" t="s">
        <v>45</v>
      </c>
      <c r="C145" s="76">
        <f>VLOOKUP(C144,inv_Dados,13,0)</f>
        <v>60000</v>
      </c>
      <c r="E145" s="75" t="s">
        <v>46</v>
      </c>
      <c r="F145" s="75">
        <f>TRUNC($C153/F$15)</f>
        <v>3</v>
      </c>
      <c r="H145" s="75" t="s">
        <v>46</v>
      </c>
      <c r="I145" s="75">
        <f>TRUNC($C153/I$15)</f>
        <v>3</v>
      </c>
      <c r="K145" s="75" t="s">
        <v>46</v>
      </c>
      <c r="L145" s="75">
        <f>TRUNC($C153/L$15)</f>
        <v>3</v>
      </c>
      <c r="N145" s="75" t="s">
        <v>46</v>
      </c>
      <c r="O145" s="75">
        <f>TRUNC($C153/O$15)</f>
        <v>3</v>
      </c>
      <c r="Q145" s="75" t="s">
        <v>46</v>
      </c>
      <c r="R145" s="75">
        <f>TRUNC($C153/R$15)</f>
        <v>3</v>
      </c>
      <c r="T145" s="75" t="s">
        <v>46</v>
      </c>
      <c r="U145" s="75">
        <f>TRUNC($C153/U$15)</f>
        <v>3</v>
      </c>
      <c r="W145" s="75" t="s">
        <v>46</v>
      </c>
      <c r="X145" s="75">
        <f>TRUNC($C153/X$15)</f>
        <v>3</v>
      </c>
      <c r="Z145" s="75" t="s">
        <v>46</v>
      </c>
      <c r="AA145" s="75">
        <f>TRUNC($C153/AA$15)</f>
        <v>2</v>
      </c>
      <c r="AC145" s="75" t="s">
        <v>46</v>
      </c>
      <c r="AD145" s="75">
        <f>TRUNC($C153/AD$15)</f>
        <v>2</v>
      </c>
      <c r="AF145" s="75" t="s">
        <v>46</v>
      </c>
      <c r="AG145" s="75">
        <f>TRUNC($C153/AG$15)</f>
        <v>3</v>
      </c>
    </row>
    <row r="146" spans="1:33">
      <c r="A146" s="60"/>
      <c r="B146" s="73" t="s">
        <v>47</v>
      </c>
      <c r="C146" s="76">
        <f>C145*(1+VLOOKUP(C144,inv_Dados,33,0)/100)</f>
        <v>90000</v>
      </c>
      <c r="E146" s="75" t="s">
        <v>48</v>
      </c>
      <c r="F146" s="75">
        <f>TRUNC($C154*(1+$B$12/100)/F$16)</f>
        <v>3</v>
      </c>
      <c r="H146" s="75" t="s">
        <v>48</v>
      </c>
      <c r="I146" s="75">
        <f>TRUNC($C154*(1+$B$12/100)/I$16)</f>
        <v>3</v>
      </c>
      <c r="K146" s="75" t="s">
        <v>48</v>
      </c>
      <c r="L146" s="75">
        <f>TRUNC($C154*(1+$B$12/100)/L$16)</f>
        <v>3</v>
      </c>
      <c r="N146" s="75" t="s">
        <v>48</v>
      </c>
      <c r="O146" s="75">
        <f>TRUNC($C154*(1+$B$12/100)/O$16)</f>
        <v>3</v>
      </c>
      <c r="Q146" s="75" t="s">
        <v>48</v>
      </c>
      <c r="R146" s="75">
        <f>TRUNC($C154*(1+$B$12/100)/R$16)</f>
        <v>3</v>
      </c>
      <c r="T146" s="75" t="s">
        <v>48</v>
      </c>
      <c r="U146" s="75">
        <f>TRUNC($C154*(1+$B$12/100)/U$16)</f>
        <v>3</v>
      </c>
      <c r="W146" s="75" t="s">
        <v>48</v>
      </c>
      <c r="X146" s="75">
        <f>TRUNC($C154*(1+$B$12/100)/X$16)</f>
        <v>3</v>
      </c>
      <c r="Z146" s="75" t="s">
        <v>48</v>
      </c>
      <c r="AA146" s="75">
        <f>TRUNC($C154*(1+$B$12/100)/AA$16)</f>
        <v>2</v>
      </c>
      <c r="AC146" s="75" t="s">
        <v>48</v>
      </c>
      <c r="AD146" s="75">
        <f>TRUNC($C154*(1+$B$12/100)/AD$16)</f>
        <v>2</v>
      </c>
      <c r="AF146" s="75" t="s">
        <v>48</v>
      </c>
      <c r="AG146" s="75">
        <f>TRUNC($C154*(1+$B$12/100)/AG$16)</f>
        <v>3</v>
      </c>
    </row>
    <row r="147" spans="1:33">
      <c r="A147" s="60"/>
      <c r="B147" s="73" t="s">
        <v>49</v>
      </c>
      <c r="C147" s="76">
        <f>VLOOKUP(C144,inv_Dados,18,0)</f>
        <v>250</v>
      </c>
      <c r="E147" s="75" t="s">
        <v>50</v>
      </c>
      <c r="F147" s="75">
        <f>SMALL(F144:F146,1)</f>
        <v>2</v>
      </c>
      <c r="H147" s="75" t="s">
        <v>50</v>
      </c>
      <c r="I147" s="75">
        <f>SMALL(I144:I146,1)</f>
        <v>2</v>
      </c>
      <c r="K147" s="75" t="s">
        <v>50</v>
      </c>
      <c r="L147" s="75">
        <f>SMALL(L144:L146,1)</f>
        <v>2</v>
      </c>
      <c r="N147" s="75" t="s">
        <v>50</v>
      </c>
      <c r="O147" s="75">
        <f>SMALL(O144:O146,1)</f>
        <v>2</v>
      </c>
      <c r="Q147" s="75" t="s">
        <v>50</v>
      </c>
      <c r="R147" s="75">
        <f>SMALL(R144:R146,1)</f>
        <v>2</v>
      </c>
      <c r="T147" s="75" t="s">
        <v>50</v>
      </c>
      <c r="U147" s="75">
        <f>SMALL(U144:U146,1)</f>
        <v>2</v>
      </c>
      <c r="W147" s="75" t="s">
        <v>50</v>
      </c>
      <c r="X147" s="75">
        <f>SMALL(X144:X146,1)</f>
        <v>2</v>
      </c>
      <c r="Z147" s="75" t="s">
        <v>50</v>
      </c>
      <c r="AA147" s="75">
        <f>SMALL(AA144:AA146,1)</f>
        <v>2</v>
      </c>
      <c r="AC147" s="75" t="s">
        <v>50</v>
      </c>
      <c r="AD147" s="75">
        <f>SMALL(AD144:AD146,1)</f>
        <v>2</v>
      </c>
      <c r="AF147" s="75" t="s">
        <v>50</v>
      </c>
      <c r="AG147" s="75">
        <f>SMALL(AG144:AG146,1)</f>
        <v>2</v>
      </c>
    </row>
    <row r="148" spans="1:33">
      <c r="A148" s="60"/>
      <c r="B148" s="73" t="s">
        <v>51</v>
      </c>
      <c r="C148" s="76">
        <f>VLOOKUP(C144,inv_Dados,17,0)</f>
        <v>1100</v>
      </c>
      <c r="E148" s="75"/>
      <c r="F148" s="75"/>
      <c r="H148" s="75"/>
      <c r="I148" s="75"/>
      <c r="K148" s="75"/>
      <c r="L148" s="75"/>
      <c r="N148" s="75"/>
      <c r="O148" s="75"/>
      <c r="Q148" s="75"/>
      <c r="R148" s="75"/>
      <c r="T148" s="75"/>
      <c r="U148" s="75"/>
      <c r="W148" s="75"/>
      <c r="X148" s="75"/>
      <c r="Z148" s="75"/>
      <c r="AA148" s="75"/>
      <c r="AC148" s="75"/>
      <c r="AD148" s="75"/>
      <c r="AF148" s="75"/>
      <c r="AG148" s="75"/>
    </row>
    <row r="149" spans="1:33">
      <c r="A149" s="60"/>
      <c r="B149" s="73" t="s">
        <v>52</v>
      </c>
      <c r="C149" s="76">
        <f>VLOOKUP(C144,inv_Dados,20,0)</f>
        <v>200</v>
      </c>
      <c r="E149" s="75" t="s">
        <v>53</v>
      </c>
      <c r="F149" s="75">
        <f>ROUNDUP(IF(($C147/F$11)&gt;($C149/F$13),$C147/F$11,$C149/F$13),0)</f>
        <v>6</v>
      </c>
      <c r="H149" s="75" t="s">
        <v>53</v>
      </c>
      <c r="I149" s="75">
        <f>ROUNDUP(IF(($C147/I$11)&gt;($C149/I$13),$C147/I$11,$C149/I$13),0)</f>
        <v>6</v>
      </c>
      <c r="K149" s="75" t="s">
        <v>53</v>
      </c>
      <c r="L149" s="75">
        <f>ROUNDUP(IF(($C147/L$11)&gt;($C149/L$13),$C147/L$11,$C149/L$13),0)</f>
        <v>6</v>
      </c>
      <c r="N149" s="75" t="s">
        <v>53</v>
      </c>
      <c r="O149" s="75">
        <f>ROUNDUP(IF(($C147/O$11)&gt;($C149/O$13),$C147/O$11,$C149/O$13),0)</f>
        <v>6</v>
      </c>
      <c r="Q149" s="75" t="s">
        <v>53</v>
      </c>
      <c r="R149" s="75">
        <f>ROUNDUP(IF(($C147/R$11)&gt;($C149/R$13),$C147/R$11,$C149/R$13),0)</f>
        <v>6</v>
      </c>
      <c r="T149" s="75" t="s">
        <v>53</v>
      </c>
      <c r="U149" s="75">
        <f>ROUNDUP(IF(($C147/U$11)&gt;($C149/U$13),$C147/U$11,$C149/U$13),0)</f>
        <v>6</v>
      </c>
      <c r="W149" s="75" t="s">
        <v>53</v>
      </c>
      <c r="X149" s="75">
        <f>ROUNDUP(IF(($C147/X$11)&gt;($C149/X$13),$C147/X$11,$C149/X$13),0)</f>
        <v>5</v>
      </c>
      <c r="Z149" s="75" t="s">
        <v>53</v>
      </c>
      <c r="AA149" s="75">
        <f>ROUNDUP(IF(($C147/AA$11)&gt;($C149/AA$13),$C147/AA$11,$C149/AA$13),0)</f>
        <v>6</v>
      </c>
      <c r="AC149" s="75" t="s">
        <v>53</v>
      </c>
      <c r="AD149" s="75">
        <f>ROUNDUP(IF(($C147/AD$11)&gt;($C149/AD$13),$C147/AD$11,$C149/AD$13),0)</f>
        <v>6</v>
      </c>
      <c r="AF149" s="75" t="s">
        <v>53</v>
      </c>
      <c r="AG149" s="75">
        <f>ROUNDUP(IF(($C147/AG$11)&gt;($C149/AG$13),$C147/AG$11,$C149/AG$13),0)</f>
        <v>6</v>
      </c>
    </row>
    <row r="150" spans="1:33">
      <c r="A150" s="60"/>
      <c r="B150" s="73" t="s">
        <v>54</v>
      </c>
      <c r="C150" s="76">
        <f>VLOOKUP(C144,inv_Dados,19,0)</f>
        <v>1000</v>
      </c>
      <c r="E150" s="75" t="s">
        <v>55</v>
      </c>
      <c r="F150" s="75">
        <f>TRUNC(IF(($C148/F$12)&gt;($C150/F$14),$C150/F$14,$C148/F$12),0)</f>
        <v>21</v>
      </c>
      <c r="H150" s="75" t="s">
        <v>55</v>
      </c>
      <c r="I150" s="75">
        <f>TRUNC(IF(($C148/I$12)&gt;($C150/I$14),$C150/I$14,$C148/I$12),0)</f>
        <v>20</v>
      </c>
      <c r="K150" s="75" t="s">
        <v>55</v>
      </c>
      <c r="L150" s="75">
        <f>TRUNC(IF(($C148/L$12)&gt;($C150/L$14),$C150/L$14,$C148/L$12),0)</f>
        <v>21</v>
      </c>
      <c r="N150" s="75" t="s">
        <v>55</v>
      </c>
      <c r="O150" s="75">
        <f>TRUNC(IF(($C148/O$12)&gt;($C150/O$14),$C150/O$14,$C148/O$12),0)</f>
        <v>22</v>
      </c>
      <c r="Q150" s="75" t="s">
        <v>55</v>
      </c>
      <c r="R150" s="75">
        <f>TRUNC(IF(($C148/R$12)&gt;($C150/R$14),$C150/R$14,$C148/R$12),0)</f>
        <v>20</v>
      </c>
      <c r="T150" s="75" t="s">
        <v>55</v>
      </c>
      <c r="U150" s="75">
        <f>TRUNC(IF(($C148/U$12)&gt;($C150/U$14),$C150/U$14,$C148/U$12),0)</f>
        <v>20</v>
      </c>
      <c r="W150" s="75" t="s">
        <v>55</v>
      </c>
      <c r="X150" s="75">
        <f>TRUNC(IF(($C148/X$12)&gt;($C150/X$14),$C150/X$14,$C148/X$12),0)</f>
        <v>18</v>
      </c>
      <c r="Z150" s="75" t="s">
        <v>55</v>
      </c>
      <c r="AA150" s="75">
        <f>TRUNC(IF(($C148/AA$12)&gt;($C150/AA$14),$C150/AA$14,$C148/AA$12),0)</f>
        <v>21</v>
      </c>
      <c r="AC150" s="75" t="s">
        <v>55</v>
      </c>
      <c r="AD150" s="75">
        <f>TRUNC(IF(($C148/AD$12)&gt;($C150/AD$14),$C150/AD$14,$C148/AD$12),0)</f>
        <v>21</v>
      </c>
      <c r="AF150" s="75" t="s">
        <v>55</v>
      </c>
      <c r="AG150" s="75">
        <f>TRUNC(IF(($C148/AG$12)&gt;($C150/AG$14),$C150/AG$14,$C148/AG$12),0)</f>
        <v>20</v>
      </c>
    </row>
    <row r="151" spans="1:33">
      <c r="A151" s="60"/>
      <c r="B151" s="73" t="s">
        <v>56</v>
      </c>
      <c r="C151" s="76">
        <f>VLOOKUP(C144,inv_Dados,22,0)</f>
        <v>550</v>
      </c>
      <c r="E151" s="75" t="s">
        <v>57</v>
      </c>
      <c r="F151" s="75">
        <f>ROUNDUP(IF(($C151/F$13)&gt;F149,$C151/F$13,F149),0)</f>
        <v>15</v>
      </c>
      <c r="H151" s="75" t="s">
        <v>57</v>
      </c>
      <c r="I151" s="75">
        <f>ROUNDUP(IF(($C151/I$13)&gt;I149,$C151/I$13,I149),0)</f>
        <v>14</v>
      </c>
      <c r="K151" s="75" t="s">
        <v>57</v>
      </c>
      <c r="L151" s="75">
        <f>ROUNDUP(IF(($C151/L$13)&gt;L149,$C151/L$13,L149),0)</f>
        <v>15</v>
      </c>
      <c r="N151" s="75" t="s">
        <v>57</v>
      </c>
      <c r="O151" s="75">
        <f>ROUNDUP(IF(($C151/O$13)&gt;O149,$C151/O$13,O149),0)</f>
        <v>15</v>
      </c>
      <c r="Q151" s="75" t="s">
        <v>57</v>
      </c>
      <c r="R151" s="75">
        <f>ROUNDUP(IF(($C151/R$13)&gt;R149,$C151/R$13,R149),0)</f>
        <v>14</v>
      </c>
      <c r="T151" s="75" t="s">
        <v>57</v>
      </c>
      <c r="U151" s="75">
        <f>ROUNDUP(IF(($C151/U$13)&gt;U149,$C151/U$13,U149),0)</f>
        <v>14</v>
      </c>
      <c r="W151" s="75" t="s">
        <v>57</v>
      </c>
      <c r="X151" s="75">
        <f>ROUNDUP(IF(($C151/X$13)&gt;X149,$C151/X$13,X149),0)</f>
        <v>13</v>
      </c>
      <c r="Z151" s="75" t="s">
        <v>57</v>
      </c>
      <c r="AA151" s="75">
        <f>ROUNDUP(IF(($C151/AA$13)&gt;AA149,$C151/AA$13,AA149),0)</f>
        <v>14</v>
      </c>
      <c r="AC151" s="75" t="s">
        <v>57</v>
      </c>
      <c r="AD151" s="75">
        <f>ROUNDUP(IF(($C151/AD$13)&gt;AD149,$C151/AD$13,AD149),0)</f>
        <v>15</v>
      </c>
      <c r="AF151" s="75" t="s">
        <v>57</v>
      </c>
      <c r="AG151" s="75">
        <f>ROUNDUP(IF(($C151/AG$13)&gt;AG149,$C151/AG$13,AG149),0)</f>
        <v>14</v>
      </c>
    </row>
    <row r="152" spans="1:33">
      <c r="A152" s="60"/>
      <c r="B152" s="73" t="s">
        <v>58</v>
      </c>
      <c r="C152" s="76">
        <f>VLOOKUP(C144,inv_Dados,21,0)</f>
        <v>800</v>
      </c>
      <c r="E152" s="75" t="s">
        <v>59</v>
      </c>
      <c r="F152" s="75">
        <f>TRUNC(IF(($C152/F$14)&gt;F150,F150,$C152/F$14),0)</f>
        <v>18</v>
      </c>
      <c r="H152" s="75" t="s">
        <v>59</v>
      </c>
      <c r="I152" s="75">
        <f>TRUNC(IF(($C152/I$14)&gt;I150,I150,$C152/I$14),0)</f>
        <v>18</v>
      </c>
      <c r="K152" s="75" t="s">
        <v>59</v>
      </c>
      <c r="L152" s="75">
        <f>TRUNC(IF(($C152/L$14)&gt;L150,L150,$C152/L$14),0)</f>
        <v>18</v>
      </c>
      <c r="N152" s="75" t="s">
        <v>59</v>
      </c>
      <c r="O152" s="75">
        <f>TRUNC(IF(($C152/O$14)&gt;O150,O150,$C152/O$14),0)</f>
        <v>19</v>
      </c>
      <c r="Q152" s="75" t="s">
        <v>59</v>
      </c>
      <c r="R152" s="75">
        <f>TRUNC(IF(($C152/R$14)&gt;R150,R150,$C152/R$14),0)</f>
        <v>18</v>
      </c>
      <c r="T152" s="75" t="s">
        <v>59</v>
      </c>
      <c r="U152" s="75">
        <f>TRUNC(IF(($C152/U$14)&gt;U150,U150,$C152/U$14),0)</f>
        <v>17</v>
      </c>
      <c r="W152" s="75" t="s">
        <v>59</v>
      </c>
      <c r="X152" s="75">
        <f>TRUNC(IF(($C152/X$14)&gt;X150,X150,$C152/X$14),0)</f>
        <v>16</v>
      </c>
      <c r="Z152" s="75" t="s">
        <v>59</v>
      </c>
      <c r="AA152" s="75">
        <f>TRUNC(IF(($C152/AA$14)&gt;AA150,AA150,$C152/AA$14),0)</f>
        <v>18</v>
      </c>
      <c r="AC152" s="75" t="s">
        <v>59</v>
      </c>
      <c r="AD152" s="75">
        <f>TRUNC(IF(($C152/AD$14)&gt;AD150,AD150,$C152/AD$14),0)</f>
        <v>18</v>
      </c>
      <c r="AF152" s="75" t="s">
        <v>59</v>
      </c>
      <c r="AG152" s="75">
        <f>TRUNC(IF(($C152/AG$14)&gt;AG150,AG150,$C152/AG$14),0)</f>
        <v>17</v>
      </c>
    </row>
    <row r="153" spans="1:33">
      <c r="A153" s="60"/>
      <c r="B153" s="73" t="s">
        <v>60</v>
      </c>
      <c r="C153" s="76">
        <f>VLOOKUP(C144,inv_Dados,24,0)</f>
        <v>50</v>
      </c>
      <c r="E153" s="75" t="s">
        <v>61</v>
      </c>
      <c r="F153" s="75">
        <f>IF(($C156*F147*F152*F$3)&gt;($C146*(1+$B$10/100)),INT(($C146*(1+$B$10/100))/F$3),F152*$C156*F147)</f>
        <v>164</v>
      </c>
      <c r="H153" s="75" t="s">
        <v>61</v>
      </c>
      <c r="I153" s="75">
        <f>IF(($C156*I147*I152*I$3)&gt;($C146*(1+$B$10/100)),INT(($C146*(1+$B$10/100))/I$3),I152*$C156*I147)</f>
        <v>164</v>
      </c>
      <c r="K153" s="75" t="s">
        <v>61</v>
      </c>
      <c r="L153" s="75">
        <f>IF(($C156*L147*L152*L$3)&gt;($C146*(1+$B$10/100)),INT(($C146*(1+$B$10/100))/L$3),L152*$C156*L147)</f>
        <v>162</v>
      </c>
      <c r="N153" s="75" t="s">
        <v>61</v>
      </c>
      <c r="O153" s="75">
        <f>IF(($C156*O147*O152*O$3)&gt;($C146*(1+$B$10/100)),INT(($C146*(1+$B$10/100))/O$3),O152*$C156*O147)</f>
        <v>158</v>
      </c>
      <c r="Q153" s="75" t="s">
        <v>61</v>
      </c>
      <c r="R153" s="75">
        <f>IF(($C156*R147*R152*R$3)&gt;($C146*(1+$B$10/100)),INT(($C146*(1+$B$10/100))/R$3),R152*$C156*R147)</f>
        <v>158</v>
      </c>
      <c r="T153" s="75" t="s">
        <v>61</v>
      </c>
      <c r="U153" s="75">
        <f>IF(($C156*U147*U152*U$3)&gt;($C146*(1+$B$10/100)),INT(($C146*(1+$B$10/100))/U$3),U152*$C156*U147)</f>
        <v>154</v>
      </c>
      <c r="W153" s="75" t="s">
        <v>61</v>
      </c>
      <c r="X153" s="75">
        <f>IF(($C156*X147*X152*X$3)&gt;($C146*(1+$B$10/100)),INT(($C146*(1+$B$10/100))/X$3),X152*$C156*X147)</f>
        <v>142</v>
      </c>
      <c r="Z153" s="75" t="s">
        <v>61</v>
      </c>
      <c r="AA153" s="75">
        <f>IF(($C156*AA147*AA152*AA$3)&gt;($C146*(1+$B$10/100)),INT(($C146*(1+$B$10/100))/AA$3),AA152*$C156*AA147)</f>
        <v>129</v>
      </c>
      <c r="AC153" s="75" t="s">
        <v>61</v>
      </c>
      <c r="AD153" s="75">
        <f>IF(($C156*AD147*AD152*AD$3)&gt;($C146*(1+$B$10/100)),INT(($C146*(1+$B$10/100))/AD$3),AD152*$C156*AD147)</f>
        <v>127</v>
      </c>
      <c r="AF153" s="75" t="s">
        <v>61</v>
      </c>
      <c r="AG153" s="75">
        <f>IF(($C156*AG147*AG152*AG$3)&gt;($C146*(1+$B$10/100)),INT(($C146*(1+$B$10/100))/AG$3),AG152*$C156*AG147)</f>
        <v>157</v>
      </c>
    </row>
    <row r="154" spans="1:33">
      <c r="A154" s="60"/>
      <c r="B154" s="73" t="s">
        <v>62</v>
      </c>
      <c r="C154" s="76">
        <f>VLOOKUP(C144,inv_Dados,25,0)</f>
        <v>40</v>
      </c>
      <c r="E154" s="75" t="s">
        <v>63</v>
      </c>
      <c r="F154" s="75">
        <f>F153*F$3</f>
        <v>90200</v>
      </c>
      <c r="H154" s="75" t="s">
        <v>63</v>
      </c>
      <c r="I154" s="75">
        <f>I153*I$3</f>
        <v>90200</v>
      </c>
      <c r="K154" s="75" t="s">
        <v>63</v>
      </c>
      <c r="L154" s="75">
        <f>L153*L$3</f>
        <v>89910</v>
      </c>
      <c r="N154" s="75" t="s">
        <v>63</v>
      </c>
      <c r="O154" s="75">
        <f>O153*O$3</f>
        <v>90060</v>
      </c>
      <c r="Q154" s="75" t="s">
        <v>63</v>
      </c>
      <c r="R154" s="75">
        <f>R153*R$3</f>
        <v>90060</v>
      </c>
      <c r="T154" s="75" t="s">
        <v>63</v>
      </c>
      <c r="U154" s="75">
        <f>U153*U$3</f>
        <v>90090</v>
      </c>
      <c r="W154" s="75" t="s">
        <v>63</v>
      </c>
      <c r="X154" s="75">
        <f>X153*X$3</f>
        <v>90170</v>
      </c>
      <c r="Z154" s="75" t="s">
        <v>63</v>
      </c>
      <c r="AA154" s="75">
        <f>AA153*AA$3</f>
        <v>90300</v>
      </c>
      <c r="AC154" s="75" t="s">
        <v>63</v>
      </c>
      <c r="AD154" s="75">
        <f>AD153*AD$3</f>
        <v>90170</v>
      </c>
      <c r="AF154" s="75" t="s">
        <v>63</v>
      </c>
      <c r="AG154" s="75">
        <f>AG153*AG$3</f>
        <v>90275</v>
      </c>
    </row>
    <row r="155" spans="1:33">
      <c r="A155" s="60"/>
      <c r="B155" s="73" t="s">
        <v>44</v>
      </c>
      <c r="C155" s="76">
        <f>VLOOKUP(C144,inv_Dados,15,0)</f>
        <v>2</v>
      </c>
      <c r="E155" s="72"/>
      <c r="F155" s="64"/>
      <c r="H155" s="72"/>
      <c r="I155" s="64"/>
      <c r="K155" s="72"/>
      <c r="L155" s="64"/>
      <c r="N155" s="72"/>
      <c r="O155" s="64"/>
      <c r="Q155" s="72"/>
      <c r="R155" s="64"/>
      <c r="T155" s="72"/>
      <c r="U155" s="64"/>
      <c r="W155" s="72"/>
      <c r="X155" s="64"/>
      <c r="Z155" s="72"/>
      <c r="AA155" s="64"/>
      <c r="AC155" s="72"/>
      <c r="AD155" s="64"/>
      <c r="AF155" s="72"/>
      <c r="AG155" s="64"/>
    </row>
    <row r="156" spans="1:33">
      <c r="A156" s="60"/>
      <c r="B156" s="73" t="s">
        <v>64</v>
      </c>
      <c r="C156" s="76">
        <f>VLOOKUP(C144,inv_Dados,16,0)</f>
        <v>6</v>
      </c>
      <c r="E156" s="72"/>
      <c r="F156" s="64"/>
      <c r="H156" s="72"/>
      <c r="I156" s="64"/>
      <c r="K156" s="72"/>
      <c r="L156" s="64"/>
      <c r="N156" s="72"/>
      <c r="O156" s="64"/>
      <c r="Q156" s="72"/>
      <c r="R156" s="64"/>
      <c r="T156" s="72"/>
      <c r="U156" s="64"/>
      <c r="W156" s="72"/>
      <c r="X156" s="64"/>
      <c r="Z156" s="72"/>
      <c r="AA156" s="64"/>
      <c r="AC156" s="72"/>
      <c r="AD156" s="64"/>
      <c r="AF156" s="72"/>
      <c r="AG156" s="64"/>
    </row>
    <row r="157" spans="1:33" s="60" customFormat="1">
      <c r="E157" s="72"/>
      <c r="F157" s="64"/>
      <c r="G157" s="64"/>
      <c r="H157" s="72"/>
      <c r="I157" s="64"/>
      <c r="J157" s="64"/>
      <c r="K157" s="72"/>
      <c r="L157" s="64"/>
      <c r="M157" s="64"/>
      <c r="N157" s="72"/>
      <c r="O157" s="64"/>
      <c r="P157" s="64"/>
      <c r="Q157" s="72"/>
      <c r="R157" s="64"/>
      <c r="S157" s="64"/>
      <c r="T157" s="72"/>
      <c r="U157" s="64"/>
      <c r="V157" s="64"/>
      <c r="W157" s="72"/>
      <c r="X157" s="64"/>
      <c r="Y157" s="64"/>
      <c r="Z157" s="72"/>
      <c r="AA157" s="64"/>
      <c r="AB157" s="64"/>
      <c r="AC157" s="72"/>
      <c r="AD157" s="64"/>
      <c r="AE157" s="64"/>
      <c r="AF157" s="72"/>
      <c r="AG157" s="64"/>
    </row>
  </sheetData>
  <mergeCells count="12">
    <mergeCell ref="A18:A142"/>
    <mergeCell ref="E1:AG1"/>
    <mergeCell ref="E2:F2"/>
    <mergeCell ref="H2:I2"/>
    <mergeCell ref="K2:L2"/>
    <mergeCell ref="N2:O2"/>
    <mergeCell ref="Q2:R2"/>
    <mergeCell ref="T2:U2"/>
    <mergeCell ref="W2:X2"/>
    <mergeCell ref="Z2:AA2"/>
    <mergeCell ref="AC2:AD2"/>
    <mergeCell ref="AF2:A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tabSelected="1" workbookViewId="0">
      <selection activeCell="B3" sqref="B3"/>
    </sheetView>
  </sheetViews>
  <sheetFormatPr defaultColWidth="9" defaultRowHeight="15"/>
  <cols>
    <col min="1" max="1" width="39.5703125" customWidth="1"/>
    <col min="2" max="2" width="21.7109375" customWidth="1"/>
    <col min="4" max="4" width="36" customWidth="1"/>
    <col min="5" max="5" width="26.7109375" customWidth="1"/>
    <col min="6" max="6" width="8.140625" customWidth="1"/>
    <col min="7" max="7" width="33.42578125" customWidth="1"/>
    <col min="8" max="8" width="21.7109375" customWidth="1"/>
    <col min="9" max="10" width="25.140625" customWidth="1"/>
    <col min="11" max="11" width="32" customWidth="1"/>
    <col min="12" max="12" width="33.42578125" customWidth="1"/>
  </cols>
  <sheetData>
    <row r="1" spans="1:8">
      <c r="D1" s="99" t="s">
        <v>65</v>
      </c>
      <c r="E1" s="100"/>
      <c r="G1" s="101" t="s">
        <v>66</v>
      </c>
      <c r="H1" s="102"/>
    </row>
    <row r="2" spans="1:8">
      <c r="A2" s="26" t="s">
        <v>65</v>
      </c>
      <c r="B2" s="27" t="s">
        <v>0</v>
      </c>
      <c r="D2" s="28" t="s">
        <v>43</v>
      </c>
      <c r="E2" s="29" t="str">
        <f>$B$2</f>
        <v>WPV 550 HMM3</v>
      </c>
      <c r="G2" s="30" t="s">
        <v>43</v>
      </c>
      <c r="H2" s="31" t="str">
        <f>$B$3</f>
        <v>SIW200G M030 W1</v>
      </c>
    </row>
    <row r="3" spans="1:8">
      <c r="A3" s="32" t="s">
        <v>66</v>
      </c>
      <c r="B3" s="33" t="s">
        <v>418</v>
      </c>
      <c r="D3" s="34" t="s">
        <v>25</v>
      </c>
      <c r="E3" s="35">
        <f>VLOOKUP(B2,mod_Dados,9,0)</f>
        <v>550</v>
      </c>
      <c r="G3" s="30" t="s">
        <v>45</v>
      </c>
      <c r="H3" s="36">
        <f>VLOOKUP($H$2,inv_Dados,13,0)</f>
        <v>3000</v>
      </c>
    </row>
    <row r="4" spans="1:8">
      <c r="A4" s="32" t="s">
        <v>68</v>
      </c>
      <c r="B4" s="37">
        <v>19</v>
      </c>
      <c r="D4" s="34" t="s">
        <v>36</v>
      </c>
      <c r="E4" s="38">
        <f>$E$11*(1+(($B$6-25)*$E$15/100))</f>
        <v>46.531749999999995</v>
      </c>
      <c r="G4" s="30" t="s">
        <v>69</v>
      </c>
      <c r="H4" s="36">
        <f>H3*(1+VLOOKUP($H$2,inv_Dados,32,0)/100)</f>
        <v>3389.9999999999995</v>
      </c>
    </row>
    <row r="5" spans="1:8">
      <c r="A5" s="32" t="s">
        <v>70</v>
      </c>
      <c r="B5" s="37">
        <v>10</v>
      </c>
      <c r="D5" s="34" t="s">
        <v>37</v>
      </c>
      <c r="E5" s="38">
        <f>$E$11*(1+(($B$5-25)*$E$15/100))</f>
        <v>51.920949999999998</v>
      </c>
      <c r="G5" s="30" t="s">
        <v>49</v>
      </c>
      <c r="H5" s="36">
        <f>VLOOKUP($H$2,inv_Dados,18,0)</f>
        <v>120</v>
      </c>
    </row>
    <row r="6" spans="1:8">
      <c r="A6" s="39" t="s">
        <v>71</v>
      </c>
      <c r="B6" s="40">
        <v>50</v>
      </c>
      <c r="D6" s="34" t="s">
        <v>38</v>
      </c>
      <c r="E6" s="38">
        <f>$E$12*(1+(($B$6-25)*$E$15/100))</f>
        <v>39.127699999999997</v>
      </c>
      <c r="G6" s="30" t="s">
        <v>51</v>
      </c>
      <c r="H6" s="36">
        <f>VLOOKUP($H$2,inv_Dados,17,0)</f>
        <v>600</v>
      </c>
    </row>
    <row r="7" spans="1:8">
      <c r="A7" s="39" t="s">
        <v>72</v>
      </c>
      <c r="B7" s="40">
        <v>0.5</v>
      </c>
      <c r="D7" s="34" t="s">
        <v>39</v>
      </c>
      <c r="E7" s="38">
        <f>$E$12*(1+(($B$5-25)*$E$15/100))</f>
        <v>43.659379999999999</v>
      </c>
      <c r="G7" s="30" t="s">
        <v>52</v>
      </c>
      <c r="H7" s="36">
        <f>VLOOKUP($H$2,inv_Dados,20,0)</f>
        <v>80</v>
      </c>
    </row>
    <row r="8" spans="1:8">
      <c r="A8" s="39" t="s">
        <v>73</v>
      </c>
      <c r="B8" s="40">
        <v>10</v>
      </c>
      <c r="D8" s="34" t="s">
        <v>40</v>
      </c>
      <c r="E8" s="38">
        <f>$E$13*(1+(($B$6-25)*$E$16/100))</f>
        <v>14.157499999999999</v>
      </c>
      <c r="G8" s="30" t="s">
        <v>54</v>
      </c>
      <c r="H8" s="36">
        <f>VLOOKUP($H$2,inv_Dados,19,0)</f>
        <v>550</v>
      </c>
    </row>
    <row r="9" spans="1:8">
      <c r="D9" s="41" t="s">
        <v>74</v>
      </c>
      <c r="E9" s="42">
        <f>$E$14*(1+(($B$6-25)*$E$16/100))</f>
        <v>13.2574875</v>
      </c>
      <c r="G9" s="30" t="s">
        <v>56</v>
      </c>
      <c r="H9" s="36">
        <f>VLOOKUP($H$2,inv_Dados,22,0)</f>
        <v>130</v>
      </c>
    </row>
    <row r="10" spans="1:8">
      <c r="D10" s="43"/>
      <c r="E10" s="44"/>
      <c r="G10" s="30" t="s">
        <v>58</v>
      </c>
      <c r="H10" s="36">
        <f>VLOOKUP($H$2,inv_Dados,21,0)</f>
        <v>550</v>
      </c>
    </row>
    <row r="11" spans="1:8">
      <c r="A11" s="45" t="s">
        <v>75</v>
      </c>
      <c r="B11" s="46">
        <f>TRUNC(IF(IF(H12*(1+$B$8/100)/E9&gt;H13,H13,H12*(1+$B$8/100)/E9)&gt;(H11/E8),H11/E8,IF(H12*(1+$B$8/100)/E9&gt;H13,H13,H12*(1+$B$8/100)/E9)))</f>
        <v>1</v>
      </c>
      <c r="D11" s="47" t="s">
        <v>76</v>
      </c>
      <c r="E11" s="48">
        <f>VLOOKUP($E$2,mod_Dados,10,0)</f>
        <v>49.9</v>
      </c>
      <c r="G11" s="30" t="s">
        <v>60</v>
      </c>
      <c r="H11" s="36">
        <f>VLOOKUP($H$2,inv_Dados,24,0)</f>
        <v>18</v>
      </c>
    </row>
    <row r="12" spans="1:8">
      <c r="A12" s="49" t="s">
        <v>77</v>
      </c>
      <c r="B12" s="50">
        <f>ROUNDUP(IF((H5/E4)&gt;(H7/E6),H5/E4,H7/E6),0)</f>
        <v>3</v>
      </c>
      <c r="D12" s="34" t="s">
        <v>78</v>
      </c>
      <c r="E12" s="51">
        <f>VLOOKUP($E$2,mod_Dados,11,0)</f>
        <v>41.96</v>
      </c>
      <c r="G12" s="30" t="s">
        <v>62</v>
      </c>
      <c r="H12" s="36">
        <f>VLOOKUP($H$2,inv_Dados,25,0)</f>
        <v>14</v>
      </c>
    </row>
    <row r="13" spans="1:8">
      <c r="A13" s="49" t="s">
        <v>79</v>
      </c>
      <c r="B13" s="50">
        <f>TRUNC(IF((H8/E7)&gt;(H6/E5),H6/E5,H8/E7),0)</f>
        <v>11</v>
      </c>
      <c r="D13" s="34" t="s">
        <v>80</v>
      </c>
      <c r="E13" s="51">
        <f>VLOOKUP($E$2,mod_Dados,12,0)</f>
        <v>14</v>
      </c>
      <c r="G13" s="30" t="s">
        <v>44</v>
      </c>
      <c r="H13" s="36">
        <f>VLOOKUP($H$2,inv_Dados,15,0)</f>
        <v>1</v>
      </c>
    </row>
    <row r="14" spans="1:8">
      <c r="A14" s="49" t="s">
        <v>57</v>
      </c>
      <c r="B14" s="50">
        <f>ROUNDUP(IF((H9/E6)&gt;B12,H9/E6,B12),0)</f>
        <v>4</v>
      </c>
      <c r="D14" s="34" t="s">
        <v>81</v>
      </c>
      <c r="E14" s="51">
        <f>VLOOKUP($E$2,mod_Dados,13,0)</f>
        <v>13.11</v>
      </c>
      <c r="G14" s="52" t="s">
        <v>64</v>
      </c>
      <c r="H14" s="53">
        <f>VLOOKUP($H$2,inv_Dados,16,0)</f>
        <v>2</v>
      </c>
    </row>
    <row r="15" spans="1:8">
      <c r="A15" s="54" t="s">
        <v>59</v>
      </c>
      <c r="B15" s="55">
        <f>TRUNC(IF((H10/E7)&gt;B13,B13,H10/E7),0)</f>
        <v>11</v>
      </c>
      <c r="D15" s="34" t="s">
        <v>32</v>
      </c>
      <c r="E15" s="51">
        <f>VLOOKUP($E$2,mod_Dados,15,0)</f>
        <v>-0.27</v>
      </c>
    </row>
    <row r="16" spans="1:8">
      <c r="A16" s="54" t="s">
        <v>61</v>
      </c>
      <c r="B16" s="55">
        <f>IF((H14*B11*B15*E3*(1+$B$7/100))&gt;(H4),INT((H4)/E3),B15*H14*B11)</f>
        <v>6</v>
      </c>
      <c r="D16" s="34" t="s">
        <v>34</v>
      </c>
      <c r="E16" s="51">
        <f>VLOOKUP($E$2,mod_Dados,16,0)</f>
        <v>4.4999999999999998E-2</v>
      </c>
    </row>
    <row r="17" spans="1:5">
      <c r="A17" s="56" t="s">
        <v>69</v>
      </c>
      <c r="B17" s="57">
        <f>B16*E3</f>
        <v>3300</v>
      </c>
      <c r="D17" s="41" t="s">
        <v>82</v>
      </c>
      <c r="E17" s="58">
        <f>VLOOKUP($E$2,mod_Dados,14,0)</f>
        <v>-0.35</v>
      </c>
    </row>
    <row r="19" spans="1:5">
      <c r="A19" s="103" t="s">
        <v>83</v>
      </c>
      <c r="B19" s="103"/>
    </row>
    <row r="20" spans="1:5">
      <c r="A20" s="59" t="s">
        <v>84</v>
      </c>
      <c r="B20" s="59">
        <f>ROUNDUP(B4/B15,0)</f>
        <v>2</v>
      </c>
    </row>
    <row r="21" spans="1:5">
      <c r="A21" s="59" t="s">
        <v>85</v>
      </c>
      <c r="B21" s="59">
        <f>ROUND(IF(B11*H14&gt;(B4/B14),B4/B14,B11*H14),0)</f>
        <v>2</v>
      </c>
    </row>
  </sheetData>
  <mergeCells count="3">
    <mergeCell ref="D1:E1"/>
    <mergeCell ref="G1:H1"/>
    <mergeCell ref="A19:B19"/>
  </mergeCells>
  <dataValidations count="2">
    <dataValidation type="list" allowBlank="1" showInputMessage="1" showErrorMessage="1" promptTitle="Modulos" prompt="Selecione um módulo" sqref="B2" xr:uid="{00000000-0002-0000-0200-000000000000}">
      <formula1>mod_Modelo</formula1>
    </dataValidation>
    <dataValidation type="list" allowBlank="1" showInputMessage="1" showErrorMessage="1" promptTitle="Inversores" prompt="Selecione um inversor" sqref="B3" xr:uid="{00000000-0002-0000-0200-000001000000}">
      <formula1>inv_Modelo</formula1>
    </dataValidation>
  </dataValidations>
  <pageMargins left="0.511811024" right="0.511811024" top="0.78740157499999996" bottom="0.78740157499999996" header="0.31496062000000002" footer="0.31496062000000002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00"/>
  <sheetViews>
    <sheetView workbookViewId="0">
      <pane xSplit="1" topLeftCell="B1" activePane="topRight" state="frozen"/>
      <selection pane="topRight" activeCell="E121" sqref="E121:F121"/>
    </sheetView>
  </sheetViews>
  <sheetFormatPr defaultColWidth="9" defaultRowHeight="15"/>
  <cols>
    <col min="1" max="1" width="22" style="14" customWidth="1"/>
    <col min="2" max="2" width="13.28515625" style="3" customWidth="1"/>
    <col min="3" max="8" width="18" style="3" customWidth="1"/>
    <col min="9" max="9" width="22.140625" style="3" customWidth="1"/>
    <col min="10" max="10" width="9.140625" style="3"/>
    <col min="11" max="11" width="12.5703125" style="3" customWidth="1"/>
    <col min="12" max="13" width="9.140625" style="3"/>
    <col min="14" max="14" width="37.140625" style="3" customWidth="1"/>
    <col min="15" max="15" width="42.28515625" style="3" customWidth="1"/>
    <col min="16" max="16" width="42.85546875" style="4" customWidth="1"/>
    <col min="18" max="18" width="20.28515625" customWidth="1"/>
    <col min="19" max="19" width="15.140625" customWidth="1"/>
    <col min="22" max="22" width="128.42578125" customWidth="1"/>
  </cols>
  <sheetData>
    <row r="1" spans="1:22">
      <c r="A1" s="15" t="s">
        <v>43</v>
      </c>
      <c r="B1" s="16" t="s">
        <v>86</v>
      </c>
      <c r="C1" s="16" t="s">
        <v>87</v>
      </c>
      <c r="D1" s="16" t="s">
        <v>88</v>
      </c>
      <c r="E1" s="16" t="s">
        <v>89</v>
      </c>
      <c r="F1" s="16" t="s">
        <v>90</v>
      </c>
      <c r="G1" s="16" t="s">
        <v>91</v>
      </c>
      <c r="H1" s="16" t="s">
        <v>92</v>
      </c>
      <c r="I1" s="16" t="s">
        <v>93</v>
      </c>
      <c r="J1" s="16" t="s">
        <v>94</v>
      </c>
      <c r="K1" s="16" t="s">
        <v>95</v>
      </c>
      <c r="L1" s="16" t="s">
        <v>96</v>
      </c>
      <c r="M1" s="16" t="s">
        <v>97</v>
      </c>
      <c r="N1" s="16" t="s">
        <v>98</v>
      </c>
      <c r="O1" s="16" t="s">
        <v>99</v>
      </c>
      <c r="P1" s="18" t="s">
        <v>100</v>
      </c>
      <c r="R1" t="s">
        <v>101</v>
      </c>
      <c r="S1" t="s">
        <v>102</v>
      </c>
      <c r="T1" t="s">
        <v>103</v>
      </c>
      <c r="V1" t="s">
        <v>104</v>
      </c>
    </row>
    <row r="2" spans="1:22">
      <c r="A2" s="17" t="s">
        <v>105</v>
      </c>
      <c r="B2" s="3" t="s">
        <v>106</v>
      </c>
      <c r="C2" s="3" t="s">
        <v>107</v>
      </c>
      <c r="D2" s="3" t="s">
        <v>108</v>
      </c>
      <c r="E2" s="3">
        <v>2018</v>
      </c>
      <c r="F2" s="3">
        <v>1002</v>
      </c>
      <c r="G2" s="3">
        <v>35</v>
      </c>
      <c r="H2" s="3">
        <v>22.6</v>
      </c>
      <c r="I2" s="3">
        <v>405</v>
      </c>
      <c r="J2" s="3">
        <v>49.53</v>
      </c>
      <c r="K2" s="3">
        <v>41.59</v>
      </c>
      <c r="L2" s="3">
        <v>10.31</v>
      </c>
      <c r="M2" s="3">
        <v>9.74</v>
      </c>
      <c r="N2" s="3">
        <v>-0.35</v>
      </c>
      <c r="O2" s="3">
        <v>-0.28000000000000003</v>
      </c>
      <c r="P2" s="4">
        <v>3.5000000000000003E-2</v>
      </c>
      <c r="R2" t="str">
        <f>IF(B2="WEG","1",IF(B2="HUAWEI","2",IF(B2="FOX ESS","3",IF(B2="GOODWE","4",IF(B2="PHB","5",IF(B2="ASTRONERGY","6",IF(B2="BYD","7",IF(B2="HUASUN","8",IF(B2="JA SOLAR","9",IF(B2="JINKO","10",IF(B2="LONGI","11",IF(B2="RISEN","12",IF(B2="SUNOVA","13",IF(B2="TALESUN","14",IF(B2="TRINA SOLAR","15","NÃO CADASTRADO")))))))))))))))</f>
        <v>6</v>
      </c>
      <c r="S2" t="s">
        <v>109</v>
      </c>
      <c r="T2">
        <v>0</v>
      </c>
      <c r="V2" t="str">
        <f>_xlfn.CONCAT("('",A2,"', ",R2,", ",E2,", ",F2,", ",G2,", ",SUBSTITUTE(H2,",","."),", ",I2,", ",SUBSTITUTE(K2,",","."),", ",SUBSTITUTE(M2,",","."),", ",SUBSTITUTE(J2,",","."),", ",SUBSTITUTE(L2,",","."),", '",D2,"', '",S2,"', '",C2,"', ",SUBSTITUTE(N2,",","."),", ",SUBSTITUTE(O2,",","."),", ",SUBSTITUTE(P2,",","."),", ",T2,"),")</f>
        <v>('CHSM72M-HC-405', 6, 2018, 1002, 35, 22.6, 405, 41.59, 9.74, 49.53, 10.31, 'MONOCRISTALINO', 'HALF CELL', 'MONOFACIAL', -0.35, -0.28, 0.035, 0),</v>
      </c>
    </row>
    <row r="3" spans="1:22">
      <c r="A3" s="17" t="s">
        <v>110</v>
      </c>
      <c r="B3" s="3" t="s">
        <v>106</v>
      </c>
      <c r="C3" s="3" t="s">
        <v>107</v>
      </c>
      <c r="D3" s="3" t="s">
        <v>108</v>
      </c>
      <c r="E3" s="3">
        <v>2018</v>
      </c>
      <c r="F3" s="3">
        <v>1002</v>
      </c>
      <c r="G3" s="3">
        <v>35</v>
      </c>
      <c r="H3" s="3">
        <v>22.6</v>
      </c>
      <c r="I3" s="3">
        <v>410</v>
      </c>
      <c r="J3" s="3">
        <v>49.8</v>
      </c>
      <c r="K3" s="3">
        <v>41.85</v>
      </c>
      <c r="L3" s="3">
        <v>10.38</v>
      </c>
      <c r="M3" s="3">
        <v>9.8000000000000007</v>
      </c>
      <c r="N3" s="3">
        <v>-0.35</v>
      </c>
      <c r="O3" s="3">
        <v>-0.28000000000000003</v>
      </c>
      <c r="P3" s="4">
        <v>3.5000000000000003E-2</v>
      </c>
      <c r="R3" t="str">
        <f t="shared" ref="R3:R34" si="0">IF(B3="WEG","1",IF(B3="HUAWEI","2",IF(B3="FOX ESS","3",IF(B3="GOODWE","4",IF(B3="PHB","5",IF(B3="ASTRONERGY","6",IF(B3="BYD","7",IF(B3="HUASUN","8",IF(B3="JA SOLAR","9",IF(B3="JINKO","10",IF(B3="LONGI","11",IF(B3="RISEN","12",IF(B3="SUNOVA","13",IF(B3="TALESUN","14",IF(B3="TRINA SOLAR","15","NÃO CADASTRADO")))))))))))))))</f>
        <v>6</v>
      </c>
      <c r="S3" t="s">
        <v>109</v>
      </c>
      <c r="T3">
        <v>0</v>
      </c>
      <c r="V3" t="str">
        <f t="shared" ref="V3:V34" si="1">_xlfn.CONCAT("('",A3,"', ",R3,", ",E3,", ",F3,", ",G3,", ",SUBSTITUTE(H3,",","."),", ",I3,", ",SUBSTITUTE(K3,",","."),", ",SUBSTITUTE(M3,",","."),", ",SUBSTITUTE(J3,",","."),", ",SUBSTITUTE(L3,",","."),", '",D3,"', '",S3,"', '",C3,"', ",SUBSTITUTE(N3,",","."),", ",SUBSTITUTE(O3,",","."),", ",SUBSTITUTE(P3,",","."),", ",T3,"),")</f>
        <v>('CHSM72M-HC-410', 6, 2018, 1002, 35, 22.6, 410, 41.85, 9.8, 49.8, 10.38, 'MONOCRISTALINO', 'HALF CELL', 'MONOFACIAL', -0.35, -0.28, 0.035, 0),</v>
      </c>
    </row>
    <row r="4" spans="1:22">
      <c r="A4" s="17" t="s">
        <v>111</v>
      </c>
      <c r="B4" s="3" t="s">
        <v>106</v>
      </c>
      <c r="C4" s="3" t="s">
        <v>107</v>
      </c>
      <c r="D4" s="3" t="s">
        <v>108</v>
      </c>
      <c r="E4" s="3">
        <v>2018</v>
      </c>
      <c r="F4" s="3">
        <v>1002</v>
      </c>
      <c r="G4" s="3">
        <v>35</v>
      </c>
      <c r="H4" s="3">
        <v>22.6</v>
      </c>
      <c r="I4" s="3">
        <v>415</v>
      </c>
      <c r="J4" s="3">
        <v>50.06</v>
      </c>
      <c r="K4" s="3">
        <v>42.11</v>
      </c>
      <c r="L4" s="3">
        <v>10.45</v>
      </c>
      <c r="M4" s="3">
        <v>9.86</v>
      </c>
      <c r="N4" s="3">
        <v>-0.35</v>
      </c>
      <c r="O4" s="3">
        <v>-0.28000000000000003</v>
      </c>
      <c r="P4" s="4">
        <v>3.5000000000000003E-2</v>
      </c>
      <c r="R4" t="str">
        <f t="shared" si="0"/>
        <v>6</v>
      </c>
      <c r="S4" t="s">
        <v>109</v>
      </c>
      <c r="T4">
        <v>0</v>
      </c>
      <c r="V4" t="str">
        <f t="shared" si="1"/>
        <v>('CHSM72M-HC-415', 6, 2018, 1002, 35, 22.6, 415, 42.11, 9.86, 50.06, 10.45, 'MONOCRISTALINO', 'HALF CELL', 'MONOFACIAL', -0.35, -0.28, 0.035, 0),</v>
      </c>
    </row>
    <row r="5" spans="1:22">
      <c r="A5" s="17" t="s">
        <v>112</v>
      </c>
      <c r="B5" s="3" t="s">
        <v>106</v>
      </c>
      <c r="C5" s="3" t="s">
        <v>107</v>
      </c>
      <c r="D5" s="3" t="s">
        <v>108</v>
      </c>
      <c r="E5" s="3">
        <v>2018</v>
      </c>
      <c r="F5" s="3">
        <v>1002</v>
      </c>
      <c r="G5" s="3">
        <v>35</v>
      </c>
      <c r="H5" s="3">
        <v>22.6</v>
      </c>
      <c r="I5" s="3">
        <v>420</v>
      </c>
      <c r="J5" s="3">
        <v>50.32</v>
      </c>
      <c r="K5" s="3">
        <v>42.35</v>
      </c>
      <c r="L5" s="3">
        <v>10.52</v>
      </c>
      <c r="M5" s="3">
        <v>9.92</v>
      </c>
      <c r="N5" s="3">
        <v>-0.35</v>
      </c>
      <c r="O5" s="3">
        <v>-0.28000000000000003</v>
      </c>
      <c r="P5" s="4">
        <v>3.5000000000000003E-2</v>
      </c>
      <c r="R5" t="str">
        <f t="shared" si="0"/>
        <v>6</v>
      </c>
      <c r="S5" t="s">
        <v>109</v>
      </c>
      <c r="T5">
        <v>0</v>
      </c>
      <c r="V5" t="str">
        <f t="shared" si="1"/>
        <v>('CHSM72M-HC-420', 6, 2018, 1002, 35, 22.6, 420, 42.35, 9.92, 50.32, 10.52, 'MONOCRISTALINO', 'HALF CELL', 'MONOFACIAL', -0.35, -0.28, 0.035, 0),</v>
      </c>
    </row>
    <row r="6" spans="1:22">
      <c r="A6" s="17" t="s">
        <v>113</v>
      </c>
      <c r="B6" s="3" t="s">
        <v>114</v>
      </c>
      <c r="C6" s="3" t="s">
        <v>107</v>
      </c>
      <c r="D6" s="3" t="s">
        <v>115</v>
      </c>
      <c r="E6" s="3">
        <v>2008</v>
      </c>
      <c r="F6" s="3">
        <v>1002</v>
      </c>
      <c r="G6" s="3">
        <v>35</v>
      </c>
      <c r="H6" s="3">
        <v>21.8</v>
      </c>
      <c r="I6" s="3">
        <v>335</v>
      </c>
      <c r="J6" s="3">
        <v>45.44</v>
      </c>
      <c r="K6" s="3">
        <v>38.1</v>
      </c>
      <c r="L6" s="3">
        <v>9.25</v>
      </c>
      <c r="M6" s="3">
        <v>8.7899999999999991</v>
      </c>
      <c r="N6" s="3">
        <v>-0.35</v>
      </c>
      <c r="O6" s="3">
        <v>-0.28499999999999998</v>
      </c>
      <c r="P6" s="4">
        <v>5.7000000000000002E-2</v>
      </c>
      <c r="R6" t="str">
        <f t="shared" si="0"/>
        <v>7</v>
      </c>
      <c r="S6" t="s">
        <v>109</v>
      </c>
      <c r="T6">
        <v>0</v>
      </c>
      <c r="V6" t="str">
        <f t="shared" si="1"/>
        <v>('BYD335PIK-36', 7, 2008, 1002, 35, 21.8, 335, 38.1, 8.79, 45.44, 9.25, 'POLICRISTALINO', 'HALF CELL', 'MONOFACIAL', -0.35, -0.285, 0.057, 0),</v>
      </c>
    </row>
    <row r="7" spans="1:22">
      <c r="A7" s="17" t="s">
        <v>116</v>
      </c>
      <c r="B7" s="3" t="s">
        <v>114</v>
      </c>
      <c r="C7" s="3" t="s">
        <v>107</v>
      </c>
      <c r="D7" s="3" t="s">
        <v>115</v>
      </c>
      <c r="E7" s="3">
        <v>2008</v>
      </c>
      <c r="F7" s="3">
        <v>1002</v>
      </c>
      <c r="G7" s="3">
        <v>35</v>
      </c>
      <c r="H7" s="3">
        <v>21.8</v>
      </c>
      <c r="I7" s="3">
        <v>340</v>
      </c>
      <c r="J7" s="3">
        <v>45.69</v>
      </c>
      <c r="K7" s="3">
        <v>38.36</v>
      </c>
      <c r="L7" s="3">
        <v>9.31</v>
      </c>
      <c r="M7" s="3">
        <v>8.86</v>
      </c>
      <c r="N7" s="3">
        <v>-0.35</v>
      </c>
      <c r="O7" s="3">
        <v>-0.28499999999999998</v>
      </c>
      <c r="P7" s="4">
        <v>5.7000000000000002E-2</v>
      </c>
      <c r="R7" t="str">
        <f t="shared" si="0"/>
        <v>7</v>
      </c>
      <c r="S7" t="s">
        <v>109</v>
      </c>
      <c r="T7">
        <v>0</v>
      </c>
      <c r="V7" t="str">
        <f t="shared" si="1"/>
        <v>('BYD340PIK-36', 7, 2008, 1002, 35, 21.8, 340, 38.36, 8.86, 45.69, 9.31, 'POLICRISTALINO', 'HALF CELL', 'MONOFACIAL', -0.35, -0.285, 0.057, 0),</v>
      </c>
    </row>
    <row r="8" spans="1:22">
      <c r="A8" s="17" t="s">
        <v>117</v>
      </c>
      <c r="B8" s="3" t="s">
        <v>114</v>
      </c>
      <c r="C8" s="3" t="s">
        <v>107</v>
      </c>
      <c r="D8" s="3" t="s">
        <v>115</v>
      </c>
      <c r="E8" s="3">
        <v>2008</v>
      </c>
      <c r="F8" s="3">
        <v>1002</v>
      </c>
      <c r="G8" s="3">
        <v>35</v>
      </c>
      <c r="H8" s="3">
        <v>21.8</v>
      </c>
      <c r="I8" s="3">
        <v>345</v>
      </c>
      <c r="J8" s="3">
        <v>45.94</v>
      </c>
      <c r="K8" s="3">
        <v>38.619999999999997</v>
      </c>
      <c r="L8" s="3">
        <v>9.36</v>
      </c>
      <c r="M8" s="3">
        <v>8.93</v>
      </c>
      <c r="N8" s="3">
        <v>-0.35</v>
      </c>
      <c r="O8" s="3">
        <v>-0.28499999999999998</v>
      </c>
      <c r="P8" s="4">
        <v>5.7000000000000002E-2</v>
      </c>
      <c r="R8" t="str">
        <f t="shared" si="0"/>
        <v>7</v>
      </c>
      <c r="S8" t="s">
        <v>109</v>
      </c>
      <c r="T8">
        <v>0</v>
      </c>
      <c r="V8" t="str">
        <f t="shared" si="1"/>
        <v>('BYD345PIK-36', 7, 2008, 1002, 35, 21.8, 345, 38.62, 8.93, 45.94, 9.36, 'POLICRISTALINO', 'HALF CELL', 'MONOFACIAL', -0.35, -0.285, 0.057, 0),</v>
      </c>
    </row>
    <row r="9" spans="1:22">
      <c r="A9" s="17" t="s">
        <v>118</v>
      </c>
      <c r="B9" s="3" t="s">
        <v>114</v>
      </c>
      <c r="C9" s="3" t="s">
        <v>107</v>
      </c>
      <c r="D9" s="3" t="s">
        <v>115</v>
      </c>
      <c r="E9" s="3">
        <v>2008</v>
      </c>
      <c r="F9" s="3">
        <v>1002</v>
      </c>
      <c r="G9" s="3">
        <v>35</v>
      </c>
      <c r="H9" s="3">
        <v>21.8</v>
      </c>
      <c r="I9" s="3">
        <v>350</v>
      </c>
      <c r="J9" s="3">
        <v>46.19</v>
      </c>
      <c r="K9" s="3">
        <v>38.869999999999997</v>
      </c>
      <c r="L9" s="3">
        <v>9.42</v>
      </c>
      <c r="M9" s="3">
        <v>9</v>
      </c>
      <c r="N9" s="3">
        <v>-0.35</v>
      </c>
      <c r="O9" s="3">
        <v>-0.28499999999999998</v>
      </c>
      <c r="P9" s="4">
        <v>5.7000000000000002E-2</v>
      </c>
      <c r="R9" t="str">
        <f t="shared" si="0"/>
        <v>7</v>
      </c>
      <c r="S9" t="s">
        <v>109</v>
      </c>
      <c r="T9">
        <v>0</v>
      </c>
      <c r="V9" t="str">
        <f t="shared" si="1"/>
        <v>('BYD350PIK-36', 7, 2008, 1002, 35, 21.8, 350, 38.87, 9, 46.19, 9.42, 'POLICRISTALINO', 'HALF CELL', 'MONOFACIAL', -0.35, -0.285, 0.057, 0),</v>
      </c>
    </row>
    <row r="10" spans="1:22">
      <c r="A10" s="17" t="s">
        <v>119</v>
      </c>
      <c r="B10" s="3" t="s">
        <v>120</v>
      </c>
      <c r="C10" s="3" t="s">
        <v>107</v>
      </c>
      <c r="D10" s="3" t="s">
        <v>108</v>
      </c>
      <c r="E10" s="3">
        <v>1754</v>
      </c>
      <c r="F10" s="3">
        <v>1096</v>
      </c>
      <c r="G10" s="3">
        <v>30</v>
      </c>
      <c r="H10" s="3">
        <v>21</v>
      </c>
      <c r="I10" s="3">
        <v>390</v>
      </c>
      <c r="J10" s="3">
        <v>40.799999999999997</v>
      </c>
      <c r="K10" s="3">
        <v>33.799999999999997</v>
      </c>
      <c r="L10" s="3">
        <v>12.14</v>
      </c>
      <c r="M10" s="3">
        <v>11.54</v>
      </c>
      <c r="N10" s="3">
        <v>-0.34</v>
      </c>
      <c r="O10" s="3">
        <v>-0.25</v>
      </c>
      <c r="P10" s="4">
        <v>0.04</v>
      </c>
      <c r="R10" t="str">
        <f t="shared" si="0"/>
        <v>15</v>
      </c>
      <c r="S10" t="s">
        <v>109</v>
      </c>
      <c r="T10">
        <v>0</v>
      </c>
      <c r="V10" t="str">
        <f t="shared" si="1"/>
        <v>('TSM-390DE09', 15, 1754, 1096, 30, 21, 390, 33.8, 11.54, 40.8, 12.14, 'MONOCRISTALINO', 'HALF CELL', 'MONOFACIAL', -0.34, -0.25, 0.04, 0),</v>
      </c>
    </row>
    <row r="11" spans="1:22">
      <c r="A11" s="17" t="s">
        <v>121</v>
      </c>
      <c r="B11" s="3" t="s">
        <v>120</v>
      </c>
      <c r="C11" s="3" t="s">
        <v>107</v>
      </c>
      <c r="D11" s="3" t="s">
        <v>108</v>
      </c>
      <c r="E11" s="3">
        <v>1754</v>
      </c>
      <c r="F11" s="3">
        <v>1096</v>
      </c>
      <c r="G11" s="3">
        <v>30</v>
      </c>
      <c r="H11" s="3">
        <v>21</v>
      </c>
      <c r="I11" s="3">
        <v>395</v>
      </c>
      <c r="J11" s="3">
        <v>41</v>
      </c>
      <c r="K11" s="3">
        <v>34</v>
      </c>
      <c r="L11" s="3">
        <v>12.21</v>
      </c>
      <c r="M11" s="3">
        <v>11.62</v>
      </c>
      <c r="N11" s="3">
        <v>-0.34</v>
      </c>
      <c r="O11" s="3">
        <v>-0.25</v>
      </c>
      <c r="P11" s="4">
        <v>0.04</v>
      </c>
      <c r="R11" t="str">
        <f t="shared" si="0"/>
        <v>15</v>
      </c>
      <c r="S11" t="s">
        <v>109</v>
      </c>
      <c r="T11">
        <v>0</v>
      </c>
      <c r="V11" t="str">
        <f t="shared" si="1"/>
        <v>('TSM-395DE09', 15, 1754, 1096, 30, 21, 395, 34, 11.62, 41, 12.21, 'MONOCRISTALINO', 'HALF CELL', 'MONOFACIAL', -0.34, -0.25, 0.04, 0),</v>
      </c>
    </row>
    <row r="12" spans="1:22">
      <c r="A12" s="17" t="s">
        <v>122</v>
      </c>
      <c r="B12" s="3" t="s">
        <v>120</v>
      </c>
      <c r="C12" s="3" t="s">
        <v>107</v>
      </c>
      <c r="D12" s="3" t="s">
        <v>108</v>
      </c>
      <c r="E12" s="3">
        <v>1754</v>
      </c>
      <c r="F12" s="3">
        <v>1096</v>
      </c>
      <c r="G12" s="3">
        <v>30</v>
      </c>
      <c r="H12" s="3">
        <v>21</v>
      </c>
      <c r="I12" s="3">
        <v>400</v>
      </c>
      <c r="J12" s="3">
        <v>41.2</v>
      </c>
      <c r="K12" s="3">
        <v>34.200000000000003</v>
      </c>
      <c r="L12" s="3">
        <v>12.28</v>
      </c>
      <c r="M12" s="3">
        <v>11.7</v>
      </c>
      <c r="N12" s="3">
        <v>-0.34</v>
      </c>
      <c r="O12" s="3">
        <v>-0.25</v>
      </c>
      <c r="P12" s="4">
        <v>0.04</v>
      </c>
      <c r="R12" t="str">
        <f t="shared" si="0"/>
        <v>15</v>
      </c>
      <c r="S12" t="s">
        <v>109</v>
      </c>
      <c r="T12">
        <v>0</v>
      </c>
      <c r="V12" t="str">
        <f t="shared" si="1"/>
        <v>('TSM-400DE09', 15, 1754, 1096, 30, 21, 400, 34.2, 11.7, 41.2, 12.28, 'MONOCRISTALINO', 'HALF CELL', 'MONOFACIAL', -0.34, -0.25, 0.04, 0),</v>
      </c>
    </row>
    <row r="13" spans="1:22">
      <c r="A13" s="17" t="s">
        <v>123</v>
      </c>
      <c r="B13" s="3" t="s">
        <v>120</v>
      </c>
      <c r="C13" s="3" t="s">
        <v>107</v>
      </c>
      <c r="D13" s="3" t="s">
        <v>108</v>
      </c>
      <c r="E13" s="3">
        <v>1754</v>
      </c>
      <c r="F13" s="3">
        <v>1096</v>
      </c>
      <c r="G13" s="3">
        <v>30</v>
      </c>
      <c r="H13" s="3">
        <v>21</v>
      </c>
      <c r="I13" s="3">
        <v>405</v>
      </c>
      <c r="J13" s="3">
        <v>41.4</v>
      </c>
      <c r="K13" s="3">
        <v>34.4</v>
      </c>
      <c r="L13" s="3">
        <v>12.34</v>
      </c>
      <c r="M13" s="3">
        <v>11.77</v>
      </c>
      <c r="N13" s="3">
        <v>-0.34</v>
      </c>
      <c r="O13" s="3">
        <v>-0.25</v>
      </c>
      <c r="P13" s="4">
        <v>0.04</v>
      </c>
      <c r="R13" t="str">
        <f t="shared" si="0"/>
        <v>15</v>
      </c>
      <c r="S13" t="s">
        <v>109</v>
      </c>
      <c r="T13">
        <v>0</v>
      </c>
      <c r="V13" t="str">
        <f t="shared" si="1"/>
        <v>('TSM-405DE09', 15, 1754, 1096, 30, 21, 405, 34.4, 11.77, 41.4, 12.34, 'MONOCRISTALINO', 'HALF CELL', 'MONOFACIAL', -0.34, -0.25, 0.04, 0),</v>
      </c>
    </row>
    <row r="14" spans="1:22">
      <c r="A14" s="17" t="s">
        <v>124</v>
      </c>
      <c r="B14" s="3" t="s">
        <v>120</v>
      </c>
      <c r="C14" s="3" t="s">
        <v>107</v>
      </c>
      <c r="D14" s="3" t="s">
        <v>108</v>
      </c>
      <c r="E14" s="3">
        <v>2187</v>
      </c>
      <c r="F14" s="3">
        <v>1102</v>
      </c>
      <c r="G14" s="3">
        <v>35</v>
      </c>
      <c r="H14" s="3">
        <v>26.5</v>
      </c>
      <c r="I14" s="3">
        <v>485</v>
      </c>
      <c r="J14" s="3">
        <v>51.1</v>
      </c>
      <c r="K14" s="3">
        <v>42.2</v>
      </c>
      <c r="L14" s="3">
        <v>12.07</v>
      </c>
      <c r="M14" s="3">
        <v>11.49</v>
      </c>
      <c r="N14" s="3">
        <v>-0.34</v>
      </c>
      <c r="O14" s="3">
        <v>-0.25</v>
      </c>
      <c r="P14" s="4">
        <v>0.04</v>
      </c>
      <c r="R14" t="str">
        <f t="shared" si="0"/>
        <v>15</v>
      </c>
      <c r="S14" t="s">
        <v>109</v>
      </c>
      <c r="T14">
        <v>0</v>
      </c>
      <c r="V14" t="str">
        <f t="shared" si="1"/>
        <v>('TSM-485DE18', 15, 2187, 1102, 35, 26.5, 485, 42.2, 11.49, 51.1, 12.07, 'MONOCRISTALINO', 'HALF CELL', 'MONOFACIAL', -0.34, -0.25, 0.04, 0),</v>
      </c>
    </row>
    <row r="15" spans="1:22">
      <c r="A15" s="17" t="s">
        <v>125</v>
      </c>
      <c r="B15" s="3" t="s">
        <v>120</v>
      </c>
      <c r="C15" s="3" t="s">
        <v>107</v>
      </c>
      <c r="D15" s="3" t="s">
        <v>108</v>
      </c>
      <c r="E15" s="3">
        <v>2187</v>
      </c>
      <c r="F15" s="3">
        <v>1102</v>
      </c>
      <c r="G15" s="3">
        <v>35</v>
      </c>
      <c r="H15" s="3">
        <v>26.5</v>
      </c>
      <c r="I15" s="3">
        <v>490</v>
      </c>
      <c r="J15" s="3">
        <v>51.3</v>
      </c>
      <c r="K15" s="3">
        <v>42.4</v>
      </c>
      <c r="L15" s="3">
        <v>12.14</v>
      </c>
      <c r="M15" s="3">
        <v>11.56</v>
      </c>
      <c r="N15" s="3">
        <v>-0.34</v>
      </c>
      <c r="O15" s="3">
        <v>-0.25</v>
      </c>
      <c r="P15" s="4">
        <v>0.04</v>
      </c>
      <c r="R15" t="str">
        <f t="shared" si="0"/>
        <v>15</v>
      </c>
      <c r="S15" t="s">
        <v>109</v>
      </c>
      <c r="T15">
        <v>0</v>
      </c>
      <c r="V15" t="str">
        <f t="shared" si="1"/>
        <v>('TSM-490DE18', 15, 2187, 1102, 35, 26.5, 490, 42.4, 11.56, 51.3, 12.14, 'MONOCRISTALINO', 'HALF CELL', 'MONOFACIAL', -0.34, -0.25, 0.04, 0),</v>
      </c>
    </row>
    <row r="16" spans="1:22">
      <c r="A16" s="17" t="s">
        <v>126</v>
      </c>
      <c r="B16" s="3" t="s">
        <v>120</v>
      </c>
      <c r="C16" s="3" t="s">
        <v>107</v>
      </c>
      <c r="D16" s="3" t="s">
        <v>108</v>
      </c>
      <c r="E16" s="3">
        <v>2187</v>
      </c>
      <c r="F16" s="3">
        <v>1102</v>
      </c>
      <c r="G16" s="3">
        <v>35</v>
      </c>
      <c r="H16" s="3">
        <v>26.5</v>
      </c>
      <c r="I16" s="3">
        <v>495</v>
      </c>
      <c r="J16" s="3">
        <v>51.5</v>
      </c>
      <c r="K16" s="3">
        <v>42.6</v>
      </c>
      <c r="L16" s="3">
        <v>12.21</v>
      </c>
      <c r="M16" s="3">
        <v>11.63</v>
      </c>
      <c r="N16" s="3">
        <v>-0.34</v>
      </c>
      <c r="O16" s="3">
        <v>-0.25</v>
      </c>
      <c r="P16" s="4">
        <v>0.04</v>
      </c>
      <c r="R16" t="str">
        <f t="shared" si="0"/>
        <v>15</v>
      </c>
      <c r="S16" t="s">
        <v>109</v>
      </c>
      <c r="T16">
        <v>0</v>
      </c>
      <c r="V16" t="str">
        <f t="shared" si="1"/>
        <v>('TSM-495DE18', 15, 2187, 1102, 35, 26.5, 495, 42.6, 11.63, 51.5, 12.21, 'MONOCRISTALINO', 'HALF CELL', 'MONOFACIAL', -0.34, -0.25, 0.04, 0),</v>
      </c>
    </row>
    <row r="17" spans="1:22">
      <c r="A17" s="17" t="s">
        <v>127</v>
      </c>
      <c r="B17" s="3" t="s">
        <v>120</v>
      </c>
      <c r="C17" s="3" t="s">
        <v>107</v>
      </c>
      <c r="D17" s="3" t="s">
        <v>108</v>
      </c>
      <c r="E17" s="3">
        <v>2187</v>
      </c>
      <c r="F17" s="3">
        <v>1102</v>
      </c>
      <c r="G17" s="3">
        <v>35</v>
      </c>
      <c r="H17" s="3">
        <v>26.5</v>
      </c>
      <c r="I17" s="3">
        <v>500</v>
      </c>
      <c r="J17" s="3">
        <v>51.7</v>
      </c>
      <c r="K17" s="3">
        <v>42.8</v>
      </c>
      <c r="L17" s="3">
        <v>12.28</v>
      </c>
      <c r="M17" s="3">
        <v>11.69</v>
      </c>
      <c r="N17" s="3">
        <v>-0.34</v>
      </c>
      <c r="O17" s="3">
        <v>-0.25</v>
      </c>
      <c r="P17" s="4">
        <v>0.04</v>
      </c>
      <c r="R17" t="str">
        <f t="shared" si="0"/>
        <v>15</v>
      </c>
      <c r="S17" t="s">
        <v>109</v>
      </c>
      <c r="T17">
        <v>0</v>
      </c>
      <c r="V17" t="str">
        <f t="shared" si="1"/>
        <v>('TSM-500DE18', 15, 2187, 1102, 35, 26.5, 500, 42.8, 11.69, 51.7, 12.28, 'MONOCRISTALINO', 'HALF CELL', 'MONOFACIAL', -0.34, -0.25, 0.04, 0),</v>
      </c>
    </row>
    <row r="18" spans="1:22">
      <c r="A18" s="17" t="s">
        <v>128</v>
      </c>
      <c r="B18" s="3" t="s">
        <v>120</v>
      </c>
      <c r="C18" s="3" t="s">
        <v>107</v>
      </c>
      <c r="D18" s="3" t="s">
        <v>108</v>
      </c>
      <c r="E18" s="3">
        <v>2187</v>
      </c>
      <c r="F18" s="3">
        <v>1102</v>
      </c>
      <c r="G18" s="3">
        <v>35</v>
      </c>
      <c r="H18" s="3">
        <v>26.5</v>
      </c>
      <c r="I18" s="3">
        <v>505</v>
      </c>
      <c r="J18" s="3">
        <v>51.9</v>
      </c>
      <c r="K18" s="3">
        <v>43</v>
      </c>
      <c r="L18" s="3">
        <v>12.35</v>
      </c>
      <c r="M18" s="3">
        <v>11.75</v>
      </c>
      <c r="N18" s="3">
        <v>-0.34</v>
      </c>
      <c r="O18" s="3">
        <v>-0.25</v>
      </c>
      <c r="P18" s="4">
        <v>0.04</v>
      </c>
      <c r="R18" t="str">
        <f t="shared" si="0"/>
        <v>15</v>
      </c>
      <c r="S18" t="s">
        <v>109</v>
      </c>
      <c r="T18">
        <v>0</v>
      </c>
      <c r="V18" t="str">
        <f t="shared" si="1"/>
        <v>('TSM-505DE18', 15, 2187, 1102, 35, 26.5, 505, 43, 11.75, 51.9, 12.35, 'MONOCRISTALINO', 'HALF CELL', 'MONOFACIAL', -0.34, -0.25, 0.04, 0),</v>
      </c>
    </row>
    <row r="19" spans="1:22">
      <c r="A19" s="17" t="s">
        <v>129</v>
      </c>
      <c r="B19" s="3" t="s">
        <v>120</v>
      </c>
      <c r="C19" s="3" t="s">
        <v>107</v>
      </c>
      <c r="D19" s="3" t="s">
        <v>108</v>
      </c>
      <c r="E19" s="3">
        <v>2187</v>
      </c>
      <c r="F19" s="3">
        <v>1102</v>
      </c>
      <c r="G19" s="3">
        <v>35</v>
      </c>
      <c r="H19" s="3">
        <v>26.5</v>
      </c>
      <c r="I19" s="3">
        <v>510</v>
      </c>
      <c r="J19" s="3">
        <v>52.1</v>
      </c>
      <c r="K19" s="3">
        <v>43.2</v>
      </c>
      <c r="L19" s="3">
        <v>12.42</v>
      </c>
      <c r="M19" s="3">
        <v>11.81</v>
      </c>
      <c r="N19" s="3">
        <v>-0.34</v>
      </c>
      <c r="O19" s="3">
        <v>-0.25</v>
      </c>
      <c r="P19" s="4">
        <v>0.04</v>
      </c>
      <c r="R19" t="str">
        <f t="shared" si="0"/>
        <v>15</v>
      </c>
      <c r="S19" t="s">
        <v>109</v>
      </c>
      <c r="T19">
        <v>0</v>
      </c>
      <c r="V19" t="str">
        <f t="shared" si="1"/>
        <v>('TSM-510DE18', 15, 2187, 1102, 35, 26.5, 510, 43.2, 11.81, 52.1, 12.42, 'MONOCRISTALINO', 'HALF CELL', 'MONOFACIAL', -0.34, -0.25, 0.04, 0),</v>
      </c>
    </row>
    <row r="20" spans="1:22">
      <c r="A20" s="17" t="s">
        <v>130</v>
      </c>
      <c r="B20" s="3" t="s">
        <v>120</v>
      </c>
      <c r="C20" s="3" t="s">
        <v>131</v>
      </c>
      <c r="D20" s="3" t="s">
        <v>108</v>
      </c>
      <c r="E20" s="3">
        <v>2384</v>
      </c>
      <c r="F20" s="3">
        <v>1096</v>
      </c>
      <c r="G20" s="3">
        <v>35</v>
      </c>
      <c r="H20" s="3">
        <v>32.299999999999997</v>
      </c>
      <c r="I20" s="3">
        <v>525</v>
      </c>
      <c r="J20" s="3">
        <v>37.1</v>
      </c>
      <c r="K20" s="3">
        <v>30.8</v>
      </c>
      <c r="L20" s="3">
        <v>18.14</v>
      </c>
      <c r="M20" s="3">
        <v>17.04</v>
      </c>
      <c r="N20" s="3">
        <v>-0.34</v>
      </c>
      <c r="O20" s="3">
        <v>-0.25</v>
      </c>
      <c r="P20" s="4">
        <v>0.04</v>
      </c>
      <c r="R20" t="str">
        <f t="shared" si="0"/>
        <v>15</v>
      </c>
      <c r="S20" t="s">
        <v>109</v>
      </c>
      <c r="T20">
        <v>0</v>
      </c>
      <c r="V20" t="str">
        <f t="shared" si="1"/>
        <v>('TSM-525DEG19C.20', 15, 2384, 1096, 35, 32.3, 525, 30.8, 17.04, 37.1, 18.14, 'MONOCRISTALINO', 'HALF CELL', 'BIFACIAL', -0.34, -0.25, 0.04, 0),</v>
      </c>
    </row>
    <row r="21" spans="1:22">
      <c r="A21" s="17" t="s">
        <v>132</v>
      </c>
      <c r="B21" s="3" t="s">
        <v>120</v>
      </c>
      <c r="C21" s="3" t="s">
        <v>131</v>
      </c>
      <c r="D21" s="3" t="s">
        <v>108</v>
      </c>
      <c r="E21" s="3">
        <v>2384</v>
      </c>
      <c r="F21" s="3">
        <v>1096</v>
      </c>
      <c r="G21" s="3">
        <v>35</v>
      </c>
      <c r="H21" s="3">
        <v>32.299999999999997</v>
      </c>
      <c r="I21" s="3">
        <v>530</v>
      </c>
      <c r="J21" s="3">
        <v>37.299999999999997</v>
      </c>
      <c r="K21" s="3">
        <v>31</v>
      </c>
      <c r="L21" s="3">
        <v>18.190000000000001</v>
      </c>
      <c r="M21" s="3">
        <v>17.11</v>
      </c>
      <c r="N21" s="3">
        <v>-0.34</v>
      </c>
      <c r="O21" s="3">
        <v>-0.25</v>
      </c>
      <c r="P21" s="4">
        <v>0.04</v>
      </c>
      <c r="R21" t="str">
        <f t="shared" si="0"/>
        <v>15</v>
      </c>
      <c r="S21" t="s">
        <v>109</v>
      </c>
      <c r="T21">
        <v>0</v>
      </c>
      <c r="V21" t="str">
        <f t="shared" si="1"/>
        <v>('TSM-530DEG19C.20', 15, 2384, 1096, 35, 32.3, 530, 31, 17.11, 37.3, 18.19, 'MONOCRISTALINO', 'HALF CELL', 'BIFACIAL', -0.34, -0.25, 0.04, 0),</v>
      </c>
    </row>
    <row r="22" spans="1:22">
      <c r="A22" s="17" t="s">
        <v>133</v>
      </c>
      <c r="B22" s="3" t="s">
        <v>120</v>
      </c>
      <c r="C22" s="3" t="s">
        <v>131</v>
      </c>
      <c r="D22" s="3" t="s">
        <v>108</v>
      </c>
      <c r="E22" s="3">
        <v>2384</v>
      </c>
      <c r="F22" s="3">
        <v>1096</v>
      </c>
      <c r="G22" s="3">
        <v>35</v>
      </c>
      <c r="H22" s="3">
        <v>32.299999999999997</v>
      </c>
      <c r="I22" s="3">
        <v>535</v>
      </c>
      <c r="J22" s="3">
        <v>37.5</v>
      </c>
      <c r="K22" s="3">
        <v>31.2</v>
      </c>
      <c r="L22" s="3">
        <v>18.239999999999998</v>
      </c>
      <c r="M22" s="3">
        <v>17.16</v>
      </c>
      <c r="N22" s="3">
        <v>-0.34</v>
      </c>
      <c r="O22" s="3">
        <v>-0.25</v>
      </c>
      <c r="P22" s="4">
        <v>0.04</v>
      </c>
      <c r="R22" t="str">
        <f t="shared" si="0"/>
        <v>15</v>
      </c>
      <c r="S22" t="s">
        <v>109</v>
      </c>
      <c r="T22">
        <v>0</v>
      </c>
      <c r="V22" t="str">
        <f t="shared" si="1"/>
        <v>('TSM-535DEG19C.20', 15, 2384, 1096, 35, 32.3, 535, 31.2, 17.16, 37.5, 18.24, 'MONOCRISTALINO', 'HALF CELL', 'BIFACIAL', -0.34, -0.25, 0.04, 0),</v>
      </c>
    </row>
    <row r="23" spans="1:22">
      <c r="A23" s="17" t="s">
        <v>134</v>
      </c>
      <c r="B23" s="3" t="s">
        <v>120</v>
      </c>
      <c r="C23" s="3" t="s">
        <v>131</v>
      </c>
      <c r="D23" s="3" t="s">
        <v>108</v>
      </c>
      <c r="E23" s="3">
        <v>2384</v>
      </c>
      <c r="F23" s="3">
        <v>1096</v>
      </c>
      <c r="G23" s="3">
        <v>35</v>
      </c>
      <c r="H23" s="3">
        <v>32.299999999999997</v>
      </c>
      <c r="I23" s="3">
        <v>540</v>
      </c>
      <c r="J23" s="3">
        <v>37.700000000000003</v>
      </c>
      <c r="K23" s="3">
        <v>31.4</v>
      </c>
      <c r="L23" s="3">
        <v>18.3</v>
      </c>
      <c r="M23" s="3">
        <v>17.21</v>
      </c>
      <c r="N23" s="3">
        <v>-0.34</v>
      </c>
      <c r="O23" s="3">
        <v>-0.25</v>
      </c>
      <c r="P23" s="4">
        <v>0.04</v>
      </c>
      <c r="R23" t="str">
        <f t="shared" si="0"/>
        <v>15</v>
      </c>
      <c r="S23" t="s">
        <v>109</v>
      </c>
      <c r="T23">
        <v>0</v>
      </c>
      <c r="V23" t="str">
        <f t="shared" si="1"/>
        <v>('TSM-540DEG19C.20', 15, 2384, 1096, 35, 32.3, 540, 31.4, 17.21, 37.7, 18.3, 'MONOCRISTALINO', 'HALF CELL', 'BIFACIAL', -0.34, -0.25, 0.04, 0),</v>
      </c>
    </row>
    <row r="24" spans="1:22">
      <c r="A24" s="17" t="s">
        <v>135</v>
      </c>
      <c r="B24" s="3" t="s">
        <v>120</v>
      </c>
      <c r="C24" s="3" t="s">
        <v>131</v>
      </c>
      <c r="D24" s="3" t="s">
        <v>108</v>
      </c>
      <c r="E24" s="3">
        <v>2384</v>
      </c>
      <c r="F24" s="3">
        <v>1096</v>
      </c>
      <c r="G24" s="3">
        <v>35</v>
      </c>
      <c r="H24" s="3">
        <v>32.299999999999997</v>
      </c>
      <c r="I24" s="3">
        <v>545</v>
      </c>
      <c r="J24" s="3">
        <v>37.9</v>
      </c>
      <c r="K24" s="3">
        <v>31.6</v>
      </c>
      <c r="L24" s="3">
        <v>18.350000000000001</v>
      </c>
      <c r="M24" s="3">
        <v>17.239999999999998</v>
      </c>
      <c r="N24" s="3">
        <v>-0.34</v>
      </c>
      <c r="O24" s="3">
        <v>-0.25</v>
      </c>
      <c r="P24" s="4">
        <v>0.04</v>
      </c>
      <c r="R24" t="str">
        <f t="shared" si="0"/>
        <v>15</v>
      </c>
      <c r="S24" t="s">
        <v>109</v>
      </c>
      <c r="T24">
        <v>0</v>
      </c>
      <c r="V24" t="str">
        <f t="shared" si="1"/>
        <v>('TSM-545DEG19C.20', 15, 2384, 1096, 35, 32.3, 545, 31.6, 17.24, 37.9, 18.35, 'MONOCRISTALINO', 'HALF CELL', 'BIFACIAL', -0.34, -0.25, 0.04, 0),</v>
      </c>
    </row>
    <row r="25" spans="1:22">
      <c r="A25" s="17" t="s">
        <v>136</v>
      </c>
      <c r="B25" s="3" t="s">
        <v>120</v>
      </c>
      <c r="C25" s="3" t="s">
        <v>131</v>
      </c>
      <c r="D25" s="3" t="s">
        <v>108</v>
      </c>
      <c r="E25" s="3">
        <v>2384</v>
      </c>
      <c r="F25" s="3">
        <v>1096</v>
      </c>
      <c r="G25" s="3">
        <v>35</v>
      </c>
      <c r="H25" s="3">
        <v>32.299999999999997</v>
      </c>
      <c r="I25" s="3">
        <v>550</v>
      </c>
      <c r="J25" s="3">
        <v>38.1</v>
      </c>
      <c r="K25" s="3">
        <v>31.8</v>
      </c>
      <c r="L25" s="3">
        <v>18.39</v>
      </c>
      <c r="M25" s="3">
        <v>17.29</v>
      </c>
      <c r="N25" s="3">
        <v>-0.34</v>
      </c>
      <c r="O25" s="3">
        <v>-0.25</v>
      </c>
      <c r="P25" s="4">
        <v>0.04</v>
      </c>
      <c r="R25" t="str">
        <f t="shared" si="0"/>
        <v>15</v>
      </c>
      <c r="S25" t="s">
        <v>109</v>
      </c>
      <c r="T25">
        <v>0</v>
      </c>
      <c r="V25" t="str">
        <f t="shared" si="1"/>
        <v>('TSM-550DEG19C.20', 15, 2384, 1096, 35, 32.3, 550, 31.8, 17.29, 38.1, 18.39, 'MONOCRISTALINO', 'HALF CELL', 'BIFACIAL', -0.34, -0.25, 0.04, 0),</v>
      </c>
    </row>
    <row r="26" spans="1:22">
      <c r="A26" s="17" t="s">
        <v>137</v>
      </c>
      <c r="B26" s="3" t="s">
        <v>138</v>
      </c>
      <c r="C26" s="3" t="s">
        <v>131</v>
      </c>
      <c r="D26" s="3" t="s">
        <v>108</v>
      </c>
      <c r="E26" s="3">
        <v>2172</v>
      </c>
      <c r="F26" s="3">
        <v>1303</v>
      </c>
      <c r="G26" s="3">
        <v>35</v>
      </c>
      <c r="H26" s="3">
        <v>35</v>
      </c>
      <c r="I26" s="3">
        <v>585</v>
      </c>
      <c r="J26" s="3">
        <v>41.1</v>
      </c>
      <c r="K26" s="3">
        <v>34.22</v>
      </c>
      <c r="L26" s="3">
        <v>18.11</v>
      </c>
      <c r="M26" s="3">
        <v>17.100000000000001</v>
      </c>
      <c r="N26" s="3">
        <v>-0.34</v>
      </c>
      <c r="O26" s="3">
        <v>-0.25</v>
      </c>
      <c r="P26" s="4">
        <v>0.04</v>
      </c>
      <c r="R26" t="str">
        <f t="shared" si="0"/>
        <v>12</v>
      </c>
      <c r="S26" t="s">
        <v>109</v>
      </c>
      <c r="T26">
        <v>0</v>
      </c>
      <c r="V26" t="str">
        <f t="shared" si="1"/>
        <v>('RSM120-8-585BMGD', 12, 2172, 1303, 35, 35, 585, 34.22, 17.1, 41.1, 18.11, 'MONOCRISTALINO', 'HALF CELL', 'BIFACIAL', -0.34, -0.25, 0.04, 0),</v>
      </c>
    </row>
    <row r="27" spans="1:22">
      <c r="A27" s="17" t="s">
        <v>139</v>
      </c>
      <c r="B27" s="3" t="s">
        <v>138</v>
      </c>
      <c r="C27" s="3" t="s">
        <v>131</v>
      </c>
      <c r="D27" s="3" t="s">
        <v>108</v>
      </c>
      <c r="E27" s="3">
        <v>2172</v>
      </c>
      <c r="F27" s="3">
        <v>1303</v>
      </c>
      <c r="G27" s="3">
        <v>35</v>
      </c>
      <c r="H27" s="3">
        <v>35</v>
      </c>
      <c r="I27" s="3">
        <v>590</v>
      </c>
      <c r="J27" s="3">
        <v>41.3</v>
      </c>
      <c r="K27" s="3">
        <v>34.42</v>
      </c>
      <c r="L27" s="3">
        <v>18.16</v>
      </c>
      <c r="M27" s="3">
        <v>17.149999999999999</v>
      </c>
      <c r="N27" s="3">
        <v>-0.34</v>
      </c>
      <c r="O27" s="3">
        <v>-0.25</v>
      </c>
      <c r="P27" s="4">
        <v>0.04</v>
      </c>
      <c r="R27" t="str">
        <f t="shared" si="0"/>
        <v>12</v>
      </c>
      <c r="S27" t="s">
        <v>109</v>
      </c>
      <c r="T27">
        <v>0</v>
      </c>
      <c r="V27" t="str">
        <f t="shared" si="1"/>
        <v>('RSM120-8-590BMGD', 12, 2172, 1303, 35, 35, 590, 34.42, 17.15, 41.3, 18.16, 'MONOCRISTALINO', 'HALF CELL', 'BIFACIAL', -0.34, -0.25, 0.04, 0),</v>
      </c>
    </row>
    <row r="28" spans="1:22">
      <c r="A28" s="17" t="s">
        <v>140</v>
      </c>
      <c r="B28" s="3" t="s">
        <v>138</v>
      </c>
      <c r="C28" s="3" t="s">
        <v>131</v>
      </c>
      <c r="D28" s="3" t="s">
        <v>108</v>
      </c>
      <c r="E28" s="3">
        <v>2172</v>
      </c>
      <c r="F28" s="3">
        <v>1303</v>
      </c>
      <c r="G28" s="3">
        <v>35</v>
      </c>
      <c r="H28" s="3">
        <v>35</v>
      </c>
      <c r="I28" s="3">
        <v>595</v>
      </c>
      <c r="J28" s="3">
        <v>41.5</v>
      </c>
      <c r="K28" s="3">
        <v>34.6</v>
      </c>
      <c r="L28" s="3">
        <v>18.21</v>
      </c>
      <c r="M28" s="3">
        <v>17.2</v>
      </c>
      <c r="N28" s="3">
        <v>-0.34</v>
      </c>
      <c r="O28" s="3">
        <v>-0.25</v>
      </c>
      <c r="P28" s="4">
        <v>0.04</v>
      </c>
      <c r="R28" t="str">
        <f t="shared" si="0"/>
        <v>12</v>
      </c>
      <c r="S28" t="s">
        <v>109</v>
      </c>
      <c r="T28">
        <v>0</v>
      </c>
      <c r="V28" t="str">
        <f t="shared" si="1"/>
        <v>('RSM120-8-595BMGD', 12, 2172, 1303, 35, 35, 595, 34.6, 17.2, 41.5, 18.21, 'MONOCRISTALINO', 'HALF CELL', 'BIFACIAL', -0.34, -0.25, 0.04, 0),</v>
      </c>
    </row>
    <row r="29" spans="1:22">
      <c r="A29" s="17" t="s">
        <v>141</v>
      </c>
      <c r="B29" s="3" t="s">
        <v>138</v>
      </c>
      <c r="C29" s="3" t="s">
        <v>131</v>
      </c>
      <c r="D29" s="3" t="s">
        <v>108</v>
      </c>
      <c r="E29" s="3">
        <v>2172</v>
      </c>
      <c r="F29" s="3">
        <v>1303</v>
      </c>
      <c r="G29" s="3">
        <v>35</v>
      </c>
      <c r="H29" s="3">
        <v>35</v>
      </c>
      <c r="I29" s="3">
        <v>600</v>
      </c>
      <c r="J29" s="3">
        <v>41.7</v>
      </c>
      <c r="K29" s="3">
        <v>34.799999999999997</v>
      </c>
      <c r="L29" s="3">
        <v>18.260000000000002</v>
      </c>
      <c r="M29" s="3">
        <v>17.25</v>
      </c>
      <c r="N29" s="3">
        <v>-0.34</v>
      </c>
      <c r="O29" s="3">
        <v>-0.25</v>
      </c>
      <c r="P29" s="4">
        <v>0.04</v>
      </c>
      <c r="R29" t="str">
        <f t="shared" si="0"/>
        <v>12</v>
      </c>
      <c r="S29" t="s">
        <v>109</v>
      </c>
      <c r="T29">
        <v>0</v>
      </c>
      <c r="V29" t="str">
        <f t="shared" si="1"/>
        <v>('RSM120-8-600BMGD', 12, 2172, 1303, 35, 35, 600, 34.8, 17.25, 41.7, 18.26, 'MONOCRISTALINO', 'HALF CELL', 'BIFACIAL', -0.34, -0.25, 0.04, 0),</v>
      </c>
    </row>
    <row r="30" spans="1:22">
      <c r="A30" s="17" t="s">
        <v>142</v>
      </c>
      <c r="B30" s="3" t="s">
        <v>138</v>
      </c>
      <c r="C30" s="3" t="s">
        <v>131</v>
      </c>
      <c r="D30" s="3" t="s">
        <v>108</v>
      </c>
      <c r="E30" s="3">
        <v>2172</v>
      </c>
      <c r="F30" s="3">
        <v>1303</v>
      </c>
      <c r="G30" s="3">
        <v>35</v>
      </c>
      <c r="H30" s="3">
        <v>35</v>
      </c>
      <c r="I30" s="3">
        <v>605</v>
      </c>
      <c r="J30" s="3">
        <v>41.9</v>
      </c>
      <c r="K30" s="3">
        <v>34.979999999999997</v>
      </c>
      <c r="L30" s="3">
        <v>18.32</v>
      </c>
      <c r="M30" s="3">
        <v>17.3</v>
      </c>
      <c r="N30" s="3">
        <v>-0.34</v>
      </c>
      <c r="O30" s="3">
        <v>-0.25</v>
      </c>
      <c r="P30" s="4">
        <v>0.04</v>
      </c>
      <c r="R30" t="str">
        <f t="shared" si="0"/>
        <v>12</v>
      </c>
      <c r="S30" t="s">
        <v>109</v>
      </c>
      <c r="T30">
        <v>0</v>
      </c>
      <c r="V30" t="str">
        <f t="shared" si="1"/>
        <v>('RSM120-8-605BMGD', 12, 2172, 1303, 35, 35, 605, 34.98, 17.3, 41.9, 18.32, 'MONOCRISTALINO', 'HALF CELL', 'BIFACIAL', -0.34, -0.25, 0.04, 0),</v>
      </c>
    </row>
    <row r="31" spans="1:22">
      <c r="A31" s="17" t="s">
        <v>143</v>
      </c>
      <c r="B31" s="3" t="s">
        <v>106</v>
      </c>
      <c r="C31" s="3" t="s">
        <v>107</v>
      </c>
      <c r="D31" s="3" t="s">
        <v>108</v>
      </c>
      <c r="E31" s="3">
        <v>2256</v>
      </c>
      <c r="F31" s="3">
        <v>1133</v>
      </c>
      <c r="G31" s="3">
        <v>35</v>
      </c>
      <c r="H31" s="3">
        <v>27.2</v>
      </c>
      <c r="I31" s="3">
        <v>525</v>
      </c>
      <c r="J31" s="3">
        <v>49.1</v>
      </c>
      <c r="K31" s="3">
        <v>41.26</v>
      </c>
      <c r="L31" s="3">
        <v>13.43</v>
      </c>
      <c r="M31" s="3">
        <v>12.72</v>
      </c>
      <c r="N31" s="3">
        <v>-0.35</v>
      </c>
      <c r="O31" s="3">
        <v>-0.27</v>
      </c>
      <c r="P31" s="4">
        <v>4.4999999999999998E-2</v>
      </c>
      <c r="R31" t="str">
        <f t="shared" si="0"/>
        <v>6</v>
      </c>
      <c r="S31" t="s">
        <v>109</v>
      </c>
      <c r="T31">
        <v>0</v>
      </c>
      <c r="V31" t="str">
        <f t="shared" si="1"/>
        <v>('CHSM72M-HC-525', 6, 2256, 1133, 35, 27.2, 525, 41.26, 12.72, 49.1, 13.43, 'MONOCRISTALINO', 'HALF CELL', 'MONOFACIAL', -0.35, -0.27, 0.045, 0),</v>
      </c>
    </row>
    <row r="32" spans="1:22">
      <c r="A32" s="17" t="s">
        <v>144</v>
      </c>
      <c r="B32" s="3" t="s">
        <v>106</v>
      </c>
      <c r="C32" s="3" t="s">
        <v>107</v>
      </c>
      <c r="D32" s="3" t="s">
        <v>108</v>
      </c>
      <c r="E32" s="3">
        <v>2256</v>
      </c>
      <c r="F32" s="3">
        <v>1133</v>
      </c>
      <c r="G32" s="3">
        <v>35</v>
      </c>
      <c r="H32" s="3">
        <v>27.2</v>
      </c>
      <c r="I32" s="3">
        <v>530</v>
      </c>
      <c r="J32" s="3">
        <v>49.3</v>
      </c>
      <c r="K32" s="3">
        <v>41.43</v>
      </c>
      <c r="L32" s="3">
        <v>13.52</v>
      </c>
      <c r="M32" s="3">
        <v>12.79</v>
      </c>
      <c r="N32" s="3">
        <v>-0.35</v>
      </c>
      <c r="O32" s="3">
        <v>-0.27</v>
      </c>
      <c r="P32" s="4">
        <v>4.4999999999999998E-2</v>
      </c>
      <c r="R32" t="str">
        <f t="shared" si="0"/>
        <v>6</v>
      </c>
      <c r="S32" t="s">
        <v>109</v>
      </c>
      <c r="T32">
        <v>0</v>
      </c>
      <c r="V32" t="str">
        <f t="shared" si="1"/>
        <v>('CHSM72M-HC-530', 6, 2256, 1133, 35, 27.2, 530, 41.43, 12.79, 49.3, 13.52, 'MONOCRISTALINO', 'HALF CELL', 'MONOFACIAL', -0.35, -0.27, 0.045, 0),</v>
      </c>
    </row>
    <row r="33" spans="1:22">
      <c r="A33" s="17" t="s">
        <v>145</v>
      </c>
      <c r="B33" s="3" t="s">
        <v>106</v>
      </c>
      <c r="C33" s="3" t="s">
        <v>107</v>
      </c>
      <c r="D33" s="3" t="s">
        <v>108</v>
      </c>
      <c r="E33" s="3">
        <v>2256</v>
      </c>
      <c r="F33" s="3">
        <v>1133</v>
      </c>
      <c r="G33" s="3">
        <v>35</v>
      </c>
      <c r="H33" s="3">
        <v>27.2</v>
      </c>
      <c r="I33" s="3">
        <v>535</v>
      </c>
      <c r="J33" s="3">
        <v>49.5</v>
      </c>
      <c r="K33" s="3">
        <v>41.6</v>
      </c>
      <c r="L33" s="3">
        <v>13.61</v>
      </c>
      <c r="M33" s="3">
        <v>12.86</v>
      </c>
      <c r="N33" s="3">
        <v>-0.35</v>
      </c>
      <c r="O33" s="3">
        <v>-0.27</v>
      </c>
      <c r="P33" s="4">
        <v>4.4999999999999998E-2</v>
      </c>
      <c r="R33" t="str">
        <f t="shared" si="0"/>
        <v>6</v>
      </c>
      <c r="S33" t="s">
        <v>109</v>
      </c>
      <c r="T33">
        <v>0</v>
      </c>
      <c r="V33" t="str">
        <f t="shared" si="1"/>
        <v>('CHSM72M-HC-535', 6, 2256, 1133, 35, 27.2, 535, 41.6, 12.86, 49.5, 13.61, 'MONOCRISTALINO', 'HALF CELL', 'MONOFACIAL', -0.35, -0.27, 0.045, 0),</v>
      </c>
    </row>
    <row r="34" spans="1:22">
      <c r="A34" s="17" t="s">
        <v>146</v>
      </c>
      <c r="B34" s="3" t="s">
        <v>106</v>
      </c>
      <c r="C34" s="3" t="s">
        <v>107</v>
      </c>
      <c r="D34" s="3" t="s">
        <v>108</v>
      </c>
      <c r="E34" s="3">
        <v>2256</v>
      </c>
      <c r="F34" s="3">
        <v>1133</v>
      </c>
      <c r="G34" s="3">
        <v>35</v>
      </c>
      <c r="H34" s="3">
        <v>27.2</v>
      </c>
      <c r="I34" s="3">
        <v>540</v>
      </c>
      <c r="J34" s="3">
        <v>49.7</v>
      </c>
      <c r="K34" s="3">
        <v>41.76</v>
      </c>
      <c r="L34" s="3">
        <v>13.72</v>
      </c>
      <c r="M34" s="3">
        <v>12.93</v>
      </c>
      <c r="N34" s="3">
        <v>-0.35</v>
      </c>
      <c r="O34" s="3">
        <v>-0.27</v>
      </c>
      <c r="P34" s="4">
        <v>4.4999999999999998E-2</v>
      </c>
      <c r="R34" t="str">
        <f t="shared" si="0"/>
        <v>6</v>
      </c>
      <c r="S34" t="s">
        <v>109</v>
      </c>
      <c r="T34">
        <v>0</v>
      </c>
      <c r="V34" t="str">
        <f t="shared" si="1"/>
        <v>('CHSM72M-HC-540', 6, 2256, 1133, 35, 27.2, 540, 41.76, 12.93, 49.7, 13.72, 'MONOCRISTALINO', 'HALF CELL', 'MONOFACIAL', -0.35, -0.27, 0.045, 0),</v>
      </c>
    </row>
    <row r="35" spans="1:22">
      <c r="A35" s="17" t="s">
        <v>147</v>
      </c>
      <c r="B35" s="3" t="s">
        <v>106</v>
      </c>
      <c r="C35" s="3" t="s">
        <v>107</v>
      </c>
      <c r="D35" s="3" t="s">
        <v>108</v>
      </c>
      <c r="E35" s="3">
        <v>2256</v>
      </c>
      <c r="F35" s="3">
        <v>1133</v>
      </c>
      <c r="G35" s="3">
        <v>35</v>
      </c>
      <c r="H35" s="3">
        <v>27.2</v>
      </c>
      <c r="I35" s="3">
        <v>545</v>
      </c>
      <c r="J35" s="3">
        <v>49.9</v>
      </c>
      <c r="K35" s="3">
        <v>41.93</v>
      </c>
      <c r="L35" s="3">
        <v>13.81</v>
      </c>
      <c r="M35" s="3">
        <v>13</v>
      </c>
      <c r="N35" s="3">
        <v>-0.35</v>
      </c>
      <c r="O35" s="3">
        <v>-0.27</v>
      </c>
      <c r="P35" s="4">
        <v>4.4999999999999998E-2</v>
      </c>
      <c r="R35" t="str">
        <f t="shared" ref="R35:R66" si="2">IF(B35="WEG","1",IF(B35="HUAWEI","2",IF(B35="FOX ESS","3",IF(B35="GOODWE","4",IF(B35="PHB","5",IF(B35="ASTRONERGY","6",IF(B35="BYD","7",IF(B35="HUASUN","8",IF(B35="JA SOLAR","9",IF(B35="JINKO","10",IF(B35="LONGI","11",IF(B35="RISEN","12",IF(B35="SUNOVA","13",IF(B35="TALESUN","14",IF(B35="TRINA SOLAR","15","NÃO CADASTRADO")))))))))))))))</f>
        <v>6</v>
      </c>
      <c r="S35" t="s">
        <v>109</v>
      </c>
      <c r="T35">
        <v>0</v>
      </c>
      <c r="V35" t="str">
        <f t="shared" ref="V35:V66" si="3">_xlfn.CONCAT("('",A35,"', ",R35,", ",E35,", ",F35,", ",G35,", ",SUBSTITUTE(H35,",","."),", ",I35,", ",SUBSTITUTE(K35,",","."),", ",SUBSTITUTE(M35,",","."),", ",SUBSTITUTE(J35,",","."),", ",SUBSTITUTE(L35,",","."),", '",D35,"', '",S35,"', '",C35,"', ",SUBSTITUTE(N35,",","."),", ",SUBSTITUTE(O35,",","."),", ",SUBSTITUTE(P35,",","."),", ",T35,"),")</f>
        <v>('CHSM72M-HC-545', 6, 2256, 1133, 35, 27.2, 545, 41.93, 13, 49.9, 13.81, 'MONOCRISTALINO', 'HALF CELL', 'MONOFACIAL', -0.35, -0.27, 0.045, 0),</v>
      </c>
    </row>
    <row r="36" spans="1:22">
      <c r="A36" s="17" t="s">
        <v>148</v>
      </c>
      <c r="B36" s="3" t="s">
        <v>114</v>
      </c>
      <c r="C36" s="3" t="s">
        <v>107</v>
      </c>
      <c r="D36" s="3" t="s">
        <v>115</v>
      </c>
      <c r="E36" s="3">
        <v>1962</v>
      </c>
      <c r="F36" s="3">
        <v>992</v>
      </c>
      <c r="G36" s="3">
        <v>35</v>
      </c>
      <c r="H36" s="3">
        <v>21.5</v>
      </c>
      <c r="I36" s="3">
        <v>325</v>
      </c>
      <c r="J36" s="3">
        <v>46.69</v>
      </c>
      <c r="K36" s="3">
        <v>36.979999999999997</v>
      </c>
      <c r="L36" s="3">
        <v>9.25</v>
      </c>
      <c r="M36" s="3">
        <v>8.7899999999999991</v>
      </c>
      <c r="N36" s="3">
        <v>-0.39</v>
      </c>
      <c r="O36" s="3">
        <v>-0.31</v>
      </c>
      <c r="P36" s="4">
        <v>7.0000000000000007E-2</v>
      </c>
      <c r="R36" t="str">
        <f t="shared" si="2"/>
        <v>7</v>
      </c>
      <c r="S36" t="s">
        <v>149</v>
      </c>
      <c r="T36">
        <v>0</v>
      </c>
      <c r="V36" t="str">
        <f t="shared" si="3"/>
        <v>('BYD325-P6K-36-5B', 7, 1962, 992, 35, 21.5, 325, 36.98, 8.79, 46.69, 9.25, 'POLICRISTALINO', 'FULL CELL', 'MONOFACIAL', -0.39, -0.31, 0.07, 0),</v>
      </c>
    </row>
    <row r="37" spans="1:22">
      <c r="A37" s="17" t="s">
        <v>150</v>
      </c>
      <c r="B37" s="3" t="s">
        <v>114</v>
      </c>
      <c r="C37" s="3" t="s">
        <v>107</v>
      </c>
      <c r="D37" s="3" t="s">
        <v>115</v>
      </c>
      <c r="E37" s="3">
        <v>1962</v>
      </c>
      <c r="F37" s="3">
        <v>992</v>
      </c>
      <c r="G37" s="3">
        <v>35</v>
      </c>
      <c r="H37" s="3">
        <v>21.5</v>
      </c>
      <c r="I37" s="3">
        <v>330</v>
      </c>
      <c r="J37" s="3">
        <v>46.98</v>
      </c>
      <c r="K37" s="3">
        <v>37.159999999999997</v>
      </c>
      <c r="L37" s="3">
        <v>9.31</v>
      </c>
      <c r="M37" s="3">
        <v>8.8800000000000008</v>
      </c>
      <c r="N37" s="3">
        <v>-0.39</v>
      </c>
      <c r="O37" s="3">
        <v>-0.31</v>
      </c>
      <c r="P37" s="4">
        <v>7.0000000000000007E-2</v>
      </c>
      <c r="R37" t="str">
        <f t="shared" si="2"/>
        <v>7</v>
      </c>
      <c r="S37" t="s">
        <v>149</v>
      </c>
      <c r="T37">
        <v>0</v>
      </c>
      <c r="V37" t="str">
        <f t="shared" si="3"/>
        <v>('BYD330-P6K-36-5B', 7, 1962, 992, 35, 21.5, 330, 37.16, 8.88, 46.98, 9.31, 'POLICRISTALINO', 'FULL CELL', 'MONOFACIAL', -0.39, -0.31, 0.07, 0),</v>
      </c>
    </row>
    <row r="38" spans="1:22">
      <c r="A38" s="17" t="s">
        <v>151</v>
      </c>
      <c r="B38" s="3" t="s">
        <v>114</v>
      </c>
      <c r="C38" s="3" t="s">
        <v>107</v>
      </c>
      <c r="D38" s="3" t="s">
        <v>115</v>
      </c>
      <c r="E38" s="3">
        <v>1962</v>
      </c>
      <c r="F38" s="3">
        <v>992</v>
      </c>
      <c r="G38" s="3">
        <v>35</v>
      </c>
      <c r="H38" s="3">
        <v>21.5</v>
      </c>
      <c r="I38" s="3">
        <v>335</v>
      </c>
      <c r="J38" s="3">
        <v>47.28</v>
      </c>
      <c r="K38" s="3">
        <v>37.35</v>
      </c>
      <c r="L38" s="3">
        <v>9.39</v>
      </c>
      <c r="M38" s="3">
        <v>8.9700000000000006</v>
      </c>
      <c r="N38" s="3">
        <v>-0.39</v>
      </c>
      <c r="O38" s="3">
        <v>-0.31</v>
      </c>
      <c r="P38" s="4">
        <v>7.0000000000000007E-2</v>
      </c>
      <c r="R38" t="str">
        <f t="shared" si="2"/>
        <v>7</v>
      </c>
      <c r="S38" t="s">
        <v>149</v>
      </c>
      <c r="T38">
        <v>0</v>
      </c>
      <c r="V38" t="str">
        <f t="shared" si="3"/>
        <v>('BYD335-P6K-36-5B', 7, 1962, 992, 35, 21.5, 335, 37.35, 8.97, 47.28, 9.39, 'POLICRISTALINO', 'FULL CELL', 'MONOFACIAL', -0.39, -0.31, 0.07, 0),</v>
      </c>
    </row>
    <row r="39" spans="1:22">
      <c r="A39" s="17" t="s">
        <v>152</v>
      </c>
      <c r="B39" s="3" t="s">
        <v>114</v>
      </c>
      <c r="C39" s="3" t="s">
        <v>107</v>
      </c>
      <c r="D39" s="3" t="s">
        <v>115</v>
      </c>
      <c r="E39" s="3">
        <v>1962</v>
      </c>
      <c r="F39" s="3">
        <v>992</v>
      </c>
      <c r="G39" s="3">
        <v>35</v>
      </c>
      <c r="H39" s="3">
        <v>21.5</v>
      </c>
      <c r="I39" s="3">
        <v>340</v>
      </c>
      <c r="J39" s="3">
        <v>47.58</v>
      </c>
      <c r="K39" s="3">
        <v>37.53</v>
      </c>
      <c r="L39" s="3">
        <v>9.4700000000000006</v>
      </c>
      <c r="M39" s="3">
        <v>9.06</v>
      </c>
      <c r="N39" s="3">
        <v>-0.39</v>
      </c>
      <c r="O39" s="3">
        <v>-0.31</v>
      </c>
      <c r="P39" s="4">
        <v>7.0000000000000007E-2</v>
      </c>
      <c r="R39" t="str">
        <f t="shared" si="2"/>
        <v>7</v>
      </c>
      <c r="S39" t="s">
        <v>149</v>
      </c>
      <c r="T39">
        <v>0</v>
      </c>
      <c r="V39" t="str">
        <f t="shared" si="3"/>
        <v>('BYD340-P6K-36-5B', 7, 1962, 992, 35, 21.5, 340, 37.53, 9.06, 47.58, 9.47, 'POLICRISTALINO', 'FULL CELL', 'MONOFACIAL', -0.39, -0.31, 0.07, 0),</v>
      </c>
    </row>
    <row r="40" spans="1:22">
      <c r="A40" s="17" t="s">
        <v>153</v>
      </c>
      <c r="B40" s="3" t="s">
        <v>154</v>
      </c>
      <c r="C40" s="3" t="s">
        <v>107</v>
      </c>
      <c r="D40" s="3" t="s">
        <v>115</v>
      </c>
      <c r="E40" s="3">
        <v>1956</v>
      </c>
      <c r="F40" s="3">
        <v>942</v>
      </c>
      <c r="G40" s="3">
        <v>40</v>
      </c>
      <c r="H40" s="3">
        <v>26.5</v>
      </c>
      <c r="I40" s="3">
        <v>320</v>
      </c>
      <c r="J40" s="3">
        <v>46.4</v>
      </c>
      <c r="K40" s="3">
        <v>37.4</v>
      </c>
      <c r="L40" s="3">
        <v>9.0500000000000007</v>
      </c>
      <c r="M40" s="3">
        <v>8.56</v>
      </c>
      <c r="N40" s="3">
        <v>-0.4</v>
      </c>
      <c r="O40" s="3">
        <v>-0.31</v>
      </c>
      <c r="P40" s="4">
        <v>0.06</v>
      </c>
      <c r="R40" t="str">
        <f t="shared" si="2"/>
        <v>10</v>
      </c>
      <c r="S40" t="s">
        <v>149</v>
      </c>
      <c r="T40">
        <v>0</v>
      </c>
      <c r="V40" t="str">
        <f t="shared" si="3"/>
        <v>('JKM320PP-72', 10, 1956, 942, 40, 26.5, 320, 37.4, 8.56, 46.4, 9.05, 'POLICRISTALINO', 'FULL CELL', 'MONOFACIAL', -0.4, -0.31, 0.06, 0),</v>
      </c>
    </row>
    <row r="41" spans="1:22">
      <c r="A41" s="17" t="s">
        <v>155</v>
      </c>
      <c r="B41" s="3" t="s">
        <v>154</v>
      </c>
      <c r="C41" s="3" t="s">
        <v>107</v>
      </c>
      <c r="D41" s="3" t="s">
        <v>115</v>
      </c>
      <c r="E41" s="3">
        <v>1956</v>
      </c>
      <c r="F41" s="3">
        <v>942</v>
      </c>
      <c r="G41" s="3">
        <v>40</v>
      </c>
      <c r="H41" s="3">
        <v>26.5</v>
      </c>
      <c r="I41" s="3">
        <v>325</v>
      </c>
      <c r="J41" s="3">
        <v>46.7</v>
      </c>
      <c r="K41" s="3">
        <v>37.6</v>
      </c>
      <c r="L41" s="3">
        <v>9.1</v>
      </c>
      <c r="M41" s="3">
        <v>8.66</v>
      </c>
      <c r="N41" s="3">
        <v>-0.4</v>
      </c>
      <c r="O41" s="3">
        <v>-0.31</v>
      </c>
      <c r="P41" s="4">
        <v>0.06</v>
      </c>
      <c r="R41" t="str">
        <f t="shared" si="2"/>
        <v>10</v>
      </c>
      <c r="S41" t="s">
        <v>149</v>
      </c>
      <c r="T41">
        <v>0</v>
      </c>
      <c r="V41" t="str">
        <f t="shared" si="3"/>
        <v>('JKM325PP-72', 10, 1956, 942, 40, 26.5, 325, 37.6, 8.66, 46.7, 9.1, 'POLICRISTALINO', 'FULL CELL', 'MONOFACIAL', -0.4, -0.31, 0.06, 0),</v>
      </c>
    </row>
    <row r="42" spans="1:22">
      <c r="A42" s="17" t="s">
        <v>156</v>
      </c>
      <c r="B42" s="3" t="s">
        <v>154</v>
      </c>
      <c r="C42" s="3" t="s">
        <v>107</v>
      </c>
      <c r="D42" s="3" t="s">
        <v>115</v>
      </c>
      <c r="E42" s="3">
        <v>1956</v>
      </c>
      <c r="F42" s="3">
        <v>942</v>
      </c>
      <c r="G42" s="3">
        <v>40</v>
      </c>
      <c r="H42" s="3">
        <v>26.5</v>
      </c>
      <c r="I42" s="3">
        <v>330</v>
      </c>
      <c r="J42" s="3">
        <v>46.9</v>
      </c>
      <c r="K42" s="3">
        <v>37.799999999999997</v>
      </c>
      <c r="L42" s="3">
        <v>9.14</v>
      </c>
      <c r="M42" s="3">
        <v>8.74</v>
      </c>
      <c r="N42" s="3">
        <v>-0.4</v>
      </c>
      <c r="O42" s="3">
        <v>-0.31</v>
      </c>
      <c r="P42" s="4">
        <v>0.06</v>
      </c>
      <c r="R42" t="str">
        <f t="shared" si="2"/>
        <v>10</v>
      </c>
      <c r="S42" t="s">
        <v>149</v>
      </c>
      <c r="T42">
        <v>0</v>
      </c>
      <c r="V42" t="str">
        <f t="shared" si="3"/>
        <v>('JKM330PP-72', 10, 1956, 942, 40, 26.5, 330, 37.8, 8.74, 46.9, 9.14, 'POLICRISTALINO', 'FULL CELL', 'MONOFACIAL', -0.4, -0.31, 0.06, 0),</v>
      </c>
    </row>
    <row r="43" spans="1:22">
      <c r="A43" s="17" t="s">
        <v>157</v>
      </c>
      <c r="B43" s="3" t="s">
        <v>154</v>
      </c>
      <c r="C43" s="3" t="s">
        <v>107</v>
      </c>
      <c r="D43" s="3" t="s">
        <v>115</v>
      </c>
      <c r="E43" s="3">
        <v>1956</v>
      </c>
      <c r="F43" s="3">
        <v>942</v>
      </c>
      <c r="G43" s="3">
        <v>40</v>
      </c>
      <c r="H43" s="3">
        <v>26.5</v>
      </c>
      <c r="I43" s="3">
        <v>335</v>
      </c>
      <c r="J43" s="3">
        <v>47.2</v>
      </c>
      <c r="K43" s="3">
        <v>38</v>
      </c>
      <c r="L43" s="3">
        <v>9.18</v>
      </c>
      <c r="M43" s="3">
        <v>8.82</v>
      </c>
      <c r="N43" s="3">
        <v>-0.4</v>
      </c>
      <c r="O43" s="3">
        <v>-0.31</v>
      </c>
      <c r="P43" s="4">
        <v>0.06</v>
      </c>
      <c r="R43" t="str">
        <f t="shared" si="2"/>
        <v>10</v>
      </c>
      <c r="S43" t="s">
        <v>149</v>
      </c>
      <c r="T43">
        <v>0</v>
      </c>
      <c r="V43" t="str">
        <f t="shared" si="3"/>
        <v>('JKM335PP-72', 10, 1956, 942, 40, 26.5, 335, 38, 8.82, 47.2, 9.18, 'POLICRISTALINO', 'FULL CELL', 'MONOFACIAL', -0.4, -0.31, 0.06, 0),</v>
      </c>
    </row>
    <row r="44" spans="1:22">
      <c r="A44" s="17" t="s">
        <v>158</v>
      </c>
      <c r="B44" s="3" t="s">
        <v>154</v>
      </c>
      <c r="C44" s="3" t="s">
        <v>107</v>
      </c>
      <c r="D44" s="3" t="s">
        <v>115</v>
      </c>
      <c r="E44" s="3">
        <v>1956</v>
      </c>
      <c r="F44" s="3">
        <v>942</v>
      </c>
      <c r="G44" s="3">
        <v>40</v>
      </c>
      <c r="H44" s="3">
        <v>26.5</v>
      </c>
      <c r="I44" s="3">
        <v>340</v>
      </c>
      <c r="J44" s="3">
        <v>47.5</v>
      </c>
      <c r="K44" s="3">
        <v>38.200000000000003</v>
      </c>
      <c r="L44" s="3">
        <v>9.2200000000000006</v>
      </c>
      <c r="M44" s="3">
        <v>8.91</v>
      </c>
      <c r="N44" s="3">
        <v>-0.4</v>
      </c>
      <c r="O44" s="3">
        <v>-0.31</v>
      </c>
      <c r="P44" s="4">
        <v>0.06</v>
      </c>
      <c r="R44" t="str">
        <f t="shared" si="2"/>
        <v>10</v>
      </c>
      <c r="S44" t="s">
        <v>149</v>
      </c>
      <c r="T44">
        <v>0</v>
      </c>
      <c r="V44" t="str">
        <f t="shared" si="3"/>
        <v>('JKM340PP-72', 10, 1956, 942, 40, 26.5, 340, 38.2, 8.91, 47.5, 9.22, 'POLICRISTALINO', 'FULL CELL', 'MONOFACIAL', -0.4, -0.31, 0.06, 0),</v>
      </c>
    </row>
    <row r="45" spans="1:22">
      <c r="A45" s="17" t="s">
        <v>159</v>
      </c>
      <c r="B45" s="3" t="s">
        <v>138</v>
      </c>
      <c r="C45" s="3" t="s">
        <v>107</v>
      </c>
      <c r="D45" s="3" t="s">
        <v>115</v>
      </c>
      <c r="E45" s="3">
        <v>2010</v>
      </c>
      <c r="F45" s="3">
        <v>992</v>
      </c>
      <c r="G45" s="3">
        <v>40</v>
      </c>
      <c r="H45" s="3">
        <v>23</v>
      </c>
      <c r="I45" s="3">
        <v>330</v>
      </c>
      <c r="J45" s="3">
        <v>43</v>
      </c>
      <c r="K45" s="3">
        <v>34.5</v>
      </c>
      <c r="L45" s="3">
        <v>7.49</v>
      </c>
      <c r="M45" s="3">
        <v>7.13</v>
      </c>
      <c r="N45" s="3">
        <v>-0.39</v>
      </c>
      <c r="O45" s="3">
        <v>-0.32</v>
      </c>
      <c r="P45" s="4">
        <v>0.05</v>
      </c>
      <c r="R45" t="str">
        <f t="shared" si="2"/>
        <v>12</v>
      </c>
      <c r="S45" t="s">
        <v>109</v>
      </c>
      <c r="T45">
        <v>0</v>
      </c>
      <c r="V45" t="str">
        <f t="shared" si="3"/>
        <v>('RSM144-6-330P', 12, 2010, 992, 40, 23, 330, 34.5, 7.13, 43, 7.49, 'POLICRISTALINO', 'HALF CELL', 'MONOFACIAL', -0.39, -0.32, 0.05, 0),</v>
      </c>
    </row>
    <row r="46" spans="1:22">
      <c r="A46" s="17" t="s">
        <v>160</v>
      </c>
      <c r="B46" s="3" t="s">
        <v>138</v>
      </c>
      <c r="C46" s="3" t="s">
        <v>107</v>
      </c>
      <c r="D46" s="3" t="s">
        <v>115</v>
      </c>
      <c r="E46" s="3">
        <v>2010</v>
      </c>
      <c r="F46" s="3">
        <v>992</v>
      </c>
      <c r="G46" s="3">
        <v>40</v>
      </c>
      <c r="H46" s="3">
        <v>23</v>
      </c>
      <c r="I46" s="3">
        <v>335</v>
      </c>
      <c r="J46" s="3">
        <v>43.3</v>
      </c>
      <c r="K46" s="3">
        <v>34.700000000000003</v>
      </c>
      <c r="L46" s="3">
        <v>7.53</v>
      </c>
      <c r="M46" s="3">
        <v>7.19</v>
      </c>
      <c r="N46" s="3">
        <v>-0.39</v>
      </c>
      <c r="O46" s="3">
        <v>-0.32</v>
      </c>
      <c r="P46" s="4">
        <v>0.05</v>
      </c>
      <c r="R46" t="str">
        <f t="shared" si="2"/>
        <v>12</v>
      </c>
      <c r="S46" t="s">
        <v>109</v>
      </c>
      <c r="T46">
        <v>0</v>
      </c>
      <c r="V46" t="str">
        <f t="shared" si="3"/>
        <v>('RSM144-6-335P', 12, 2010, 992, 40, 23, 335, 34.7, 7.19, 43.3, 7.53, 'POLICRISTALINO', 'HALF CELL', 'MONOFACIAL', -0.39, -0.32, 0.05, 0),</v>
      </c>
    </row>
    <row r="47" spans="1:22">
      <c r="A47" s="17" t="s">
        <v>161</v>
      </c>
      <c r="B47" s="3" t="s">
        <v>138</v>
      </c>
      <c r="C47" s="3" t="s">
        <v>107</v>
      </c>
      <c r="D47" s="3" t="s">
        <v>115</v>
      </c>
      <c r="E47" s="3">
        <v>2010</v>
      </c>
      <c r="F47" s="3">
        <v>992</v>
      </c>
      <c r="G47" s="3">
        <v>40</v>
      </c>
      <c r="H47" s="3">
        <v>23</v>
      </c>
      <c r="I47" s="3">
        <v>340</v>
      </c>
      <c r="J47" s="3">
        <v>43.6</v>
      </c>
      <c r="K47" s="3">
        <v>34.9</v>
      </c>
      <c r="L47" s="3">
        <v>7.57</v>
      </c>
      <c r="M47" s="3">
        <v>7.26</v>
      </c>
      <c r="N47" s="3">
        <v>-0.39</v>
      </c>
      <c r="O47" s="3">
        <v>-0.32</v>
      </c>
      <c r="P47" s="4">
        <v>0.05</v>
      </c>
      <c r="R47" t="str">
        <f t="shared" si="2"/>
        <v>12</v>
      </c>
      <c r="S47" t="s">
        <v>109</v>
      </c>
      <c r="T47">
        <v>0</v>
      </c>
      <c r="V47" t="str">
        <f t="shared" si="3"/>
        <v>('RSM144-6-340P', 12, 2010, 992, 40, 23, 340, 34.9, 7.26, 43.6, 7.57, 'POLICRISTALINO', 'HALF CELL', 'MONOFACIAL', -0.39, -0.32, 0.05, 0),</v>
      </c>
    </row>
    <row r="48" spans="1:22">
      <c r="A48" s="17" t="s">
        <v>162</v>
      </c>
      <c r="B48" s="3" t="s">
        <v>138</v>
      </c>
      <c r="C48" s="3" t="s">
        <v>107</v>
      </c>
      <c r="D48" s="3" t="s">
        <v>115</v>
      </c>
      <c r="E48" s="3">
        <v>2010</v>
      </c>
      <c r="F48" s="3">
        <v>992</v>
      </c>
      <c r="G48" s="3">
        <v>40</v>
      </c>
      <c r="H48" s="3">
        <v>23</v>
      </c>
      <c r="I48" s="3">
        <v>345</v>
      </c>
      <c r="J48" s="3">
        <v>43.9</v>
      </c>
      <c r="K48" s="3">
        <v>35.200000000000003</v>
      </c>
      <c r="L48" s="3">
        <v>7.61</v>
      </c>
      <c r="M48" s="3">
        <v>7.31</v>
      </c>
      <c r="N48" s="3">
        <v>-0.39</v>
      </c>
      <c r="O48" s="3">
        <v>-0.32</v>
      </c>
      <c r="P48" s="4">
        <v>0.05</v>
      </c>
      <c r="R48" t="str">
        <f t="shared" si="2"/>
        <v>12</v>
      </c>
      <c r="S48" t="s">
        <v>109</v>
      </c>
      <c r="T48">
        <v>0</v>
      </c>
      <c r="V48" t="str">
        <f t="shared" si="3"/>
        <v>('RSM144-6-345P', 12, 2010, 992, 40, 23, 345, 35.2, 7.31, 43.9, 7.61, 'POLICRISTALINO', 'HALF CELL', 'MONOFACIAL', -0.39, -0.32, 0.05, 0),</v>
      </c>
    </row>
    <row r="49" spans="1:22">
      <c r="A49" s="17" t="s">
        <v>163</v>
      </c>
      <c r="B49" s="3" t="s">
        <v>106</v>
      </c>
      <c r="C49" s="3" t="s">
        <v>107</v>
      </c>
      <c r="D49" s="3" t="s">
        <v>115</v>
      </c>
      <c r="E49" s="3">
        <v>1954</v>
      </c>
      <c r="F49" s="3">
        <v>990</v>
      </c>
      <c r="G49" s="3">
        <v>40</v>
      </c>
      <c r="H49" s="3">
        <v>21.8</v>
      </c>
      <c r="I49" s="3">
        <v>330</v>
      </c>
      <c r="J49" s="3">
        <v>45.86</v>
      </c>
      <c r="K49" s="3">
        <v>37.15</v>
      </c>
      <c r="L49" s="3">
        <v>9.52</v>
      </c>
      <c r="M49" s="3">
        <v>8.89</v>
      </c>
      <c r="N49" s="3">
        <v>-0.40799999999999997</v>
      </c>
      <c r="O49" s="3">
        <v>-0.311</v>
      </c>
      <c r="P49" s="4">
        <v>0.05</v>
      </c>
      <c r="R49" t="str">
        <f t="shared" si="2"/>
        <v>6</v>
      </c>
      <c r="S49" t="s">
        <v>149</v>
      </c>
      <c r="T49">
        <v>0</v>
      </c>
      <c r="V49" t="str">
        <f t="shared" si="3"/>
        <v>('CHSM6612P-330', 6, 1954, 990, 40, 21.8, 330, 37.15, 8.89, 45.86, 9.52, 'POLICRISTALINO', 'FULL CELL', 'MONOFACIAL', -0.408, -0.311, 0.05, 0),</v>
      </c>
    </row>
    <row r="50" spans="1:22">
      <c r="A50" s="17" t="s">
        <v>164</v>
      </c>
      <c r="B50" s="3" t="s">
        <v>106</v>
      </c>
      <c r="C50" s="3" t="s">
        <v>107</v>
      </c>
      <c r="D50" s="3" t="s">
        <v>115</v>
      </c>
      <c r="E50" s="3">
        <v>1954</v>
      </c>
      <c r="F50" s="3">
        <v>990</v>
      </c>
      <c r="G50" s="3">
        <v>40</v>
      </c>
      <c r="H50" s="3">
        <v>21.8</v>
      </c>
      <c r="I50" s="3">
        <v>335</v>
      </c>
      <c r="J50" s="3">
        <v>45.98</v>
      </c>
      <c r="K50" s="3">
        <v>37.26</v>
      </c>
      <c r="L50" s="3">
        <v>9.57</v>
      </c>
      <c r="M50" s="3">
        <v>9</v>
      </c>
      <c r="N50" s="3">
        <v>-0.40799999999999997</v>
      </c>
      <c r="O50" s="3">
        <v>-0.311</v>
      </c>
      <c r="P50" s="4">
        <v>0.05</v>
      </c>
      <c r="R50" t="str">
        <f t="shared" si="2"/>
        <v>6</v>
      </c>
      <c r="S50" t="s">
        <v>149</v>
      </c>
      <c r="T50">
        <v>0</v>
      </c>
      <c r="V50" t="str">
        <f t="shared" si="3"/>
        <v>('CHSM6612P-335', 6, 1954, 990, 40, 21.8, 335, 37.26, 9, 45.98, 9.57, 'POLICRISTALINO', 'FULL CELL', 'MONOFACIAL', -0.408, -0.311, 0.05, 0),</v>
      </c>
    </row>
    <row r="51" spans="1:22">
      <c r="A51" s="17" t="s">
        <v>165</v>
      </c>
      <c r="B51" s="3" t="s">
        <v>106</v>
      </c>
      <c r="C51" s="3" t="s">
        <v>107</v>
      </c>
      <c r="D51" s="3" t="s">
        <v>115</v>
      </c>
      <c r="E51" s="3">
        <v>1954</v>
      </c>
      <c r="F51" s="3">
        <v>990</v>
      </c>
      <c r="G51" s="3">
        <v>40</v>
      </c>
      <c r="H51" s="3">
        <v>21.8</v>
      </c>
      <c r="I51" s="3">
        <v>340</v>
      </c>
      <c r="J51" s="3">
        <v>46.16</v>
      </c>
      <c r="K51" s="3">
        <v>37.33</v>
      </c>
      <c r="L51" s="3">
        <v>9.6199999999999992</v>
      </c>
      <c r="M51" s="3">
        <v>9.11</v>
      </c>
      <c r="N51" s="3">
        <v>-0.40799999999999997</v>
      </c>
      <c r="O51" s="3">
        <v>-0.311</v>
      </c>
      <c r="P51" s="4">
        <v>0.05</v>
      </c>
      <c r="R51" t="str">
        <f t="shared" si="2"/>
        <v>6</v>
      </c>
      <c r="S51" t="s">
        <v>149</v>
      </c>
      <c r="T51">
        <v>0</v>
      </c>
      <c r="V51" t="str">
        <f t="shared" si="3"/>
        <v>('CHSM6612P-340', 6, 1954, 990, 40, 21.8, 340, 37.33, 9.11, 46.16, 9.62, 'POLICRISTALINO', 'FULL CELL', 'MONOFACIAL', -0.408, -0.311, 0.05, 0),</v>
      </c>
    </row>
    <row r="52" spans="1:22">
      <c r="A52" s="17" t="s">
        <v>166</v>
      </c>
      <c r="B52" s="3" t="s">
        <v>106</v>
      </c>
      <c r="C52" s="3" t="s">
        <v>107</v>
      </c>
      <c r="D52" s="3" t="s">
        <v>115</v>
      </c>
      <c r="E52" s="3">
        <v>1954</v>
      </c>
      <c r="F52" s="3">
        <v>990</v>
      </c>
      <c r="G52" s="3">
        <v>40</v>
      </c>
      <c r="H52" s="3">
        <v>21.8</v>
      </c>
      <c r="I52" s="3">
        <v>345</v>
      </c>
      <c r="J52" s="3">
        <v>46.37</v>
      </c>
      <c r="K52" s="3">
        <v>37.380000000000003</v>
      </c>
      <c r="L52" s="3">
        <v>9.67</v>
      </c>
      <c r="M52" s="3">
        <v>9.23</v>
      </c>
      <c r="N52" s="3">
        <v>-0.40799999999999997</v>
      </c>
      <c r="O52" s="3">
        <v>-0.311</v>
      </c>
      <c r="P52" s="4">
        <v>0.05</v>
      </c>
      <c r="R52" t="str">
        <f t="shared" si="2"/>
        <v>6</v>
      </c>
      <c r="S52" t="s">
        <v>149</v>
      </c>
      <c r="T52">
        <v>0</v>
      </c>
      <c r="V52" t="str">
        <f t="shared" si="3"/>
        <v>('CHSM6612P-345', 6, 1954, 990, 40, 21.8, 345, 37.38, 9.23, 46.37, 9.67, 'POLICRISTALINO', 'FULL CELL', 'MONOFACIAL', -0.408, -0.311, 0.05, 0),</v>
      </c>
    </row>
    <row r="53" spans="1:22">
      <c r="A53" s="17" t="s">
        <v>167</v>
      </c>
      <c r="B53" s="3" t="s">
        <v>120</v>
      </c>
      <c r="C53" s="3" t="s">
        <v>107</v>
      </c>
      <c r="D53" s="3" t="s">
        <v>115</v>
      </c>
      <c r="E53" s="3">
        <v>2024</v>
      </c>
      <c r="F53" s="3">
        <v>1004</v>
      </c>
      <c r="G53" s="3">
        <v>35</v>
      </c>
      <c r="H53" s="3">
        <v>22.8</v>
      </c>
      <c r="I53" s="3">
        <v>340</v>
      </c>
      <c r="J53" s="3">
        <v>46.2</v>
      </c>
      <c r="K53" s="3">
        <v>37.5</v>
      </c>
      <c r="L53" s="3">
        <v>9.5299999999999994</v>
      </c>
      <c r="M53" s="3">
        <v>9.06</v>
      </c>
      <c r="N53" s="3">
        <v>-0.38</v>
      </c>
      <c r="O53" s="3">
        <v>-0.31</v>
      </c>
      <c r="P53" s="4">
        <v>0.05</v>
      </c>
      <c r="R53" t="str">
        <f t="shared" si="2"/>
        <v>15</v>
      </c>
      <c r="S53" t="s">
        <v>109</v>
      </c>
      <c r="T53">
        <v>0</v>
      </c>
      <c r="V53" t="str">
        <f t="shared" si="3"/>
        <v>('TSM-340PE15H', 15, 2024, 1004, 35, 22.8, 340, 37.5, 9.06, 46.2, 9.53, 'POLICRISTALINO', 'HALF CELL', 'MONOFACIAL', -0.38, -0.31, 0.05, 0),</v>
      </c>
    </row>
    <row r="54" spans="1:22">
      <c r="A54" s="17" t="s">
        <v>168</v>
      </c>
      <c r="B54" s="3" t="s">
        <v>120</v>
      </c>
      <c r="C54" s="3" t="s">
        <v>107</v>
      </c>
      <c r="D54" s="3" t="s">
        <v>115</v>
      </c>
      <c r="E54" s="3">
        <v>2024</v>
      </c>
      <c r="F54" s="3">
        <v>1004</v>
      </c>
      <c r="G54" s="3">
        <v>35</v>
      </c>
      <c r="H54" s="3">
        <v>22.8</v>
      </c>
      <c r="I54" s="3">
        <v>345</v>
      </c>
      <c r="J54" s="3">
        <v>46.4</v>
      </c>
      <c r="K54" s="3">
        <v>37.700000000000003</v>
      </c>
      <c r="L54" s="3">
        <v>9.6199999999999992</v>
      </c>
      <c r="M54" s="3">
        <v>9.15</v>
      </c>
      <c r="N54" s="3">
        <v>-0.38</v>
      </c>
      <c r="O54" s="3">
        <v>-0.31</v>
      </c>
      <c r="P54" s="4">
        <v>0.05</v>
      </c>
      <c r="R54" t="str">
        <f t="shared" si="2"/>
        <v>15</v>
      </c>
      <c r="S54" t="s">
        <v>109</v>
      </c>
      <c r="T54">
        <v>0</v>
      </c>
      <c r="V54" t="str">
        <f t="shared" si="3"/>
        <v>('TSM-345PE15H', 15, 2024, 1004, 35, 22.8, 345, 37.7, 9.15, 46.4, 9.62, 'POLICRISTALINO', 'HALF CELL', 'MONOFACIAL', -0.38, -0.31, 0.05, 0),</v>
      </c>
    </row>
    <row r="55" spans="1:22">
      <c r="A55" s="17" t="s">
        <v>169</v>
      </c>
      <c r="B55" s="3" t="s">
        <v>120</v>
      </c>
      <c r="C55" s="3" t="s">
        <v>107</v>
      </c>
      <c r="D55" s="3" t="s">
        <v>115</v>
      </c>
      <c r="E55" s="3">
        <v>2024</v>
      </c>
      <c r="F55" s="3">
        <v>1004</v>
      </c>
      <c r="G55" s="3">
        <v>35</v>
      </c>
      <c r="H55" s="3">
        <v>22.8</v>
      </c>
      <c r="I55" s="3">
        <v>350</v>
      </c>
      <c r="J55" s="3">
        <v>46.7</v>
      </c>
      <c r="K55" s="3">
        <v>37.9</v>
      </c>
      <c r="L55" s="3">
        <v>9.7100000000000009</v>
      </c>
      <c r="M55" s="3">
        <v>9.23</v>
      </c>
      <c r="N55" s="3">
        <v>-0.38</v>
      </c>
      <c r="O55" s="3">
        <v>-0.31</v>
      </c>
      <c r="P55" s="4">
        <v>0.05</v>
      </c>
      <c r="R55" t="str">
        <f t="shared" si="2"/>
        <v>15</v>
      </c>
      <c r="S55" t="s">
        <v>109</v>
      </c>
      <c r="T55">
        <v>0</v>
      </c>
      <c r="V55" t="str">
        <f t="shared" si="3"/>
        <v>('TSM-350PE15H', 15, 2024, 1004, 35, 22.8, 350, 37.9, 9.23, 46.7, 9.71, 'POLICRISTALINO', 'HALF CELL', 'MONOFACIAL', -0.38, -0.31, 0.05, 0),</v>
      </c>
    </row>
    <row r="56" spans="1:22">
      <c r="A56" s="17" t="s">
        <v>170</v>
      </c>
      <c r="B56" s="3" t="s">
        <v>120</v>
      </c>
      <c r="C56" s="3" t="s">
        <v>107</v>
      </c>
      <c r="D56" s="3" t="s">
        <v>115</v>
      </c>
      <c r="E56" s="3">
        <v>2024</v>
      </c>
      <c r="F56" s="3">
        <v>1004</v>
      </c>
      <c r="G56" s="3">
        <v>35</v>
      </c>
      <c r="H56" s="3">
        <v>22.8</v>
      </c>
      <c r="I56" s="3">
        <v>355</v>
      </c>
      <c r="J56" s="3">
        <v>47</v>
      </c>
      <c r="K56" s="3">
        <v>38.1</v>
      </c>
      <c r="L56" s="3">
        <v>9.81</v>
      </c>
      <c r="M56" s="3">
        <v>9.32</v>
      </c>
      <c r="N56" s="3">
        <v>-0.38</v>
      </c>
      <c r="O56" s="3">
        <v>-0.31</v>
      </c>
      <c r="P56" s="4">
        <v>0.05</v>
      </c>
      <c r="R56" t="str">
        <f t="shared" si="2"/>
        <v>15</v>
      </c>
      <c r="S56" t="s">
        <v>109</v>
      </c>
      <c r="T56">
        <v>0</v>
      </c>
      <c r="V56" t="str">
        <f t="shared" si="3"/>
        <v>('TSM-355PE15H', 15, 2024, 1004, 35, 22.8, 355, 38.1, 9.32, 47, 9.81, 'POLICRISTALINO', 'HALF CELL', 'MONOFACIAL', -0.38, -0.31, 0.05, 0),</v>
      </c>
    </row>
    <row r="57" spans="1:22">
      <c r="A57" s="17" t="s">
        <v>171</v>
      </c>
      <c r="B57" s="3" t="s">
        <v>120</v>
      </c>
      <c r="C57" s="3" t="s">
        <v>107</v>
      </c>
      <c r="D57" s="3" t="s">
        <v>108</v>
      </c>
      <c r="E57" s="3">
        <v>2024</v>
      </c>
      <c r="F57" s="3">
        <v>1004</v>
      </c>
      <c r="G57" s="3">
        <v>35</v>
      </c>
      <c r="H57" s="3">
        <v>22.8</v>
      </c>
      <c r="I57" s="3">
        <v>390</v>
      </c>
      <c r="J57" s="3">
        <v>48.8</v>
      </c>
      <c r="K57" s="3">
        <v>40</v>
      </c>
      <c r="L57" s="3">
        <v>10.3</v>
      </c>
      <c r="M57" s="3">
        <v>9.75</v>
      </c>
      <c r="N57" s="3">
        <v>-0.37</v>
      </c>
      <c r="O57" s="3">
        <v>-0.28999999999999998</v>
      </c>
      <c r="P57" s="4">
        <v>0.05</v>
      </c>
      <c r="R57" t="str">
        <f t="shared" si="2"/>
        <v>15</v>
      </c>
      <c r="S57" t="s">
        <v>109</v>
      </c>
      <c r="T57">
        <v>0</v>
      </c>
      <c r="V57" t="str">
        <f t="shared" si="3"/>
        <v>('TSM-390DE15M(II)', 15, 2024, 1004, 35, 22.8, 390, 40, 9.75, 48.8, 10.3, 'MONOCRISTALINO', 'HALF CELL', 'MONOFACIAL', -0.37, -0.29, 0.05, 0),</v>
      </c>
    </row>
    <row r="58" spans="1:22">
      <c r="A58" s="17" t="s">
        <v>172</v>
      </c>
      <c r="B58" s="3" t="s">
        <v>120</v>
      </c>
      <c r="C58" s="3" t="s">
        <v>107</v>
      </c>
      <c r="D58" s="3" t="s">
        <v>108</v>
      </c>
      <c r="E58" s="3">
        <v>2024</v>
      </c>
      <c r="F58" s="3">
        <v>1004</v>
      </c>
      <c r="G58" s="3">
        <v>35</v>
      </c>
      <c r="H58" s="3">
        <v>22.8</v>
      </c>
      <c r="I58" s="3">
        <v>395</v>
      </c>
      <c r="J58" s="3">
        <v>48.7</v>
      </c>
      <c r="K58" s="3">
        <v>40.1</v>
      </c>
      <c r="L58" s="3">
        <v>10.37</v>
      </c>
      <c r="M58" s="3">
        <v>9.86</v>
      </c>
      <c r="N58" s="3">
        <v>-0.37</v>
      </c>
      <c r="O58" s="3">
        <v>-0.28999999999999998</v>
      </c>
      <c r="P58" s="4">
        <v>0.05</v>
      </c>
      <c r="R58" t="str">
        <f t="shared" si="2"/>
        <v>15</v>
      </c>
      <c r="S58" t="s">
        <v>109</v>
      </c>
      <c r="T58">
        <v>0</v>
      </c>
      <c r="V58" t="str">
        <f t="shared" si="3"/>
        <v>('TSM-395DE15M(II)', 15, 2024, 1004, 35, 22.8, 395, 40.1, 9.86, 48.7, 10.37, 'MONOCRISTALINO', 'HALF CELL', 'MONOFACIAL', -0.37, -0.29, 0.05, 0),</v>
      </c>
    </row>
    <row r="59" spans="1:22">
      <c r="A59" s="17" t="s">
        <v>173</v>
      </c>
      <c r="B59" s="3" t="s">
        <v>120</v>
      </c>
      <c r="C59" s="3" t="s">
        <v>107</v>
      </c>
      <c r="D59" s="3" t="s">
        <v>108</v>
      </c>
      <c r="E59" s="3">
        <v>2024</v>
      </c>
      <c r="F59" s="3">
        <v>1004</v>
      </c>
      <c r="G59" s="3">
        <v>35</v>
      </c>
      <c r="H59" s="3">
        <v>22.8</v>
      </c>
      <c r="I59" s="3">
        <v>400</v>
      </c>
      <c r="J59" s="3">
        <v>49</v>
      </c>
      <c r="K59" s="3">
        <v>40.299999999999997</v>
      </c>
      <c r="L59" s="3">
        <v>10.45</v>
      </c>
      <c r="M59" s="3">
        <v>9.92</v>
      </c>
      <c r="N59" s="3">
        <v>-0.37</v>
      </c>
      <c r="O59" s="3">
        <v>-0.28999999999999998</v>
      </c>
      <c r="P59" s="4">
        <v>0.05</v>
      </c>
      <c r="R59" t="str">
        <f t="shared" si="2"/>
        <v>15</v>
      </c>
      <c r="S59" t="s">
        <v>109</v>
      </c>
      <c r="T59">
        <v>0</v>
      </c>
      <c r="V59" t="str">
        <f t="shared" si="3"/>
        <v>('TSM-400DE15M(II)', 15, 2024, 1004, 35, 22.8, 400, 40.3, 9.92, 49, 10.45, 'MONOCRISTALINO', 'HALF CELL', 'MONOFACIAL', -0.37, -0.29, 0.05, 0),</v>
      </c>
    </row>
    <row r="60" spans="1:22">
      <c r="A60" s="17" t="s">
        <v>174</v>
      </c>
      <c r="B60" s="3" t="s">
        <v>120</v>
      </c>
      <c r="C60" s="3" t="s">
        <v>107</v>
      </c>
      <c r="D60" s="3" t="s">
        <v>108</v>
      </c>
      <c r="E60" s="3">
        <v>2024</v>
      </c>
      <c r="F60" s="3">
        <v>1004</v>
      </c>
      <c r="G60" s="3">
        <v>35</v>
      </c>
      <c r="H60" s="3">
        <v>22.8</v>
      </c>
      <c r="I60" s="3">
        <v>405</v>
      </c>
      <c r="J60" s="3">
        <v>49.2</v>
      </c>
      <c r="K60" s="3">
        <v>40.5</v>
      </c>
      <c r="L60" s="3">
        <v>10.52</v>
      </c>
      <c r="M60" s="3">
        <v>10</v>
      </c>
      <c r="N60" s="3">
        <v>-0.37</v>
      </c>
      <c r="O60" s="3">
        <v>-0.28999999999999998</v>
      </c>
      <c r="P60" s="4">
        <v>0.05</v>
      </c>
      <c r="R60" t="str">
        <f t="shared" si="2"/>
        <v>15</v>
      </c>
      <c r="S60" t="s">
        <v>109</v>
      </c>
      <c r="T60">
        <v>0</v>
      </c>
      <c r="V60" t="str">
        <f t="shared" si="3"/>
        <v>('TSM-405DE15M(II)', 15, 2024, 1004, 35, 22.8, 405, 40.5, 10, 49.2, 10.52, 'MONOCRISTALINO', 'HALF CELL', 'MONOFACIAL', -0.37, -0.29, 0.05, 0),</v>
      </c>
    </row>
    <row r="61" spans="1:22">
      <c r="A61" s="17" t="s">
        <v>175</v>
      </c>
      <c r="B61" s="3" t="s">
        <v>120</v>
      </c>
      <c r="C61" s="3" t="s">
        <v>107</v>
      </c>
      <c r="D61" s="3" t="s">
        <v>108</v>
      </c>
      <c r="E61" s="3">
        <v>2024</v>
      </c>
      <c r="F61" s="3">
        <v>1004</v>
      </c>
      <c r="G61" s="3">
        <v>35</v>
      </c>
      <c r="H61" s="3">
        <v>22.8</v>
      </c>
      <c r="I61" s="3">
        <v>410</v>
      </c>
      <c r="J61" s="3">
        <v>49.4</v>
      </c>
      <c r="K61" s="3">
        <v>40.700000000000003</v>
      </c>
      <c r="L61" s="3">
        <v>10.59</v>
      </c>
      <c r="M61" s="3">
        <v>10.07</v>
      </c>
      <c r="N61" s="3">
        <v>-0.37</v>
      </c>
      <c r="O61" s="3">
        <v>-0.28999999999999998</v>
      </c>
      <c r="P61" s="4">
        <v>0.05</v>
      </c>
      <c r="R61" t="str">
        <f t="shared" si="2"/>
        <v>15</v>
      </c>
      <c r="S61" t="s">
        <v>109</v>
      </c>
      <c r="T61">
        <v>0</v>
      </c>
      <c r="V61" t="str">
        <f t="shared" si="3"/>
        <v>('TSM-410DE15M(II)', 15, 2024, 1004, 35, 22.8, 410, 40.7, 10.07, 49.4, 10.59, 'MONOCRISTALINO', 'HALF CELL', 'MONOFACIAL', -0.37, -0.29, 0.05, 0),</v>
      </c>
    </row>
    <row r="62" spans="1:22">
      <c r="A62" s="17" t="s">
        <v>176</v>
      </c>
      <c r="B62" s="3" t="s">
        <v>120</v>
      </c>
      <c r="C62" s="3" t="s">
        <v>107</v>
      </c>
      <c r="D62" s="3" t="s">
        <v>108</v>
      </c>
      <c r="E62" s="3">
        <v>2024</v>
      </c>
      <c r="F62" s="3">
        <v>1004</v>
      </c>
      <c r="G62" s="3">
        <v>35</v>
      </c>
      <c r="H62" s="3">
        <v>22.8</v>
      </c>
      <c r="I62" s="3">
        <v>415</v>
      </c>
      <c r="J62" s="3">
        <v>49.6</v>
      </c>
      <c r="K62" s="3">
        <v>40.9</v>
      </c>
      <c r="L62" s="3">
        <v>10.66</v>
      </c>
      <c r="M62" s="3">
        <v>10.15</v>
      </c>
      <c r="N62" s="3">
        <v>-0.37</v>
      </c>
      <c r="O62" s="3">
        <v>-0.28999999999999998</v>
      </c>
      <c r="P62" s="4">
        <v>0.05</v>
      </c>
      <c r="R62" t="str">
        <f t="shared" si="2"/>
        <v>15</v>
      </c>
      <c r="S62" t="s">
        <v>109</v>
      </c>
      <c r="T62">
        <v>0</v>
      </c>
      <c r="V62" t="str">
        <f t="shared" si="3"/>
        <v>('TSM-415DE15M(II)', 15, 2024, 1004, 35, 22.8, 415, 40.9, 10.15, 49.6, 10.66, 'MONOCRISTALINO', 'HALF CELL', 'MONOFACIAL', -0.37, -0.29, 0.05, 0),</v>
      </c>
    </row>
    <row r="63" spans="1:22">
      <c r="A63" s="17" t="s">
        <v>177</v>
      </c>
      <c r="B63" s="3" t="s">
        <v>114</v>
      </c>
      <c r="C63" s="3" t="s">
        <v>131</v>
      </c>
      <c r="D63" s="3" t="s">
        <v>108</v>
      </c>
      <c r="E63" s="3">
        <v>2256</v>
      </c>
      <c r="F63" s="3">
        <v>1133</v>
      </c>
      <c r="G63" s="3">
        <v>35</v>
      </c>
      <c r="H63" s="3">
        <v>29</v>
      </c>
      <c r="I63" s="3">
        <v>520</v>
      </c>
      <c r="J63" s="3">
        <v>48.52</v>
      </c>
      <c r="K63" s="3">
        <v>41.17</v>
      </c>
      <c r="L63" s="3">
        <v>13.37</v>
      </c>
      <c r="M63" s="3">
        <v>12.64</v>
      </c>
      <c r="N63" s="3">
        <v>-0.39</v>
      </c>
      <c r="O63" s="3">
        <v>-0.3</v>
      </c>
      <c r="P63" s="4">
        <v>0.06</v>
      </c>
      <c r="R63" t="str">
        <f t="shared" si="2"/>
        <v>7</v>
      </c>
      <c r="S63" t="s">
        <v>109</v>
      </c>
      <c r="T63">
        <v>0</v>
      </c>
      <c r="V63" t="str">
        <f t="shared" si="3"/>
        <v>('BYD 520 MLTK-36', 7, 2256, 1133, 35, 29, 520, 41.17, 12.64, 48.52, 13.37, 'MONOCRISTALINO', 'HALF CELL', 'BIFACIAL', -0.39, -0.3, 0.06, 0),</v>
      </c>
    </row>
    <row r="64" spans="1:22">
      <c r="A64" s="17" t="s">
        <v>178</v>
      </c>
      <c r="B64" s="3" t="s">
        <v>114</v>
      </c>
      <c r="C64" s="3" t="s">
        <v>131</v>
      </c>
      <c r="D64" s="3" t="s">
        <v>108</v>
      </c>
      <c r="E64" s="3">
        <v>2256</v>
      </c>
      <c r="F64" s="3">
        <v>1133</v>
      </c>
      <c r="G64" s="3">
        <v>35</v>
      </c>
      <c r="H64" s="3">
        <v>29</v>
      </c>
      <c r="I64" s="3">
        <v>525</v>
      </c>
      <c r="J64" s="3">
        <v>48.82</v>
      </c>
      <c r="K64" s="3">
        <v>41.39</v>
      </c>
      <c r="L64" s="3">
        <v>13.41</v>
      </c>
      <c r="M64" s="3">
        <v>12.69</v>
      </c>
      <c r="N64" s="3">
        <v>-0.39</v>
      </c>
      <c r="O64" s="3">
        <v>-0.3</v>
      </c>
      <c r="P64" s="4">
        <v>0.06</v>
      </c>
      <c r="R64" t="str">
        <f t="shared" si="2"/>
        <v>7</v>
      </c>
      <c r="S64" t="s">
        <v>109</v>
      </c>
      <c r="T64">
        <v>0</v>
      </c>
      <c r="V64" t="str">
        <f t="shared" si="3"/>
        <v>('BYD 525 MLTK-36', 7, 2256, 1133, 35, 29, 525, 41.39, 12.69, 48.82, 13.41, 'MONOCRISTALINO', 'HALF CELL', 'BIFACIAL', -0.39, -0.3, 0.06, 0),</v>
      </c>
    </row>
    <row r="65" spans="1:22">
      <c r="A65" s="17" t="s">
        <v>179</v>
      </c>
      <c r="B65" s="3" t="s">
        <v>114</v>
      </c>
      <c r="C65" s="3" t="s">
        <v>131</v>
      </c>
      <c r="D65" s="3" t="s">
        <v>108</v>
      </c>
      <c r="E65" s="3">
        <v>2256</v>
      </c>
      <c r="F65" s="3">
        <v>1133</v>
      </c>
      <c r="G65" s="3">
        <v>35</v>
      </c>
      <c r="H65" s="3">
        <v>29</v>
      </c>
      <c r="I65" s="3">
        <v>530</v>
      </c>
      <c r="J65" s="3">
        <v>49.12</v>
      </c>
      <c r="K65" s="3">
        <v>41.61</v>
      </c>
      <c r="L65" s="3">
        <v>13.45</v>
      </c>
      <c r="M65" s="3">
        <v>12.74</v>
      </c>
      <c r="N65" s="3">
        <v>-0.39</v>
      </c>
      <c r="O65" s="3">
        <v>-0.3</v>
      </c>
      <c r="P65" s="4">
        <v>0.06</v>
      </c>
      <c r="R65" t="str">
        <f t="shared" si="2"/>
        <v>7</v>
      </c>
      <c r="S65" t="s">
        <v>109</v>
      </c>
      <c r="T65">
        <v>0</v>
      </c>
      <c r="V65" t="str">
        <f t="shared" si="3"/>
        <v>('BYD 530 MLTK-36', 7, 2256, 1133, 35, 29, 530, 41.61, 12.74, 49.12, 13.45, 'MONOCRISTALINO', 'HALF CELL', 'BIFACIAL', -0.39, -0.3, 0.06, 0),</v>
      </c>
    </row>
    <row r="66" spans="1:22">
      <c r="A66" s="17" t="s">
        <v>180</v>
      </c>
      <c r="B66" s="3" t="s">
        <v>114</v>
      </c>
      <c r="C66" s="3" t="s">
        <v>131</v>
      </c>
      <c r="D66" s="3" t="s">
        <v>108</v>
      </c>
      <c r="E66" s="3">
        <v>2256</v>
      </c>
      <c r="F66" s="3">
        <v>1133</v>
      </c>
      <c r="G66" s="3">
        <v>35</v>
      </c>
      <c r="H66" s="3">
        <v>29</v>
      </c>
      <c r="I66" s="3">
        <v>535</v>
      </c>
      <c r="J66" s="3">
        <v>49.42</v>
      </c>
      <c r="K66" s="3">
        <v>41.83</v>
      </c>
      <c r="L66" s="3">
        <v>13.49</v>
      </c>
      <c r="M66" s="3">
        <v>12.79</v>
      </c>
      <c r="N66" s="3">
        <v>-0.39</v>
      </c>
      <c r="O66" s="3">
        <v>-0.3</v>
      </c>
      <c r="P66" s="4">
        <v>0.06</v>
      </c>
      <c r="R66" t="str">
        <f t="shared" si="2"/>
        <v>7</v>
      </c>
      <c r="S66" t="s">
        <v>109</v>
      </c>
      <c r="T66">
        <v>0</v>
      </c>
      <c r="V66" t="str">
        <f t="shared" si="3"/>
        <v>('BYD 535 MLTK-36', 7, 2256, 1133, 35, 29, 535, 41.83, 12.79, 49.42, 13.49, 'MONOCRISTALINO', 'HALF CELL', 'BIFACIAL', -0.39, -0.3, 0.06, 0),</v>
      </c>
    </row>
    <row r="67" spans="1:22">
      <c r="A67" s="17" t="s">
        <v>181</v>
      </c>
      <c r="B67" s="3" t="s">
        <v>114</v>
      </c>
      <c r="C67" s="3" t="s">
        <v>131</v>
      </c>
      <c r="D67" s="3" t="s">
        <v>108</v>
      </c>
      <c r="E67" s="3">
        <v>2256</v>
      </c>
      <c r="F67" s="3">
        <v>1133</v>
      </c>
      <c r="G67" s="3">
        <v>35</v>
      </c>
      <c r="H67" s="3">
        <v>29</v>
      </c>
      <c r="I67" s="3">
        <v>540</v>
      </c>
      <c r="J67" s="3">
        <v>49.72</v>
      </c>
      <c r="K67" s="3">
        <v>42.05</v>
      </c>
      <c r="L67" s="3">
        <v>13.53</v>
      </c>
      <c r="M67" s="3">
        <v>12.84</v>
      </c>
      <c r="N67" s="3">
        <v>-0.39</v>
      </c>
      <c r="O67" s="3">
        <v>-0.3</v>
      </c>
      <c r="P67" s="4">
        <v>0.06</v>
      </c>
      <c r="R67" t="str">
        <f t="shared" ref="R67:R98" si="4">IF(B67="WEG","1",IF(B67="HUAWEI","2",IF(B67="FOX ESS","3",IF(B67="GOODWE","4",IF(B67="PHB","5",IF(B67="ASTRONERGY","6",IF(B67="BYD","7",IF(B67="HUASUN","8",IF(B67="JA SOLAR","9",IF(B67="JINKO","10",IF(B67="LONGI","11",IF(B67="RISEN","12",IF(B67="SUNOVA","13",IF(B67="TALESUN","14",IF(B67="TRINA SOLAR","15","NÃO CADASTRADO")))))))))))))))</f>
        <v>7</v>
      </c>
      <c r="S67" t="s">
        <v>109</v>
      </c>
      <c r="T67">
        <v>0</v>
      </c>
      <c r="V67" t="str">
        <f t="shared" ref="V67:V98" si="5">_xlfn.CONCAT("('",A67,"', ",R67,", ",E67,", ",F67,", ",G67,", ",SUBSTITUTE(H67,",","."),", ",I67,", ",SUBSTITUTE(K67,",","."),", ",SUBSTITUTE(M67,",","."),", ",SUBSTITUTE(J67,",","."),", ",SUBSTITUTE(L67,",","."),", '",D67,"', '",S67,"', '",C67,"', ",SUBSTITUTE(N67,",","."),", ",SUBSTITUTE(O67,",","."),", ",SUBSTITUTE(P67,",","."),", ",T67,"),")</f>
        <v>('BYD 540 MLTK-36', 7, 2256, 1133, 35, 29, 540, 42.05, 12.84, 49.72, 13.53, 'MONOCRISTALINO', 'HALF CELL', 'BIFACIAL', -0.39, -0.3, 0.06, 0),</v>
      </c>
    </row>
    <row r="68" spans="1:22">
      <c r="A68" s="17" t="s">
        <v>182</v>
      </c>
      <c r="B68" s="3" t="s">
        <v>138</v>
      </c>
      <c r="C68" s="3" t="s">
        <v>107</v>
      </c>
      <c r="D68" s="3" t="s">
        <v>108</v>
      </c>
      <c r="E68" s="3">
        <v>2108</v>
      </c>
      <c r="F68" s="3">
        <v>1048</v>
      </c>
      <c r="G68" s="3">
        <v>40</v>
      </c>
      <c r="H68" s="3">
        <v>25</v>
      </c>
      <c r="I68" s="3">
        <v>430</v>
      </c>
      <c r="J68" s="3">
        <v>49.3</v>
      </c>
      <c r="K68" s="3">
        <v>40.97</v>
      </c>
      <c r="L68" s="3">
        <v>11.1</v>
      </c>
      <c r="M68" s="3">
        <v>10.5</v>
      </c>
      <c r="N68" s="3">
        <v>-0.37</v>
      </c>
      <c r="O68" s="3">
        <v>-0.28999999999999998</v>
      </c>
      <c r="P68" s="4">
        <v>0.05</v>
      </c>
      <c r="R68" t="str">
        <f t="shared" si="4"/>
        <v>12</v>
      </c>
      <c r="S68" t="s">
        <v>109</v>
      </c>
      <c r="T68">
        <v>0</v>
      </c>
      <c r="V68" t="str">
        <f t="shared" si="5"/>
        <v>('RSM144-7-430M', 12, 2108, 1048, 40, 25, 430, 40.97, 10.5, 49.3, 11.1, 'MONOCRISTALINO', 'HALF CELL', 'MONOFACIAL', -0.37, -0.29, 0.05, 0),</v>
      </c>
    </row>
    <row r="69" spans="1:22">
      <c r="A69" s="17" t="s">
        <v>183</v>
      </c>
      <c r="B69" s="3" t="s">
        <v>138</v>
      </c>
      <c r="C69" s="3" t="s">
        <v>107</v>
      </c>
      <c r="D69" s="3" t="s">
        <v>108</v>
      </c>
      <c r="E69" s="3">
        <v>2108</v>
      </c>
      <c r="F69" s="3">
        <v>1048</v>
      </c>
      <c r="G69" s="3">
        <v>40</v>
      </c>
      <c r="H69" s="3">
        <v>25</v>
      </c>
      <c r="I69" s="3">
        <v>435</v>
      </c>
      <c r="J69" s="3">
        <v>49.4</v>
      </c>
      <c r="K69" s="3">
        <v>41.05</v>
      </c>
      <c r="L69" s="3">
        <v>11.2</v>
      </c>
      <c r="M69" s="3">
        <v>10.6</v>
      </c>
      <c r="N69" s="3">
        <v>-0.37</v>
      </c>
      <c r="O69" s="3">
        <v>-0.28999999999999998</v>
      </c>
      <c r="P69" s="4">
        <v>0.05</v>
      </c>
      <c r="R69" t="str">
        <f t="shared" si="4"/>
        <v>12</v>
      </c>
      <c r="S69" t="s">
        <v>109</v>
      </c>
      <c r="T69">
        <v>0</v>
      </c>
      <c r="V69" t="str">
        <f t="shared" si="5"/>
        <v>('RSM144-7-435M', 12, 2108, 1048, 40, 25, 435, 41.05, 10.6, 49.4, 11.2, 'MONOCRISTALINO', 'HALF CELL', 'MONOFACIAL', -0.37, -0.29, 0.05, 0),</v>
      </c>
    </row>
    <row r="70" spans="1:22">
      <c r="A70" s="17" t="s">
        <v>184</v>
      </c>
      <c r="B70" s="3" t="s">
        <v>138</v>
      </c>
      <c r="C70" s="3" t="s">
        <v>107</v>
      </c>
      <c r="D70" s="3" t="s">
        <v>108</v>
      </c>
      <c r="E70" s="3">
        <v>2108</v>
      </c>
      <c r="F70" s="3">
        <v>1048</v>
      </c>
      <c r="G70" s="3">
        <v>40</v>
      </c>
      <c r="H70" s="3">
        <v>25</v>
      </c>
      <c r="I70" s="3">
        <v>440</v>
      </c>
      <c r="J70" s="3">
        <v>49.5</v>
      </c>
      <c r="K70" s="3">
        <v>41.13</v>
      </c>
      <c r="L70" s="3">
        <v>11.3</v>
      </c>
      <c r="M70" s="3">
        <v>10.7</v>
      </c>
      <c r="N70" s="3">
        <v>-0.37</v>
      </c>
      <c r="O70" s="3">
        <v>-0.28999999999999998</v>
      </c>
      <c r="P70" s="4">
        <v>0.05</v>
      </c>
      <c r="R70" t="str">
        <f t="shared" si="4"/>
        <v>12</v>
      </c>
      <c r="S70" t="s">
        <v>109</v>
      </c>
      <c r="T70">
        <v>0</v>
      </c>
      <c r="V70" t="str">
        <f t="shared" si="5"/>
        <v>('RSM144-7-440M', 12, 2108, 1048, 40, 25, 440, 41.13, 10.7, 49.5, 11.3, 'MONOCRISTALINO', 'HALF CELL', 'MONOFACIAL', -0.37, -0.29, 0.05, 0),</v>
      </c>
    </row>
    <row r="71" spans="1:22">
      <c r="A71" s="17" t="s">
        <v>9</v>
      </c>
      <c r="B71" s="3" t="s">
        <v>138</v>
      </c>
      <c r="C71" s="3" t="s">
        <v>107</v>
      </c>
      <c r="D71" s="3" t="s">
        <v>108</v>
      </c>
      <c r="E71" s="3">
        <v>2108</v>
      </c>
      <c r="F71" s="3">
        <v>1048</v>
      </c>
      <c r="G71" s="3">
        <v>40</v>
      </c>
      <c r="H71" s="3">
        <v>25</v>
      </c>
      <c r="I71" s="3">
        <v>445</v>
      </c>
      <c r="J71" s="3">
        <v>49.6</v>
      </c>
      <c r="K71" s="3">
        <v>41.25</v>
      </c>
      <c r="L71" s="3">
        <v>11.4</v>
      </c>
      <c r="M71" s="3">
        <v>10.8</v>
      </c>
      <c r="N71" s="3">
        <v>-0.37</v>
      </c>
      <c r="O71" s="3">
        <v>-0.28999999999999998</v>
      </c>
      <c r="P71" s="4">
        <v>0.05</v>
      </c>
      <c r="R71" t="str">
        <f t="shared" si="4"/>
        <v>12</v>
      </c>
      <c r="S71" t="s">
        <v>109</v>
      </c>
      <c r="T71">
        <v>0</v>
      </c>
      <c r="V71" t="str">
        <f t="shared" si="5"/>
        <v>('RSM144-7-445M', 12, 2108, 1048, 40, 25, 445, 41.25, 10.8, 49.6, 11.4, 'MONOCRISTALINO', 'HALF CELL', 'MONOFACIAL', -0.37, -0.29, 0.05, 0),</v>
      </c>
    </row>
    <row r="72" spans="1:22">
      <c r="A72" s="17" t="s">
        <v>185</v>
      </c>
      <c r="B72" s="3" t="s">
        <v>138</v>
      </c>
      <c r="C72" s="3" t="s">
        <v>107</v>
      </c>
      <c r="D72" s="3" t="s">
        <v>108</v>
      </c>
      <c r="E72" s="3">
        <v>2108</v>
      </c>
      <c r="F72" s="3">
        <v>1048</v>
      </c>
      <c r="G72" s="3">
        <v>40</v>
      </c>
      <c r="H72" s="3">
        <v>25</v>
      </c>
      <c r="I72" s="3">
        <v>450</v>
      </c>
      <c r="J72" s="3">
        <v>49.7</v>
      </c>
      <c r="K72" s="3">
        <v>41.3</v>
      </c>
      <c r="L72" s="3">
        <v>11.5</v>
      </c>
      <c r="M72" s="3">
        <v>10.9</v>
      </c>
      <c r="N72" s="3">
        <v>-0.37</v>
      </c>
      <c r="O72" s="3">
        <v>-0.28999999999999998</v>
      </c>
      <c r="P72" s="4">
        <v>0.05</v>
      </c>
      <c r="R72" t="str">
        <f t="shared" si="4"/>
        <v>12</v>
      </c>
      <c r="S72" t="s">
        <v>109</v>
      </c>
      <c r="T72">
        <v>0</v>
      </c>
      <c r="V72" t="str">
        <f t="shared" si="5"/>
        <v>('RSM144-7-450M', 12, 2108, 1048, 40, 25, 450, 41.3, 10.9, 49.7, 11.5, 'MONOCRISTALINO', 'HALF CELL', 'MONOFACIAL', -0.37, -0.29, 0.05, 0),</v>
      </c>
    </row>
    <row r="73" spans="1:22">
      <c r="A73" s="17" t="s">
        <v>186</v>
      </c>
      <c r="B73" s="3" t="s">
        <v>138</v>
      </c>
      <c r="C73" s="3" t="s">
        <v>107</v>
      </c>
      <c r="D73" s="3" t="s">
        <v>108</v>
      </c>
      <c r="E73" s="3">
        <v>2178</v>
      </c>
      <c r="F73" s="3">
        <v>996</v>
      </c>
      <c r="G73" s="3">
        <v>40</v>
      </c>
      <c r="H73" s="3">
        <v>25.5</v>
      </c>
      <c r="I73" s="3">
        <v>425</v>
      </c>
      <c r="J73" s="3">
        <v>52.23</v>
      </c>
      <c r="K73" s="3">
        <v>43.5</v>
      </c>
      <c r="L73" s="3">
        <v>10.38</v>
      </c>
      <c r="M73" s="3">
        <v>9.7799999999999994</v>
      </c>
      <c r="N73" s="3">
        <v>-0.37</v>
      </c>
      <c r="O73" s="3">
        <v>-0.28999999999999998</v>
      </c>
      <c r="P73" s="4">
        <v>0.05</v>
      </c>
      <c r="R73" t="str">
        <f t="shared" si="4"/>
        <v>12</v>
      </c>
      <c r="S73" t="s">
        <v>109</v>
      </c>
      <c r="T73">
        <v>0</v>
      </c>
      <c r="V73" t="str">
        <f t="shared" si="5"/>
        <v>('RSM156-6-425M', 12, 2178, 996, 40, 25.5, 425, 43.5, 9.78, 52.23, 10.38, 'MONOCRISTALINO', 'HALF CELL', 'MONOFACIAL', -0.37, -0.29, 0.05, 0),</v>
      </c>
    </row>
    <row r="74" spans="1:22">
      <c r="A74" s="17" t="s">
        <v>187</v>
      </c>
      <c r="B74" s="3" t="s">
        <v>138</v>
      </c>
      <c r="C74" s="3" t="s">
        <v>107</v>
      </c>
      <c r="D74" s="3" t="s">
        <v>108</v>
      </c>
      <c r="E74" s="3">
        <v>2178</v>
      </c>
      <c r="F74" s="3">
        <v>996</v>
      </c>
      <c r="G74" s="3">
        <v>40</v>
      </c>
      <c r="H74" s="3">
        <v>25.5</v>
      </c>
      <c r="I74" s="3">
        <v>430</v>
      </c>
      <c r="J74" s="3">
        <v>52.38</v>
      </c>
      <c r="K74" s="3">
        <v>43.6</v>
      </c>
      <c r="L74" s="3">
        <v>10.47</v>
      </c>
      <c r="M74" s="3">
        <v>9.8699999999999992</v>
      </c>
      <c r="N74" s="3">
        <v>-0.37</v>
      </c>
      <c r="O74" s="3">
        <v>-0.28999999999999998</v>
      </c>
      <c r="P74" s="4">
        <v>0.05</v>
      </c>
      <c r="R74" t="str">
        <f t="shared" si="4"/>
        <v>12</v>
      </c>
      <c r="S74" t="s">
        <v>109</v>
      </c>
      <c r="T74">
        <v>0</v>
      </c>
      <c r="V74" t="str">
        <f t="shared" si="5"/>
        <v>('RSM156-6-430M', 12, 2178, 996, 40, 25.5, 430, 43.6, 9.87, 52.38, 10.47, 'MONOCRISTALINO', 'HALF CELL', 'MONOFACIAL', -0.37, -0.29, 0.05, 0),</v>
      </c>
    </row>
    <row r="75" spans="1:22">
      <c r="A75" s="17" t="s">
        <v>188</v>
      </c>
      <c r="B75" s="3" t="s">
        <v>138</v>
      </c>
      <c r="C75" s="3" t="s">
        <v>107</v>
      </c>
      <c r="D75" s="3" t="s">
        <v>108</v>
      </c>
      <c r="E75" s="3">
        <v>2178</v>
      </c>
      <c r="F75" s="3">
        <v>996</v>
      </c>
      <c r="G75" s="3">
        <v>40</v>
      </c>
      <c r="H75" s="3">
        <v>25.5</v>
      </c>
      <c r="I75" s="3">
        <v>435</v>
      </c>
      <c r="J75" s="3">
        <v>52.5</v>
      </c>
      <c r="K75" s="3">
        <v>43.7</v>
      </c>
      <c r="L75" s="3">
        <v>10.57</v>
      </c>
      <c r="M75" s="3">
        <v>9.9700000000000006</v>
      </c>
      <c r="N75" s="3">
        <v>-0.37</v>
      </c>
      <c r="O75" s="3">
        <v>-0.28999999999999998</v>
      </c>
      <c r="P75" s="4">
        <v>0.05</v>
      </c>
      <c r="R75" t="str">
        <f t="shared" si="4"/>
        <v>12</v>
      </c>
      <c r="S75" t="s">
        <v>109</v>
      </c>
      <c r="T75">
        <v>0</v>
      </c>
      <c r="V75" t="str">
        <f t="shared" si="5"/>
        <v>('RSM156-6-435M', 12, 2178, 996, 40, 25.5, 435, 43.7, 9.97, 52.5, 10.57, 'MONOCRISTALINO', 'HALF CELL', 'MONOFACIAL', -0.37, -0.29, 0.05, 0),</v>
      </c>
    </row>
    <row r="76" spans="1:22">
      <c r="A76" s="17" t="s">
        <v>189</v>
      </c>
      <c r="B76" s="3" t="s">
        <v>138</v>
      </c>
      <c r="C76" s="3" t="s">
        <v>107</v>
      </c>
      <c r="D76" s="3" t="s">
        <v>108</v>
      </c>
      <c r="E76" s="3">
        <v>2178</v>
      </c>
      <c r="F76" s="3">
        <v>996</v>
      </c>
      <c r="G76" s="3">
        <v>40</v>
      </c>
      <c r="H76" s="3">
        <v>25.5</v>
      </c>
      <c r="I76" s="3">
        <v>440</v>
      </c>
      <c r="J76" s="3">
        <v>52.62</v>
      </c>
      <c r="K76" s="3">
        <v>43.8</v>
      </c>
      <c r="L76" s="3">
        <v>10.67</v>
      </c>
      <c r="M76" s="3">
        <v>10.06</v>
      </c>
      <c r="N76" s="3">
        <v>-0.37</v>
      </c>
      <c r="O76" s="3">
        <v>-0.28999999999999998</v>
      </c>
      <c r="P76" s="4">
        <v>0.05</v>
      </c>
      <c r="R76" t="str">
        <f t="shared" si="4"/>
        <v>12</v>
      </c>
      <c r="S76" t="s">
        <v>109</v>
      </c>
      <c r="T76">
        <v>0</v>
      </c>
      <c r="V76" t="str">
        <f t="shared" si="5"/>
        <v>('RSM156-6-440M', 12, 2178, 996, 40, 25.5, 440, 43.8, 10.06, 52.62, 10.67, 'MONOCRISTALINO', 'HALF CELL', 'MONOFACIAL', -0.37, -0.29, 0.05, 0),</v>
      </c>
    </row>
    <row r="77" spans="1:22">
      <c r="A77" s="17" t="s">
        <v>190</v>
      </c>
      <c r="B77" s="3" t="s">
        <v>138</v>
      </c>
      <c r="C77" s="3" t="s">
        <v>107</v>
      </c>
      <c r="D77" s="3" t="s">
        <v>108</v>
      </c>
      <c r="E77" s="3">
        <v>2178</v>
      </c>
      <c r="F77" s="3">
        <v>996</v>
      </c>
      <c r="G77" s="3">
        <v>40</v>
      </c>
      <c r="H77" s="3">
        <v>25.5</v>
      </c>
      <c r="I77" s="3">
        <v>445</v>
      </c>
      <c r="J77" s="3">
        <v>52.7</v>
      </c>
      <c r="K77" s="3">
        <v>43.9</v>
      </c>
      <c r="L77" s="3">
        <v>10.77</v>
      </c>
      <c r="M77" s="3">
        <v>10.15</v>
      </c>
      <c r="N77" s="3">
        <v>-0.37</v>
      </c>
      <c r="O77" s="3">
        <v>-0.28999999999999998</v>
      </c>
      <c r="P77" s="4">
        <v>0.05</v>
      </c>
      <c r="R77" t="str">
        <f t="shared" si="4"/>
        <v>12</v>
      </c>
      <c r="S77" t="s">
        <v>109</v>
      </c>
      <c r="T77">
        <v>0</v>
      </c>
      <c r="V77" t="str">
        <f t="shared" si="5"/>
        <v>('RSM156-6-445M', 12, 2178, 996, 40, 25.5, 445, 43.9, 10.15, 52.7, 10.77, 'MONOCRISTALINO', 'HALF CELL', 'MONOFACIAL', -0.37, -0.29, 0.05, 0),</v>
      </c>
    </row>
    <row r="78" spans="1:22">
      <c r="A78" s="17" t="s">
        <v>191</v>
      </c>
      <c r="B78" s="3" t="s">
        <v>192</v>
      </c>
      <c r="C78" s="3" t="s">
        <v>107</v>
      </c>
      <c r="D78" s="3" t="s">
        <v>108</v>
      </c>
      <c r="E78" s="3">
        <v>2279</v>
      </c>
      <c r="F78" s="3">
        <v>1134</v>
      </c>
      <c r="G78" s="3">
        <v>35</v>
      </c>
      <c r="H78" s="3">
        <v>27.6</v>
      </c>
      <c r="I78" s="3">
        <v>535</v>
      </c>
      <c r="J78" s="3">
        <v>49.34</v>
      </c>
      <c r="K78" s="3">
        <v>40.659999999999997</v>
      </c>
      <c r="L78" s="3">
        <v>13.79</v>
      </c>
      <c r="M78" s="3">
        <v>13.16</v>
      </c>
      <c r="N78" s="3">
        <v>-0.35</v>
      </c>
      <c r="O78" s="3">
        <v>-0.27</v>
      </c>
      <c r="P78" s="4">
        <v>4.8000000000000001E-2</v>
      </c>
      <c r="R78" t="str">
        <f t="shared" si="4"/>
        <v>13</v>
      </c>
      <c r="S78" t="s">
        <v>109</v>
      </c>
      <c r="T78">
        <v>0</v>
      </c>
      <c r="V78" t="str">
        <f t="shared" si="5"/>
        <v>('SS-535-72MDH', 13, 2279, 1134, 35, 27.6, 535, 40.66, 13.16, 49.34, 13.79, 'MONOCRISTALINO', 'HALF CELL', 'MONOFACIAL', -0.35, -0.27, 0.048, 0),</v>
      </c>
    </row>
    <row r="79" spans="1:22">
      <c r="A79" s="17" t="s">
        <v>193</v>
      </c>
      <c r="B79" s="3" t="s">
        <v>192</v>
      </c>
      <c r="C79" s="3" t="s">
        <v>107</v>
      </c>
      <c r="D79" s="3" t="s">
        <v>108</v>
      </c>
      <c r="E79" s="3">
        <v>2279</v>
      </c>
      <c r="F79" s="3">
        <v>1134</v>
      </c>
      <c r="G79" s="3">
        <v>35</v>
      </c>
      <c r="H79" s="3">
        <v>27.6</v>
      </c>
      <c r="I79" s="3">
        <v>540</v>
      </c>
      <c r="J79" s="3">
        <v>49.42</v>
      </c>
      <c r="K79" s="3">
        <v>40.71</v>
      </c>
      <c r="L79" s="3">
        <v>13.85</v>
      </c>
      <c r="M79" s="3">
        <v>13.27</v>
      </c>
      <c r="N79" s="3">
        <v>-0.35</v>
      </c>
      <c r="O79" s="3">
        <v>-0.27</v>
      </c>
      <c r="P79" s="4">
        <v>4.8000000000000001E-2</v>
      </c>
      <c r="R79" t="str">
        <f t="shared" si="4"/>
        <v>13</v>
      </c>
      <c r="S79" t="s">
        <v>109</v>
      </c>
      <c r="T79">
        <v>0</v>
      </c>
      <c r="V79" t="str">
        <f t="shared" si="5"/>
        <v>('SS-540-72MDH', 13, 2279, 1134, 35, 27.6, 540, 40.71, 13.27, 49.42, 13.85, 'MONOCRISTALINO', 'HALF CELL', 'MONOFACIAL', -0.35, -0.27, 0.048, 0),</v>
      </c>
    </row>
    <row r="80" spans="1:22">
      <c r="A80" s="17" t="s">
        <v>194</v>
      </c>
      <c r="B80" s="3" t="s">
        <v>192</v>
      </c>
      <c r="C80" s="3" t="s">
        <v>107</v>
      </c>
      <c r="D80" s="3" t="s">
        <v>108</v>
      </c>
      <c r="E80" s="3">
        <v>2279</v>
      </c>
      <c r="F80" s="3">
        <v>1134</v>
      </c>
      <c r="G80" s="3">
        <v>35</v>
      </c>
      <c r="H80" s="3">
        <v>27.6</v>
      </c>
      <c r="I80" s="3">
        <v>545</v>
      </c>
      <c r="J80" s="3">
        <v>49.51</v>
      </c>
      <c r="K80" s="3">
        <v>40.76</v>
      </c>
      <c r="L80" s="3">
        <v>13.94</v>
      </c>
      <c r="M80" s="3">
        <v>13.38</v>
      </c>
      <c r="N80" s="3">
        <v>-0.35</v>
      </c>
      <c r="O80" s="3">
        <v>-0.27</v>
      </c>
      <c r="P80" s="4">
        <v>4.8000000000000001E-2</v>
      </c>
      <c r="R80" t="str">
        <f t="shared" si="4"/>
        <v>13</v>
      </c>
      <c r="S80" t="s">
        <v>109</v>
      </c>
      <c r="T80">
        <v>0</v>
      </c>
      <c r="V80" t="str">
        <f t="shared" si="5"/>
        <v>('SS-545-72MDH', 13, 2279, 1134, 35, 27.6, 545, 40.76, 13.38, 49.51, 13.94, 'MONOCRISTALINO', 'HALF CELL', 'MONOFACIAL', -0.35, -0.27, 0.048, 0),</v>
      </c>
    </row>
    <row r="81" spans="1:22">
      <c r="A81" s="17" t="s">
        <v>195</v>
      </c>
      <c r="B81" s="3" t="s">
        <v>192</v>
      </c>
      <c r="C81" s="3" t="s">
        <v>107</v>
      </c>
      <c r="D81" s="3" t="s">
        <v>108</v>
      </c>
      <c r="E81" s="3">
        <v>2279</v>
      </c>
      <c r="F81" s="3">
        <v>1134</v>
      </c>
      <c r="G81" s="3">
        <v>35</v>
      </c>
      <c r="H81" s="3">
        <v>27.6</v>
      </c>
      <c r="I81" s="3">
        <v>550</v>
      </c>
      <c r="J81" s="3">
        <v>49.6</v>
      </c>
      <c r="K81" s="3">
        <v>40.83</v>
      </c>
      <c r="L81" s="3">
        <v>14.04</v>
      </c>
      <c r="M81" s="3">
        <v>13.48</v>
      </c>
      <c r="N81" s="3">
        <v>-0.35</v>
      </c>
      <c r="O81" s="3">
        <v>-0.27</v>
      </c>
      <c r="P81" s="4">
        <v>4.8000000000000001E-2</v>
      </c>
      <c r="R81" t="str">
        <f t="shared" si="4"/>
        <v>13</v>
      </c>
      <c r="S81" t="s">
        <v>109</v>
      </c>
      <c r="T81">
        <v>0</v>
      </c>
      <c r="V81" t="str">
        <f t="shared" si="5"/>
        <v>('SS-550-72MDH', 13, 2279, 1134, 35, 27.6, 550, 40.83, 13.48, 49.6, 14.04, 'MONOCRISTALINO', 'HALF CELL', 'MONOFACIAL', -0.35, -0.27, 0.048, 0),</v>
      </c>
    </row>
    <row r="82" spans="1:22">
      <c r="A82" s="17" t="s">
        <v>196</v>
      </c>
      <c r="B82" s="3" t="s">
        <v>120</v>
      </c>
      <c r="C82" s="3" t="s">
        <v>107</v>
      </c>
      <c r="D82" s="3" t="s">
        <v>108</v>
      </c>
      <c r="E82" s="3">
        <v>2102</v>
      </c>
      <c r="F82" s="3">
        <v>1040</v>
      </c>
      <c r="G82" s="3">
        <v>35</v>
      </c>
      <c r="H82" s="3">
        <v>24</v>
      </c>
      <c r="I82" s="3">
        <v>430</v>
      </c>
      <c r="J82" s="3">
        <v>46</v>
      </c>
      <c r="K82" s="3">
        <v>38</v>
      </c>
      <c r="L82" s="3">
        <v>9.0299999999999994</v>
      </c>
      <c r="M82" s="3">
        <v>8.56</v>
      </c>
      <c r="N82" s="3">
        <v>-0.36</v>
      </c>
      <c r="O82" s="3">
        <v>-0.26</v>
      </c>
      <c r="P82" s="4">
        <v>0.04</v>
      </c>
      <c r="R82" t="str">
        <f t="shared" si="4"/>
        <v>15</v>
      </c>
      <c r="S82" t="s">
        <v>109</v>
      </c>
      <c r="T82">
        <v>0</v>
      </c>
      <c r="V82" t="str">
        <f t="shared" si="5"/>
        <v>('TSM-430DE17M.TO(II)', 15, 2102, 1040, 35, 24, 430, 38, 8.56, 46, 9.03, 'MONOCRISTALINO', 'HALF CELL', 'MONOFACIAL', -0.36, -0.26, 0.04, 0),</v>
      </c>
    </row>
    <row r="83" spans="1:22">
      <c r="A83" s="17" t="s">
        <v>197</v>
      </c>
      <c r="B83" s="3" t="s">
        <v>120</v>
      </c>
      <c r="C83" s="3" t="s">
        <v>107</v>
      </c>
      <c r="D83" s="3" t="s">
        <v>108</v>
      </c>
      <c r="E83" s="3">
        <v>2102</v>
      </c>
      <c r="F83" s="3">
        <v>1040</v>
      </c>
      <c r="G83" s="3">
        <v>35</v>
      </c>
      <c r="H83" s="3">
        <v>24</v>
      </c>
      <c r="I83" s="3">
        <v>435</v>
      </c>
      <c r="J83" s="3">
        <v>46.3</v>
      </c>
      <c r="K83" s="3">
        <v>38.200000000000003</v>
      </c>
      <c r="L83" s="3">
        <v>9.11</v>
      </c>
      <c r="M83" s="3">
        <v>8.61</v>
      </c>
      <c r="N83" s="3">
        <v>-0.36</v>
      </c>
      <c r="O83" s="3">
        <v>-0.26</v>
      </c>
      <c r="P83" s="4">
        <v>0.04</v>
      </c>
      <c r="R83" t="str">
        <f t="shared" si="4"/>
        <v>15</v>
      </c>
      <c r="S83" t="s">
        <v>109</v>
      </c>
      <c r="T83">
        <v>0</v>
      </c>
      <c r="V83" t="str">
        <f t="shared" si="5"/>
        <v>('TSM-435DE17M.TO(II)', 15, 2102, 1040, 35, 24, 435, 38.2, 8.61, 46.3, 9.11, 'MONOCRISTALINO', 'HALF CELL', 'MONOFACIAL', -0.36, -0.26, 0.04, 0),</v>
      </c>
    </row>
    <row r="84" spans="1:22">
      <c r="A84" s="17" t="s">
        <v>198</v>
      </c>
      <c r="B84" s="3" t="s">
        <v>120</v>
      </c>
      <c r="C84" s="3" t="s">
        <v>107</v>
      </c>
      <c r="D84" s="3" t="s">
        <v>108</v>
      </c>
      <c r="E84" s="3">
        <v>2102</v>
      </c>
      <c r="F84" s="3">
        <v>1040</v>
      </c>
      <c r="G84" s="3">
        <v>35</v>
      </c>
      <c r="H84" s="3">
        <v>24</v>
      </c>
      <c r="I84" s="3">
        <v>440</v>
      </c>
      <c r="J84" s="3">
        <v>46.4</v>
      </c>
      <c r="K84" s="3">
        <v>38.4</v>
      </c>
      <c r="L84" s="3">
        <v>9.17</v>
      </c>
      <c r="M84" s="3">
        <v>8.68</v>
      </c>
      <c r="N84" s="3">
        <v>-0.36</v>
      </c>
      <c r="O84" s="3">
        <v>-0.26</v>
      </c>
      <c r="P84" s="4">
        <v>0.04</v>
      </c>
      <c r="R84" t="str">
        <f t="shared" si="4"/>
        <v>15</v>
      </c>
      <c r="S84" t="s">
        <v>109</v>
      </c>
      <c r="T84">
        <v>0</v>
      </c>
      <c r="V84" t="str">
        <f t="shared" si="5"/>
        <v>('TSM-440DE17M.TO(II)', 15, 2102, 1040, 35, 24, 440, 38.4, 8.68, 46.4, 9.17, 'MONOCRISTALINO', 'HALF CELL', 'MONOFACIAL', -0.36, -0.26, 0.04, 0),</v>
      </c>
    </row>
    <row r="85" spans="1:22">
      <c r="A85" s="17" t="s">
        <v>199</v>
      </c>
      <c r="B85" s="3" t="s">
        <v>120</v>
      </c>
      <c r="C85" s="3" t="s">
        <v>107</v>
      </c>
      <c r="D85" s="3" t="s">
        <v>108</v>
      </c>
      <c r="E85" s="3">
        <v>2102</v>
      </c>
      <c r="F85" s="3">
        <v>1040</v>
      </c>
      <c r="G85" s="3">
        <v>35</v>
      </c>
      <c r="H85" s="3">
        <v>24</v>
      </c>
      <c r="I85" s="3">
        <v>445</v>
      </c>
      <c r="J85" s="3">
        <v>46.6</v>
      </c>
      <c r="K85" s="3">
        <v>38.5</v>
      </c>
      <c r="L85" s="3">
        <v>9.23</v>
      </c>
      <c r="M85" s="3">
        <v>8.73</v>
      </c>
      <c r="N85" s="3">
        <v>-0.36</v>
      </c>
      <c r="O85" s="3">
        <v>-0.26</v>
      </c>
      <c r="P85" s="4">
        <v>0.04</v>
      </c>
      <c r="R85" t="str">
        <f t="shared" si="4"/>
        <v>15</v>
      </c>
      <c r="S85" t="s">
        <v>109</v>
      </c>
      <c r="T85">
        <v>0</v>
      </c>
      <c r="V85" t="str">
        <f t="shared" si="5"/>
        <v>('TSM-445DE17M.TO(II)', 15, 2102, 1040, 35, 24, 445, 38.5, 8.73, 46.6, 9.23, 'MONOCRISTALINO', 'HALF CELL', 'MONOFACIAL', -0.36, -0.26, 0.04, 0),</v>
      </c>
    </row>
    <row r="86" spans="1:22">
      <c r="A86" s="17" t="s">
        <v>200</v>
      </c>
      <c r="B86" s="3" t="s">
        <v>120</v>
      </c>
      <c r="C86" s="3" t="s">
        <v>107</v>
      </c>
      <c r="D86" s="3" t="s">
        <v>108</v>
      </c>
      <c r="E86" s="3">
        <v>2102</v>
      </c>
      <c r="F86" s="3">
        <v>1040</v>
      </c>
      <c r="G86" s="3">
        <v>35</v>
      </c>
      <c r="H86" s="3">
        <v>24</v>
      </c>
      <c r="I86" s="3">
        <v>450</v>
      </c>
      <c r="J86" s="3">
        <v>46.8</v>
      </c>
      <c r="K86" s="3">
        <v>38.700000000000003</v>
      </c>
      <c r="L86" s="3">
        <v>9.2799999999999994</v>
      </c>
      <c r="M86" s="3">
        <v>8.8000000000000007</v>
      </c>
      <c r="N86" s="3">
        <v>-0.36</v>
      </c>
      <c r="O86" s="3">
        <v>-0.26</v>
      </c>
      <c r="P86" s="4">
        <v>0.04</v>
      </c>
      <c r="R86" t="str">
        <f t="shared" si="4"/>
        <v>15</v>
      </c>
      <c r="S86" t="s">
        <v>109</v>
      </c>
      <c r="T86">
        <v>0</v>
      </c>
      <c r="V86" t="str">
        <f t="shared" si="5"/>
        <v>('TSM-450DE17M.TO(II)', 15, 2102, 1040, 35, 24, 450, 38.7, 8.8, 46.8, 9.28, 'MONOCRISTALINO', 'HALF CELL', 'MONOFACIAL', -0.36, -0.26, 0.04, 0),</v>
      </c>
    </row>
    <row r="87" spans="1:22">
      <c r="A87" s="17" t="s">
        <v>201</v>
      </c>
      <c r="B87" s="3" t="s">
        <v>202</v>
      </c>
      <c r="C87" s="3" t="s">
        <v>107</v>
      </c>
      <c r="D87" s="3" t="s">
        <v>108</v>
      </c>
      <c r="E87" s="3">
        <v>2286</v>
      </c>
      <c r="F87" s="3">
        <v>1135</v>
      </c>
      <c r="G87" s="3">
        <v>35</v>
      </c>
      <c r="H87" s="3">
        <v>29</v>
      </c>
      <c r="I87" s="3">
        <v>530</v>
      </c>
      <c r="J87" s="3">
        <v>49</v>
      </c>
      <c r="K87" s="3">
        <v>40.799999999999997</v>
      </c>
      <c r="L87" s="3">
        <v>13.76</v>
      </c>
      <c r="M87" s="3">
        <v>13</v>
      </c>
      <c r="N87" s="3">
        <v>-0.36</v>
      </c>
      <c r="O87" s="3">
        <v>-0.26</v>
      </c>
      <c r="P87" s="4">
        <v>4.2999999999999997E-2</v>
      </c>
      <c r="R87" t="str">
        <f t="shared" si="4"/>
        <v>14</v>
      </c>
      <c r="S87" t="s">
        <v>109</v>
      </c>
      <c r="T87">
        <v>0</v>
      </c>
      <c r="V87" t="str">
        <f t="shared" si="5"/>
        <v>('TP7F72M(H)-530', 14, 2286, 1135, 35, 29, 530, 40.8, 13, 49, 13.76, 'MONOCRISTALINO', 'HALF CELL', 'MONOFACIAL', -0.36, -0.26, 0.043, 0),</v>
      </c>
    </row>
    <row r="88" spans="1:22">
      <c r="A88" s="17" t="s">
        <v>203</v>
      </c>
      <c r="B88" s="3" t="s">
        <v>202</v>
      </c>
      <c r="C88" s="3" t="s">
        <v>107</v>
      </c>
      <c r="D88" s="3" t="s">
        <v>108</v>
      </c>
      <c r="E88" s="3">
        <v>2286</v>
      </c>
      <c r="F88" s="3">
        <v>1135</v>
      </c>
      <c r="G88" s="3">
        <v>35</v>
      </c>
      <c r="H88" s="3">
        <v>29</v>
      </c>
      <c r="I88" s="3">
        <v>535</v>
      </c>
      <c r="J88" s="3">
        <v>49.2</v>
      </c>
      <c r="K88" s="3">
        <v>41</v>
      </c>
      <c r="L88" s="3">
        <v>13.81</v>
      </c>
      <c r="M88" s="3">
        <v>13.05</v>
      </c>
      <c r="N88" s="3">
        <v>-0.36</v>
      </c>
      <c r="O88" s="3">
        <v>-0.26</v>
      </c>
      <c r="P88" s="4">
        <v>4.2999999999999997E-2</v>
      </c>
      <c r="R88" t="str">
        <f t="shared" si="4"/>
        <v>14</v>
      </c>
      <c r="S88" t="s">
        <v>109</v>
      </c>
      <c r="T88">
        <v>0</v>
      </c>
      <c r="V88" t="str">
        <f t="shared" si="5"/>
        <v>('TP7F72M(H)-535', 14, 2286, 1135, 35, 29, 535, 41, 13.05, 49.2, 13.81, 'MONOCRISTALINO', 'HALF CELL', 'MONOFACIAL', -0.36, -0.26, 0.043, 0),</v>
      </c>
    </row>
    <row r="89" spans="1:22">
      <c r="A89" s="17" t="s">
        <v>204</v>
      </c>
      <c r="B89" s="3" t="s">
        <v>202</v>
      </c>
      <c r="C89" s="3" t="s">
        <v>107</v>
      </c>
      <c r="D89" s="3" t="s">
        <v>108</v>
      </c>
      <c r="E89" s="3">
        <v>2286</v>
      </c>
      <c r="F89" s="3">
        <v>1135</v>
      </c>
      <c r="G89" s="3">
        <v>35</v>
      </c>
      <c r="H89" s="3">
        <v>29</v>
      </c>
      <c r="I89" s="3">
        <v>540</v>
      </c>
      <c r="J89" s="3">
        <v>49.4</v>
      </c>
      <c r="K89" s="3">
        <v>41.2</v>
      </c>
      <c r="L89" s="3">
        <v>13.87</v>
      </c>
      <c r="M89" s="3">
        <v>13.11</v>
      </c>
      <c r="N89" s="3">
        <v>-0.36</v>
      </c>
      <c r="O89" s="3">
        <v>-0.26</v>
      </c>
      <c r="P89" s="4">
        <v>4.2999999999999997E-2</v>
      </c>
      <c r="R89" t="str">
        <f t="shared" si="4"/>
        <v>14</v>
      </c>
      <c r="S89" t="s">
        <v>109</v>
      </c>
      <c r="T89">
        <v>0</v>
      </c>
      <c r="V89" t="str">
        <f t="shared" si="5"/>
        <v>('TP7F72M(H)-540', 14, 2286, 1135, 35, 29, 540, 41.2, 13.11, 49.4, 13.87, 'MONOCRISTALINO', 'HALF CELL', 'MONOFACIAL', -0.36, -0.26, 0.043, 0),</v>
      </c>
    </row>
    <row r="90" spans="1:22">
      <c r="A90" s="17" t="s">
        <v>205</v>
      </c>
      <c r="B90" s="3" t="s">
        <v>202</v>
      </c>
      <c r="C90" s="3" t="s">
        <v>107</v>
      </c>
      <c r="D90" s="3" t="s">
        <v>108</v>
      </c>
      <c r="E90" s="3">
        <v>2286</v>
      </c>
      <c r="F90" s="3">
        <v>1135</v>
      </c>
      <c r="G90" s="3">
        <v>35</v>
      </c>
      <c r="H90" s="3">
        <v>29</v>
      </c>
      <c r="I90" s="3">
        <v>545</v>
      </c>
      <c r="J90" s="3">
        <v>49.6</v>
      </c>
      <c r="K90" s="3">
        <v>41.4</v>
      </c>
      <c r="L90" s="3">
        <v>13.93</v>
      </c>
      <c r="M90" s="3">
        <v>13.17</v>
      </c>
      <c r="N90" s="3">
        <v>-0.36</v>
      </c>
      <c r="O90" s="3">
        <v>-0.26</v>
      </c>
      <c r="P90" s="4">
        <v>4.2999999999999997E-2</v>
      </c>
      <c r="R90" t="str">
        <f t="shared" si="4"/>
        <v>14</v>
      </c>
      <c r="S90" t="s">
        <v>109</v>
      </c>
      <c r="T90">
        <v>0</v>
      </c>
      <c r="V90" t="str">
        <f t="shared" si="5"/>
        <v>('TP7F72M(H)-545', 14, 2286, 1135, 35, 29, 545, 41.4, 13.17, 49.6, 13.93, 'MONOCRISTALINO', 'HALF CELL', 'MONOFACIAL', -0.36, -0.26, 0.043, 0),</v>
      </c>
    </row>
    <row r="91" spans="1:22">
      <c r="A91" s="17" t="s">
        <v>206</v>
      </c>
      <c r="B91" s="3" t="s">
        <v>202</v>
      </c>
      <c r="C91" s="3" t="s">
        <v>107</v>
      </c>
      <c r="D91" s="3" t="s">
        <v>108</v>
      </c>
      <c r="E91" s="3">
        <v>2286</v>
      </c>
      <c r="F91" s="3">
        <v>1135</v>
      </c>
      <c r="G91" s="3">
        <v>35</v>
      </c>
      <c r="H91" s="3">
        <v>29</v>
      </c>
      <c r="I91" s="3">
        <v>550</v>
      </c>
      <c r="J91" s="3">
        <v>49.8</v>
      </c>
      <c r="K91" s="3">
        <v>41.6</v>
      </c>
      <c r="L91" s="3">
        <v>13.99</v>
      </c>
      <c r="M91" s="3">
        <v>13.23</v>
      </c>
      <c r="N91" s="3">
        <v>-0.36</v>
      </c>
      <c r="O91" s="3">
        <v>-0.26</v>
      </c>
      <c r="P91" s="4">
        <v>4.2999999999999997E-2</v>
      </c>
      <c r="R91" t="str">
        <f t="shared" si="4"/>
        <v>14</v>
      </c>
      <c r="S91" t="s">
        <v>109</v>
      </c>
      <c r="T91">
        <v>0</v>
      </c>
      <c r="V91" t="str">
        <f t="shared" si="5"/>
        <v>('TP7F72M(H)-550', 14, 2286, 1135, 35, 29, 550, 41.6, 13.23, 49.8, 13.99, 'MONOCRISTALINO', 'HALF CELL', 'MONOFACIAL', -0.36, -0.26, 0.043, 0),</v>
      </c>
    </row>
    <row r="92" spans="1:22">
      <c r="A92" s="17" t="s">
        <v>207</v>
      </c>
      <c r="B92" s="3" t="s">
        <v>120</v>
      </c>
      <c r="C92" s="3" t="s">
        <v>131</v>
      </c>
      <c r="D92" s="3" t="s">
        <v>108</v>
      </c>
      <c r="E92" s="3">
        <v>2172</v>
      </c>
      <c r="F92" s="3">
        <v>1303</v>
      </c>
      <c r="G92" s="3">
        <v>33</v>
      </c>
      <c r="H92" s="3">
        <v>34.9</v>
      </c>
      <c r="I92" s="3">
        <v>585</v>
      </c>
      <c r="J92" s="3">
        <v>41.1</v>
      </c>
      <c r="K92" s="3">
        <v>34</v>
      </c>
      <c r="L92" s="3">
        <v>18.260000000000002</v>
      </c>
      <c r="M92" s="3">
        <v>17.21</v>
      </c>
      <c r="N92" s="3">
        <v>-0.34</v>
      </c>
      <c r="O92" s="3">
        <v>-0.25</v>
      </c>
      <c r="P92" s="4">
        <v>0.04</v>
      </c>
      <c r="R92" t="str">
        <f t="shared" si="4"/>
        <v>15</v>
      </c>
      <c r="S92" t="s">
        <v>109</v>
      </c>
      <c r="T92">
        <v>0</v>
      </c>
      <c r="V92" t="str">
        <f t="shared" si="5"/>
        <v>('TSM-585DEG20C.20', 15, 2172, 1303, 33, 34.9, 585, 34, 17.21, 41.1, 18.26, 'MONOCRISTALINO', 'HALF CELL', 'BIFACIAL', -0.34, -0.25, 0.04, 0),</v>
      </c>
    </row>
    <row r="93" spans="1:22">
      <c r="A93" s="17" t="s">
        <v>208</v>
      </c>
      <c r="B93" s="3" t="s">
        <v>120</v>
      </c>
      <c r="C93" s="3" t="s">
        <v>131</v>
      </c>
      <c r="D93" s="3" t="s">
        <v>108</v>
      </c>
      <c r="E93" s="3">
        <v>2172</v>
      </c>
      <c r="F93" s="3">
        <v>1303</v>
      </c>
      <c r="G93" s="3">
        <v>33</v>
      </c>
      <c r="H93" s="3">
        <v>34.9</v>
      </c>
      <c r="I93" s="3">
        <v>590</v>
      </c>
      <c r="J93" s="3">
        <v>41.3</v>
      </c>
      <c r="K93" s="3">
        <v>34.200000000000003</v>
      </c>
      <c r="L93" s="3">
        <v>18.309999999999999</v>
      </c>
      <c r="M93" s="3">
        <v>17.25</v>
      </c>
      <c r="N93" s="3">
        <v>-0.34</v>
      </c>
      <c r="O93" s="3">
        <v>-0.25</v>
      </c>
      <c r="P93" s="4">
        <v>0.04</v>
      </c>
      <c r="R93" t="str">
        <f t="shared" si="4"/>
        <v>15</v>
      </c>
      <c r="S93" t="s">
        <v>109</v>
      </c>
      <c r="T93">
        <v>0</v>
      </c>
      <c r="V93" t="str">
        <f t="shared" si="5"/>
        <v>('TSM-590DEG20C.20', 15, 2172, 1303, 33, 34.9, 590, 34.2, 17.25, 41.3, 18.31, 'MONOCRISTALINO', 'HALF CELL', 'BIFACIAL', -0.34, -0.25, 0.04, 0),</v>
      </c>
    </row>
    <row r="94" spans="1:22">
      <c r="A94" s="17" t="s">
        <v>209</v>
      </c>
      <c r="B94" s="3" t="s">
        <v>120</v>
      </c>
      <c r="C94" s="3" t="s">
        <v>131</v>
      </c>
      <c r="D94" s="3" t="s">
        <v>108</v>
      </c>
      <c r="E94" s="3">
        <v>2172</v>
      </c>
      <c r="F94" s="3">
        <v>1303</v>
      </c>
      <c r="G94" s="3">
        <v>33</v>
      </c>
      <c r="H94" s="3">
        <v>34.9</v>
      </c>
      <c r="I94" s="3">
        <v>595</v>
      </c>
      <c r="J94" s="3">
        <v>41.5</v>
      </c>
      <c r="K94" s="3">
        <v>34.4</v>
      </c>
      <c r="L94" s="3">
        <v>18.36</v>
      </c>
      <c r="M94" s="3">
        <v>17.3</v>
      </c>
      <c r="N94" s="3">
        <v>-0.34</v>
      </c>
      <c r="O94" s="3">
        <v>-0.25</v>
      </c>
      <c r="P94" s="4">
        <v>0.04</v>
      </c>
      <c r="R94" t="str">
        <f t="shared" si="4"/>
        <v>15</v>
      </c>
      <c r="S94" t="s">
        <v>109</v>
      </c>
      <c r="T94">
        <v>0</v>
      </c>
      <c r="V94" t="str">
        <f t="shared" si="5"/>
        <v>('TSM-595DEG20C.20', 15, 2172, 1303, 33, 34.9, 595, 34.4, 17.3, 41.5, 18.36, 'MONOCRISTALINO', 'HALF CELL', 'BIFACIAL', -0.34, -0.25, 0.04, 0),</v>
      </c>
    </row>
    <row r="95" spans="1:22">
      <c r="A95" s="17" t="s">
        <v>210</v>
      </c>
      <c r="B95" s="3" t="s">
        <v>120</v>
      </c>
      <c r="C95" s="3" t="s">
        <v>131</v>
      </c>
      <c r="D95" s="3" t="s">
        <v>108</v>
      </c>
      <c r="E95" s="3">
        <v>2172</v>
      </c>
      <c r="F95" s="3">
        <v>1303</v>
      </c>
      <c r="G95" s="3">
        <v>33</v>
      </c>
      <c r="H95" s="3">
        <v>34.9</v>
      </c>
      <c r="I95" s="3">
        <v>600</v>
      </c>
      <c r="J95" s="3">
        <v>41.7</v>
      </c>
      <c r="K95" s="3">
        <v>34.6</v>
      </c>
      <c r="L95" s="3">
        <v>18.420000000000002</v>
      </c>
      <c r="M95" s="3">
        <v>17.34</v>
      </c>
      <c r="N95" s="3">
        <v>-0.34</v>
      </c>
      <c r="O95" s="3">
        <v>-0.25</v>
      </c>
      <c r="P95" s="4">
        <v>0.04</v>
      </c>
      <c r="R95" t="str">
        <f t="shared" si="4"/>
        <v>15</v>
      </c>
      <c r="S95" t="s">
        <v>109</v>
      </c>
      <c r="T95">
        <v>0</v>
      </c>
      <c r="V95" t="str">
        <f t="shared" si="5"/>
        <v>('TSM-600DEG20C.20', 15, 2172, 1303, 33, 34.9, 600, 34.6, 17.34, 41.7, 18.42, 'MONOCRISTALINO', 'HALF CELL', 'BIFACIAL', -0.34, -0.25, 0.04, 0),</v>
      </c>
    </row>
    <row r="96" spans="1:22">
      <c r="A96" s="17" t="s">
        <v>211</v>
      </c>
      <c r="B96" s="3" t="s">
        <v>120</v>
      </c>
      <c r="C96" s="3" t="s">
        <v>131</v>
      </c>
      <c r="D96" s="3" t="s">
        <v>108</v>
      </c>
      <c r="E96" s="3">
        <v>2172</v>
      </c>
      <c r="F96" s="3">
        <v>1303</v>
      </c>
      <c r="G96" s="3">
        <v>33</v>
      </c>
      <c r="H96" s="3">
        <v>34.9</v>
      </c>
      <c r="I96" s="3">
        <v>605</v>
      </c>
      <c r="J96" s="3">
        <v>41.9</v>
      </c>
      <c r="K96" s="3">
        <v>34.799999999999997</v>
      </c>
      <c r="L96" s="3">
        <v>18.48</v>
      </c>
      <c r="M96" s="3">
        <v>17.39</v>
      </c>
      <c r="N96" s="3">
        <v>-0.34</v>
      </c>
      <c r="O96" s="3">
        <v>-0.25</v>
      </c>
      <c r="P96" s="4">
        <v>0.04</v>
      </c>
      <c r="R96" t="str">
        <f t="shared" si="4"/>
        <v>15</v>
      </c>
      <c r="S96" t="s">
        <v>109</v>
      </c>
      <c r="T96">
        <v>0</v>
      </c>
      <c r="V96" t="str">
        <f t="shared" si="5"/>
        <v>('TSM-605DEG20C.20', 15, 2172, 1303, 33, 34.9, 605, 34.8, 17.39, 41.9, 18.48, 'MONOCRISTALINO', 'HALF CELL', 'BIFACIAL', -0.34, -0.25, 0.04, 0),</v>
      </c>
    </row>
    <row r="97" spans="1:22">
      <c r="A97" s="19" t="s">
        <v>0</v>
      </c>
      <c r="B97" s="9" t="s">
        <v>212</v>
      </c>
      <c r="C97" s="9" t="s">
        <v>107</v>
      </c>
      <c r="D97" s="9" t="s">
        <v>108</v>
      </c>
      <c r="E97" s="9">
        <v>2278</v>
      </c>
      <c r="F97" s="9">
        <v>1134</v>
      </c>
      <c r="G97" s="9">
        <v>30</v>
      </c>
      <c r="H97" s="9">
        <v>27.3</v>
      </c>
      <c r="I97" s="23">
        <v>550</v>
      </c>
      <c r="J97" s="23">
        <v>49.9</v>
      </c>
      <c r="K97" s="23">
        <v>41.96</v>
      </c>
      <c r="L97" s="23">
        <v>14</v>
      </c>
      <c r="M97" s="23">
        <v>13.11</v>
      </c>
      <c r="N97" s="23">
        <v>-0.35</v>
      </c>
      <c r="O97" s="23">
        <v>-0.27</v>
      </c>
      <c r="P97" s="24">
        <v>4.4999999999999998E-2</v>
      </c>
      <c r="R97" t="str">
        <f t="shared" si="4"/>
        <v>1</v>
      </c>
      <c r="S97" t="s">
        <v>109</v>
      </c>
      <c r="T97">
        <v>1</v>
      </c>
      <c r="V97" t="str">
        <f t="shared" si="5"/>
        <v>('WPV 550 HMM3', 1, 2278, 1134, 30, 27.3, 550, 41.96, 13.11, 49.9, 14, 'MONOCRISTALINO', 'HALF CELL', 'MONOFACIAL', -0.35, -0.27, 0.045, 1),</v>
      </c>
    </row>
    <row r="98" spans="1:22">
      <c r="A98" s="14" t="s">
        <v>213</v>
      </c>
      <c r="B98" s="3" t="s">
        <v>214</v>
      </c>
      <c r="C98" s="3" t="s">
        <v>107</v>
      </c>
      <c r="D98" s="3" t="s">
        <v>108</v>
      </c>
      <c r="E98" s="3">
        <v>2256</v>
      </c>
      <c r="F98" s="3">
        <v>1133</v>
      </c>
      <c r="G98" s="3">
        <v>35</v>
      </c>
      <c r="H98" s="3">
        <v>27.2</v>
      </c>
      <c r="I98" s="3">
        <v>525</v>
      </c>
      <c r="J98" s="3">
        <v>49.05</v>
      </c>
      <c r="K98" s="3">
        <v>41.2</v>
      </c>
      <c r="L98" s="3">
        <v>13.65</v>
      </c>
      <c r="M98" s="3">
        <v>12.75</v>
      </c>
      <c r="N98" s="3">
        <v>-0.35</v>
      </c>
      <c r="O98" s="3">
        <v>-0.27</v>
      </c>
      <c r="P98" s="4">
        <v>4.8000000000000001E-2</v>
      </c>
      <c r="R98" t="str">
        <f t="shared" si="4"/>
        <v>11</v>
      </c>
      <c r="S98" t="s">
        <v>109</v>
      </c>
      <c r="T98">
        <v>0</v>
      </c>
      <c r="V98" t="str">
        <f t="shared" si="5"/>
        <v>('LR5-72HPH-525M', 11, 2256, 1133, 35, 27.2, 525, 41.2, 12.75, 49.05, 13.65, 'MONOCRISTALINO', 'HALF CELL', 'MONOFACIAL', -0.35, -0.27, 0.048, 0),</v>
      </c>
    </row>
    <row r="99" spans="1:22">
      <c r="A99" s="14" t="s">
        <v>215</v>
      </c>
      <c r="B99" s="3" t="s">
        <v>214</v>
      </c>
      <c r="C99" s="3" t="s">
        <v>107</v>
      </c>
      <c r="D99" s="3" t="s">
        <v>108</v>
      </c>
      <c r="E99" s="3">
        <v>2256</v>
      </c>
      <c r="F99" s="3">
        <v>1133</v>
      </c>
      <c r="G99" s="3">
        <v>35</v>
      </c>
      <c r="H99" s="3">
        <v>27.2</v>
      </c>
      <c r="I99" s="3">
        <v>530</v>
      </c>
      <c r="J99" s="3">
        <v>49.2</v>
      </c>
      <c r="K99" s="3">
        <v>41.35</v>
      </c>
      <c r="L99" s="3">
        <v>13.71</v>
      </c>
      <c r="M99" s="3">
        <v>12.82</v>
      </c>
      <c r="N99" s="3">
        <v>-0.35</v>
      </c>
      <c r="O99" s="3">
        <v>-0.27</v>
      </c>
      <c r="P99" s="4">
        <v>4.8000000000000001E-2</v>
      </c>
      <c r="R99" t="str">
        <f t="shared" ref="R99:R130" si="6">IF(B99="WEG","1",IF(B99="HUAWEI","2",IF(B99="FOX ESS","3",IF(B99="GOODWE","4",IF(B99="PHB","5",IF(B99="ASTRONERGY","6",IF(B99="BYD","7",IF(B99="HUASUN","8",IF(B99="JA SOLAR","9",IF(B99="JINKO","10",IF(B99="LONGI","11",IF(B99="RISEN","12",IF(B99="SUNOVA","13",IF(B99="TALESUN","14",IF(B99="TRINA SOLAR","15","NÃO CADASTRADO")))))))))))))))</f>
        <v>11</v>
      </c>
      <c r="S99" t="s">
        <v>109</v>
      </c>
      <c r="T99">
        <v>0</v>
      </c>
      <c r="V99" t="str">
        <f t="shared" ref="V99:V130" si="7">_xlfn.CONCAT("('",A99,"', ",R99,", ",E99,", ",F99,", ",G99,", ",SUBSTITUTE(H99,",","."),", ",I99,", ",SUBSTITUTE(K99,",","."),", ",SUBSTITUTE(M99,",","."),", ",SUBSTITUTE(J99,",","."),", ",SUBSTITUTE(L99,",","."),", '",D99,"', '",S99,"', '",C99,"', ",SUBSTITUTE(N99,",","."),", ",SUBSTITUTE(O99,",","."),", ",SUBSTITUTE(P99,",","."),", ",T99,"),")</f>
        <v>('LR5-72HPH-530M', 11, 2256, 1133, 35, 27.2, 530, 41.35, 12.82, 49.2, 13.71, 'MONOCRISTALINO', 'HALF CELL', 'MONOFACIAL', -0.35, -0.27, 0.048, 0),</v>
      </c>
    </row>
    <row r="100" spans="1:22">
      <c r="A100" s="14" t="s">
        <v>216</v>
      </c>
      <c r="B100" s="3" t="s">
        <v>214</v>
      </c>
      <c r="C100" s="3" t="s">
        <v>107</v>
      </c>
      <c r="D100" s="3" t="s">
        <v>108</v>
      </c>
      <c r="E100" s="3">
        <v>2256</v>
      </c>
      <c r="F100" s="3">
        <v>1133</v>
      </c>
      <c r="G100" s="3">
        <v>35</v>
      </c>
      <c r="H100" s="3">
        <v>27.2</v>
      </c>
      <c r="I100" s="3">
        <v>535</v>
      </c>
      <c r="J100" s="3">
        <v>49.35</v>
      </c>
      <c r="K100" s="3">
        <v>41.5</v>
      </c>
      <c r="L100" s="3">
        <v>13.78</v>
      </c>
      <c r="M100" s="3">
        <v>12.9</v>
      </c>
      <c r="N100" s="3">
        <v>-0.35</v>
      </c>
      <c r="O100" s="3">
        <v>-0.27</v>
      </c>
      <c r="P100" s="4">
        <v>4.8000000000000001E-2</v>
      </c>
      <c r="R100" t="str">
        <f t="shared" si="6"/>
        <v>11</v>
      </c>
      <c r="S100" t="s">
        <v>109</v>
      </c>
      <c r="T100">
        <v>0</v>
      </c>
      <c r="V100" t="str">
        <f t="shared" si="7"/>
        <v>('LR5-72HPH-535M', 11, 2256, 1133, 35, 27.2, 535, 41.5, 12.9, 49.35, 13.78, 'MONOCRISTALINO', 'HALF CELL', 'MONOFACIAL', -0.35, -0.27, 0.048, 0),</v>
      </c>
    </row>
    <row r="101" spans="1:22">
      <c r="A101" s="14" t="s">
        <v>217</v>
      </c>
      <c r="B101" s="3" t="s">
        <v>214</v>
      </c>
      <c r="C101" s="3" t="s">
        <v>107</v>
      </c>
      <c r="D101" s="3" t="s">
        <v>108</v>
      </c>
      <c r="E101" s="3">
        <v>2256</v>
      </c>
      <c r="F101" s="3">
        <v>1133</v>
      </c>
      <c r="G101" s="3">
        <v>35</v>
      </c>
      <c r="H101" s="3">
        <v>27.2</v>
      </c>
      <c r="I101" s="3">
        <v>540</v>
      </c>
      <c r="J101" s="3">
        <v>49.5</v>
      </c>
      <c r="K101" s="3">
        <v>41.65</v>
      </c>
      <c r="L101" s="3">
        <v>13.85</v>
      </c>
      <c r="M101" s="3">
        <v>12.97</v>
      </c>
      <c r="N101" s="3">
        <v>-0.35</v>
      </c>
      <c r="O101" s="3">
        <v>-0.27</v>
      </c>
      <c r="P101" s="4">
        <v>4.8000000000000001E-2</v>
      </c>
      <c r="R101" t="str">
        <f t="shared" si="6"/>
        <v>11</v>
      </c>
      <c r="S101" t="s">
        <v>109</v>
      </c>
      <c r="T101">
        <v>0</v>
      </c>
      <c r="V101" t="str">
        <f t="shared" si="7"/>
        <v>('LR5-72HPH-540M', 11, 2256, 1133, 35, 27.2, 540, 41.65, 12.97, 49.5, 13.85, 'MONOCRISTALINO', 'HALF CELL', 'MONOFACIAL', -0.35, -0.27, 0.048, 0),</v>
      </c>
    </row>
    <row r="102" spans="1:22">
      <c r="A102" s="14" t="s">
        <v>218</v>
      </c>
      <c r="B102" s="3" t="s">
        <v>214</v>
      </c>
      <c r="C102" s="3" t="s">
        <v>107</v>
      </c>
      <c r="D102" s="3" t="s">
        <v>108</v>
      </c>
      <c r="E102" s="3">
        <v>2256</v>
      </c>
      <c r="F102" s="3">
        <v>1133</v>
      </c>
      <c r="G102" s="3">
        <v>35</v>
      </c>
      <c r="H102" s="3">
        <v>27.2</v>
      </c>
      <c r="I102" s="3">
        <v>545</v>
      </c>
      <c r="J102" s="3">
        <v>49.65</v>
      </c>
      <c r="K102" s="3">
        <v>41.8</v>
      </c>
      <c r="L102" s="3">
        <v>13.92</v>
      </c>
      <c r="M102" s="3">
        <v>13.04</v>
      </c>
      <c r="N102" s="3">
        <v>-0.35</v>
      </c>
      <c r="O102" s="3">
        <v>-0.27</v>
      </c>
      <c r="P102" s="4">
        <v>4.8000000000000001E-2</v>
      </c>
      <c r="R102" t="str">
        <f t="shared" si="6"/>
        <v>11</v>
      </c>
      <c r="S102" t="s">
        <v>109</v>
      </c>
      <c r="T102">
        <v>0</v>
      </c>
      <c r="V102" t="str">
        <f t="shared" si="7"/>
        <v>('LR5-72HPH-545M', 11, 2256, 1133, 35, 27.2, 545, 41.8, 13.04, 49.65, 13.92, 'MONOCRISTALINO', 'HALF CELL', 'MONOFACIAL', -0.35, -0.27, 0.048, 0),</v>
      </c>
    </row>
    <row r="103" spans="1:22">
      <c r="A103" s="14" t="s">
        <v>219</v>
      </c>
      <c r="B103" s="3" t="s">
        <v>214</v>
      </c>
      <c r="C103" s="3" t="s">
        <v>107</v>
      </c>
      <c r="D103" s="3" t="s">
        <v>108</v>
      </c>
      <c r="E103" s="3">
        <v>2256</v>
      </c>
      <c r="F103" s="3">
        <v>1133</v>
      </c>
      <c r="G103" s="3">
        <v>35</v>
      </c>
      <c r="H103" s="3">
        <v>27.2</v>
      </c>
      <c r="I103" s="3">
        <v>550</v>
      </c>
      <c r="J103" s="3">
        <v>49.8</v>
      </c>
      <c r="K103" s="3">
        <v>41.95</v>
      </c>
      <c r="L103" s="3">
        <v>13.98</v>
      </c>
      <c r="M103" s="3">
        <v>13.12</v>
      </c>
      <c r="N103" s="3">
        <v>-0.35</v>
      </c>
      <c r="O103" s="3">
        <v>-0.27</v>
      </c>
      <c r="P103" s="4">
        <v>4.8000000000000001E-2</v>
      </c>
      <c r="R103" t="str">
        <f t="shared" si="6"/>
        <v>11</v>
      </c>
      <c r="S103" t="s">
        <v>109</v>
      </c>
      <c r="T103">
        <v>0</v>
      </c>
      <c r="V103" t="str">
        <f t="shared" si="7"/>
        <v>('LR5-72HPH-550M', 11, 2256, 1133, 35, 27.2, 550, 41.95, 13.12, 49.8, 13.98, 'MONOCRISTALINO', 'HALF CELL', 'MONOFACIAL', -0.35, -0.27, 0.048, 0),</v>
      </c>
    </row>
    <row r="104" spans="1:22">
      <c r="A104" s="14" t="s">
        <v>220</v>
      </c>
      <c r="B104" s="3" t="s">
        <v>214</v>
      </c>
      <c r="C104" s="3" t="s">
        <v>107</v>
      </c>
      <c r="D104" s="3" t="s">
        <v>108</v>
      </c>
      <c r="E104" s="3">
        <v>2256</v>
      </c>
      <c r="F104" s="3">
        <v>1133</v>
      </c>
      <c r="G104" s="3">
        <v>35</v>
      </c>
      <c r="H104" s="3">
        <v>27.2</v>
      </c>
      <c r="I104" s="3">
        <v>555</v>
      </c>
      <c r="J104" s="3">
        <v>49.95</v>
      </c>
      <c r="K104" s="3">
        <v>42.1</v>
      </c>
      <c r="L104" s="3">
        <v>14.04</v>
      </c>
      <c r="M104" s="3">
        <v>13.19</v>
      </c>
      <c r="N104" s="3">
        <v>-0.35</v>
      </c>
      <c r="O104" s="3">
        <v>-0.27</v>
      </c>
      <c r="P104" s="4">
        <v>4.8000000000000001E-2</v>
      </c>
      <c r="R104" t="str">
        <f t="shared" si="6"/>
        <v>11</v>
      </c>
      <c r="S104" t="s">
        <v>109</v>
      </c>
      <c r="T104">
        <v>1</v>
      </c>
      <c r="V104" t="str">
        <f t="shared" si="7"/>
        <v>('LR5-72HPH-555M', 11, 2256, 1133, 35, 27.2, 555, 42.1, 13.19, 49.95, 14.04, 'MONOCRISTALINO', 'HALF CELL', 'MONOFACIAL', -0.35, -0.27, 0.048, 1),</v>
      </c>
    </row>
    <row r="105" spans="1:22">
      <c r="A105" s="20" t="s">
        <v>2</v>
      </c>
      <c r="B105" s="21" t="s">
        <v>154</v>
      </c>
      <c r="C105" s="21" t="s">
        <v>107</v>
      </c>
      <c r="D105" s="21" t="s">
        <v>108</v>
      </c>
      <c r="E105" s="22">
        <v>2278</v>
      </c>
      <c r="F105" s="22">
        <v>1134</v>
      </c>
      <c r="G105" s="22">
        <v>30</v>
      </c>
      <c r="H105" s="22">
        <v>27</v>
      </c>
      <c r="I105" s="22">
        <v>555</v>
      </c>
      <c r="J105" s="22">
        <v>49.72</v>
      </c>
      <c r="K105" s="22">
        <v>40.99</v>
      </c>
      <c r="L105" s="22">
        <v>14.12</v>
      </c>
      <c r="M105" s="22">
        <v>13.54</v>
      </c>
      <c r="N105" s="22">
        <v>-0.35</v>
      </c>
      <c r="O105" s="22">
        <v>-0.28000000000000003</v>
      </c>
      <c r="P105" s="25">
        <v>4.8000000000000001E-2</v>
      </c>
      <c r="R105" t="str">
        <f t="shared" si="6"/>
        <v>10</v>
      </c>
      <c r="S105" t="s">
        <v>109</v>
      </c>
      <c r="T105">
        <v>1</v>
      </c>
      <c r="V105" t="str">
        <f t="shared" si="7"/>
        <v>('JKM555M-72HL4', 10, 2278, 1134, 30, 27, 555, 40.99, 13.54, 49.72, 14.12, 'MONOCRISTALINO', 'HALF CELL', 'MONOFACIAL', -0.35, -0.28, 0.048, 1),</v>
      </c>
    </row>
    <row r="106" spans="1:22">
      <c r="A106" s="14" t="s">
        <v>221</v>
      </c>
      <c r="B106" s="3" t="s">
        <v>106</v>
      </c>
      <c r="C106" s="3" t="s">
        <v>131</v>
      </c>
      <c r="D106" s="3" t="s">
        <v>108</v>
      </c>
      <c r="E106" s="3">
        <v>2465</v>
      </c>
      <c r="F106" s="3">
        <v>1134</v>
      </c>
      <c r="G106" s="3">
        <v>30</v>
      </c>
      <c r="H106" s="3">
        <v>34.700000000000003</v>
      </c>
      <c r="I106" s="22">
        <v>630</v>
      </c>
      <c r="J106" s="22">
        <v>56.21</v>
      </c>
      <c r="K106" s="22">
        <v>46.45</v>
      </c>
      <c r="L106" s="22">
        <v>14.19</v>
      </c>
      <c r="M106" s="22">
        <v>13.56</v>
      </c>
      <c r="N106" s="22">
        <v>-0.28999999999999998</v>
      </c>
      <c r="O106" s="22">
        <v>-0.25</v>
      </c>
      <c r="P106" s="25">
        <v>4.2999999999999997E-2</v>
      </c>
      <c r="R106" t="str">
        <f t="shared" si="6"/>
        <v>6</v>
      </c>
      <c r="S106" t="s">
        <v>109</v>
      </c>
      <c r="T106">
        <v>0</v>
      </c>
      <c r="V106" t="str">
        <f t="shared" si="7"/>
        <v>('CHSM78N(DG)/F-BH-630', 6, 2465, 1134, 30, 34.7, 630, 46.45, 13.56, 56.21, 14.19, 'MONOCRISTALINO', 'HALF CELL', 'BIFACIAL', -0.29, -0.25, 0.043, 0),</v>
      </c>
    </row>
    <row r="107" spans="1:22">
      <c r="A107" s="14" t="s">
        <v>6</v>
      </c>
      <c r="B107" s="3" t="s">
        <v>106</v>
      </c>
      <c r="C107" s="3" t="s">
        <v>131</v>
      </c>
      <c r="D107" s="3" t="s">
        <v>108</v>
      </c>
      <c r="E107" s="3">
        <v>2465</v>
      </c>
      <c r="F107" s="3">
        <v>1134</v>
      </c>
      <c r="G107" s="3">
        <v>30</v>
      </c>
      <c r="H107" s="3">
        <v>34.700000000000003</v>
      </c>
      <c r="I107" s="22">
        <v>635</v>
      </c>
      <c r="J107" s="22">
        <v>56.41</v>
      </c>
      <c r="K107" s="22">
        <v>46.62</v>
      </c>
      <c r="L107" s="22">
        <v>14.27</v>
      </c>
      <c r="M107" s="22">
        <v>13.62</v>
      </c>
      <c r="N107" s="22">
        <v>-0.28999999999999998</v>
      </c>
      <c r="O107" s="22">
        <v>-0.25</v>
      </c>
      <c r="P107" s="25">
        <v>4.2999999999999997E-2</v>
      </c>
      <c r="R107" t="str">
        <f t="shared" si="6"/>
        <v>6</v>
      </c>
      <c r="S107" t="s">
        <v>109</v>
      </c>
      <c r="T107">
        <v>1</v>
      </c>
      <c r="V107" t="str">
        <f t="shared" si="7"/>
        <v>('CHSM78N(DG)/F-BH-635', 6, 2465, 1134, 30, 34.7, 635, 46.62, 13.62, 56.41, 14.27, 'MONOCRISTALINO', 'HALF CELL', 'BIFACIAL', -0.29, -0.25, 0.043, 1),</v>
      </c>
    </row>
    <row r="108" spans="1:22">
      <c r="A108" s="14" t="s">
        <v>3</v>
      </c>
      <c r="B108" s="3" t="s">
        <v>222</v>
      </c>
      <c r="C108" s="3" t="s">
        <v>131</v>
      </c>
      <c r="D108" s="3" t="s">
        <v>108</v>
      </c>
      <c r="E108" s="3">
        <v>2278</v>
      </c>
      <c r="F108" s="3">
        <v>1134</v>
      </c>
      <c r="G108" s="3">
        <v>30</v>
      </c>
      <c r="H108" s="3">
        <v>31.8</v>
      </c>
      <c r="I108" s="3">
        <v>570</v>
      </c>
      <c r="J108" s="3">
        <v>47.78</v>
      </c>
      <c r="K108" s="3">
        <v>40</v>
      </c>
      <c r="L108" s="3">
        <v>15.11</v>
      </c>
      <c r="M108" s="3">
        <v>14.25</v>
      </c>
      <c r="N108" s="3">
        <v>-0.26</v>
      </c>
      <c r="O108" s="3">
        <v>-0.3</v>
      </c>
      <c r="P108" s="4">
        <v>4.5999999999999999E-2</v>
      </c>
      <c r="R108" t="str">
        <f t="shared" si="6"/>
        <v>9</v>
      </c>
      <c r="S108" t="s">
        <v>109</v>
      </c>
      <c r="T108">
        <v>1</v>
      </c>
      <c r="V108" t="str">
        <f t="shared" si="7"/>
        <v>('JAM66D42-570/MB', 9, 2278, 1134, 30, 31.8, 570, 40, 14.25, 47.78, 15.11, 'MONOCRISTALINO', 'HALF CELL', 'BIFACIAL', -0.26, -0.3, 0.046, 1),</v>
      </c>
    </row>
    <row r="109" spans="1:22">
      <c r="A109" s="14" t="s">
        <v>5</v>
      </c>
      <c r="B109" s="3" t="s">
        <v>154</v>
      </c>
      <c r="C109" s="3" t="s">
        <v>107</v>
      </c>
      <c r="D109" s="3" t="s">
        <v>108</v>
      </c>
      <c r="E109" s="3">
        <v>2278</v>
      </c>
      <c r="F109" s="3">
        <v>1134</v>
      </c>
      <c r="G109" s="3">
        <v>30</v>
      </c>
      <c r="H109" s="3">
        <v>27</v>
      </c>
      <c r="I109" s="3">
        <v>585</v>
      </c>
      <c r="J109" s="3">
        <v>52.47</v>
      </c>
      <c r="K109" s="3">
        <v>43.53</v>
      </c>
      <c r="L109" s="3">
        <v>14.07</v>
      </c>
      <c r="M109" s="3">
        <v>13.44</v>
      </c>
      <c r="N109" s="3">
        <v>-0.25</v>
      </c>
      <c r="O109" s="3">
        <v>-0.28999999999999998</v>
      </c>
      <c r="P109" s="4">
        <v>4.4999999999999998E-2</v>
      </c>
      <c r="R109" t="str">
        <f t="shared" si="6"/>
        <v>10</v>
      </c>
      <c r="S109" t="s">
        <v>109</v>
      </c>
      <c r="T109">
        <v>1</v>
      </c>
      <c r="V109" t="str">
        <f t="shared" si="7"/>
        <v>('JKM585N 72HL4-V', 10, 2278, 1134, 30, 27, 585, 43.53, 13.44, 52.47, 14.07, 'MONOCRISTALINO', 'HALF CELL', 'MONOFACIAL', -0.25, -0.29, 0.045, 1),</v>
      </c>
    </row>
    <row r="110" spans="1:22">
      <c r="A110" s="14" t="s">
        <v>8</v>
      </c>
      <c r="B110" s="3" t="s">
        <v>120</v>
      </c>
      <c r="C110" s="3" t="s">
        <v>131</v>
      </c>
      <c r="D110" s="3" t="s">
        <v>108</v>
      </c>
      <c r="E110" s="3">
        <v>2384</v>
      </c>
      <c r="F110" s="3">
        <v>1303</v>
      </c>
      <c r="G110" s="3">
        <v>33</v>
      </c>
      <c r="H110" s="3">
        <v>38.299999999999997</v>
      </c>
      <c r="I110" s="3">
        <v>710</v>
      </c>
      <c r="J110" s="3">
        <v>49</v>
      </c>
      <c r="K110" s="3">
        <v>40.9</v>
      </c>
      <c r="L110" s="3">
        <v>18.399999999999999</v>
      </c>
      <c r="M110" s="3">
        <v>17.36</v>
      </c>
      <c r="N110" s="3">
        <v>-0.24</v>
      </c>
      <c r="O110" s="3">
        <v>-0.28999999999999998</v>
      </c>
      <c r="P110" s="4">
        <v>0.04</v>
      </c>
      <c r="R110" t="str">
        <f t="shared" si="6"/>
        <v>15</v>
      </c>
      <c r="S110" t="s">
        <v>109</v>
      </c>
      <c r="T110">
        <v>1</v>
      </c>
      <c r="V110" t="str">
        <f t="shared" si="7"/>
        <v>('TSM-710NEG21C.20', 15, 2384, 1303, 33, 38.3, 710, 40.9, 17.36, 49, 18.4, 'MONOCRISTALINO', 'HALF CELL', 'BIFACIAL', -0.24, -0.29, 0.04, 1),</v>
      </c>
    </row>
    <row r="111" spans="1:22">
      <c r="A111" s="14" t="s">
        <v>1</v>
      </c>
      <c r="B111" s="3" t="s">
        <v>114</v>
      </c>
      <c r="C111" s="3" t="s">
        <v>107</v>
      </c>
      <c r="D111" s="3" t="s">
        <v>108</v>
      </c>
      <c r="E111" s="3">
        <v>2278</v>
      </c>
      <c r="F111" s="3">
        <v>1134</v>
      </c>
      <c r="G111" s="3">
        <v>35</v>
      </c>
      <c r="H111" s="3">
        <v>29.3</v>
      </c>
      <c r="I111" s="3">
        <v>550</v>
      </c>
      <c r="J111" s="3">
        <v>50.32</v>
      </c>
      <c r="K111" s="3">
        <v>42.49</v>
      </c>
      <c r="L111" s="3">
        <v>13.61</v>
      </c>
      <c r="M111" s="3">
        <v>12.94</v>
      </c>
      <c r="N111" s="3">
        <v>-0.39</v>
      </c>
      <c r="O111" s="3">
        <v>-0.3</v>
      </c>
      <c r="P111" s="4">
        <v>0.06</v>
      </c>
      <c r="R111" t="str">
        <f t="shared" si="6"/>
        <v>7</v>
      </c>
      <c r="S111" t="s">
        <v>109</v>
      </c>
      <c r="T111">
        <v>1</v>
      </c>
      <c r="V111" t="str">
        <f t="shared" si="7"/>
        <v>('BYD550MLK-36', 7, 2278, 1134, 35, 29.3, 550, 42.49, 12.94, 50.32, 13.61, 'MONOCRISTALINO', 'HALF CELL', 'MONOFACIAL', -0.39, -0.3, 0.06, 1),</v>
      </c>
    </row>
    <row r="112" spans="1:22">
      <c r="A112" s="14" t="s">
        <v>4</v>
      </c>
      <c r="B112" s="3" t="s">
        <v>106</v>
      </c>
      <c r="C112" s="3" t="s">
        <v>131</v>
      </c>
      <c r="D112" s="3" t="s">
        <v>108</v>
      </c>
      <c r="E112" s="3">
        <v>2278</v>
      </c>
      <c r="F112" s="3">
        <v>1134</v>
      </c>
      <c r="G112" s="3">
        <v>30</v>
      </c>
      <c r="H112" s="3">
        <v>32.1</v>
      </c>
      <c r="I112" s="3">
        <v>570</v>
      </c>
      <c r="J112" s="3">
        <v>50.9</v>
      </c>
      <c r="K112" s="3">
        <v>42.77</v>
      </c>
      <c r="L112" s="3">
        <v>14.1</v>
      </c>
      <c r="M112" s="3">
        <v>13.33</v>
      </c>
      <c r="N112" s="3">
        <v>-0.28999999999999998</v>
      </c>
      <c r="O112" s="3">
        <v>-0.25</v>
      </c>
      <c r="P112" s="4">
        <v>4.2999999999999997E-2</v>
      </c>
      <c r="R112" t="str">
        <f t="shared" si="6"/>
        <v>6</v>
      </c>
      <c r="S112" t="s">
        <v>109</v>
      </c>
      <c r="T112">
        <v>1</v>
      </c>
      <c r="V112" t="str">
        <f t="shared" si="7"/>
        <v>('CHSM72N(DG)/F-BH-570', 6, 2278, 1134, 30, 32.1, 570, 42.77, 13.33, 50.9, 14.1, 'MONOCRISTALINO', 'HALF CELL', 'BIFACIAL', -0.29, -0.25, 0.043, 1),</v>
      </c>
    </row>
    <row r="113" spans="1:22">
      <c r="A113" s="14" t="s">
        <v>7</v>
      </c>
      <c r="B113" s="3" t="s">
        <v>223</v>
      </c>
      <c r="C113" s="3" t="s">
        <v>131</v>
      </c>
      <c r="D113" s="3" t="s">
        <v>108</v>
      </c>
      <c r="E113" s="3">
        <v>2384</v>
      </c>
      <c r="F113" s="3">
        <v>1303</v>
      </c>
      <c r="G113" s="3">
        <v>33</v>
      </c>
      <c r="H113" s="3">
        <v>37.9</v>
      </c>
      <c r="I113" s="3">
        <v>700</v>
      </c>
      <c r="J113" s="3">
        <v>49.77</v>
      </c>
      <c r="K113" s="3">
        <v>41.78</v>
      </c>
      <c r="L113" s="3">
        <v>17.809999999999999</v>
      </c>
      <c r="M113" s="3">
        <v>16.760000000000002</v>
      </c>
      <c r="N113" s="3">
        <v>-0.24</v>
      </c>
      <c r="O113" s="3">
        <v>-0.22</v>
      </c>
      <c r="P113" s="4">
        <v>0.04</v>
      </c>
      <c r="R113" t="str">
        <f t="shared" si="6"/>
        <v>8</v>
      </c>
      <c r="S113" t="s">
        <v>109</v>
      </c>
      <c r="T113">
        <v>1</v>
      </c>
      <c r="V113" t="str">
        <f t="shared" si="7"/>
        <v>('HS-210-B132 DS700', 8, 2384, 1303, 33, 37.9, 700, 41.78, 16.76, 49.77, 17.81, 'MONOCRISTALINO', 'HALF CELL', 'BIFACIAL', -0.24, -0.22, 0.04, 1),</v>
      </c>
    </row>
    <row r="114" spans="1:22">
      <c r="A114" s="91" t="s">
        <v>505</v>
      </c>
      <c r="B114" s="92" t="s">
        <v>106</v>
      </c>
      <c r="C114" s="92" t="s">
        <v>131</v>
      </c>
      <c r="D114" s="92" t="s">
        <v>108</v>
      </c>
      <c r="E114" s="3">
        <v>2278</v>
      </c>
      <c r="F114" s="3">
        <v>1134</v>
      </c>
      <c r="G114" s="3">
        <v>30</v>
      </c>
      <c r="H114" s="3">
        <v>32.1</v>
      </c>
      <c r="I114" s="3">
        <v>575</v>
      </c>
      <c r="J114" s="3">
        <v>51.1</v>
      </c>
      <c r="K114" s="3">
        <v>42.94</v>
      </c>
      <c r="L114" s="3">
        <v>14.19</v>
      </c>
      <c r="M114" s="3">
        <v>13.39</v>
      </c>
      <c r="N114" s="3">
        <v>-0.28999999999999998</v>
      </c>
      <c r="O114" s="3">
        <v>-0.25</v>
      </c>
      <c r="P114" s="4">
        <v>4.2999999999999997E-2</v>
      </c>
      <c r="R114" t="str">
        <f t="shared" si="6"/>
        <v>6</v>
      </c>
      <c r="S114" s="94" t="s">
        <v>109</v>
      </c>
      <c r="T114">
        <v>1</v>
      </c>
      <c r="V114" t="str">
        <f t="shared" si="7"/>
        <v>('CHSM72N(DG)/F-BH-575', 6, 2278, 1134, 30, 32.1, 575, 42.94, 13.39, 51.1, 14.19, 'MONOCRISTALINO', 'HALF CELL', 'BIFACIAL', -0.29, -0.25, 0.043, 1),</v>
      </c>
    </row>
    <row r="115" spans="1:22">
      <c r="A115" s="91" t="s">
        <v>506</v>
      </c>
      <c r="B115" s="92" t="s">
        <v>106</v>
      </c>
      <c r="C115" s="92" t="s">
        <v>131</v>
      </c>
      <c r="D115" s="92" t="s">
        <v>108</v>
      </c>
      <c r="E115" s="3">
        <v>2278</v>
      </c>
      <c r="F115" s="3">
        <v>1134</v>
      </c>
      <c r="G115" s="3">
        <v>30</v>
      </c>
      <c r="H115" s="3">
        <v>32.1</v>
      </c>
      <c r="I115" s="3">
        <v>580</v>
      </c>
      <c r="J115" s="3">
        <v>51.3</v>
      </c>
      <c r="K115" s="3">
        <v>43.11</v>
      </c>
      <c r="L115" s="3">
        <v>14.28</v>
      </c>
      <c r="M115" s="3">
        <v>13.45</v>
      </c>
      <c r="N115" s="3">
        <v>-0.28999999999999998</v>
      </c>
      <c r="O115" s="3">
        <v>-0.25</v>
      </c>
      <c r="P115" s="4">
        <v>4.2999999999999997E-2</v>
      </c>
      <c r="R115" t="str">
        <f t="shared" si="6"/>
        <v>6</v>
      </c>
      <c r="S115" t="s">
        <v>109</v>
      </c>
      <c r="T115">
        <v>0</v>
      </c>
      <c r="V115" t="str">
        <f>_xlfn.CONCAT("('",A115,"', ",R115,", ",E115,", ",F115,", ",G115,", ",SUBSTITUTE(H115,",","."),", ",I115,", ",SUBSTITUTE(K115,",","."),", ",SUBSTITUTE(M115,",","."),", ",SUBSTITUTE(J114,",","."),", ",SUBSTITUTE(L115,",","."),", '",D115,"', '",S115,"', '",C115,"', ",SUBSTITUTE(N115,",","."),", ",SUBSTITUTE(O115,",","."),", ",SUBSTITUTE(P115,",","."),", ",T115,"),")</f>
        <v>('CHSM72N(DG)/F-BH-580', 6, 2278, 1134, 30, 32.1, 580, 43.11, 13.45, 51.1, 14.28, 'MONOCRISTALINO', 'HALF CELL', 'BIFACIAL', -0.29, -0.25, 0.043, 0),</v>
      </c>
    </row>
    <row r="116" spans="1:22">
      <c r="A116" s="91" t="s">
        <v>507</v>
      </c>
      <c r="B116" s="92" t="s">
        <v>106</v>
      </c>
      <c r="C116" s="92" t="s">
        <v>131</v>
      </c>
      <c r="D116" s="92" t="s">
        <v>108</v>
      </c>
      <c r="E116" s="3">
        <v>2278</v>
      </c>
      <c r="F116" s="3">
        <v>1134</v>
      </c>
      <c r="G116" s="3">
        <v>30</v>
      </c>
      <c r="H116" s="3">
        <v>32.1</v>
      </c>
      <c r="I116" s="3">
        <v>585</v>
      </c>
      <c r="J116" s="3">
        <v>51.5</v>
      </c>
      <c r="K116" s="3">
        <v>43.27</v>
      </c>
      <c r="L116" s="3">
        <v>14.36</v>
      </c>
      <c r="M116" s="3">
        <v>13.52</v>
      </c>
      <c r="N116" s="3">
        <v>-0.28999999999999998</v>
      </c>
      <c r="O116" s="3">
        <v>-0.25</v>
      </c>
      <c r="P116" s="4">
        <v>4.2999999999999997E-2</v>
      </c>
      <c r="R116" t="str">
        <f t="shared" si="6"/>
        <v>6</v>
      </c>
      <c r="S116" t="s">
        <v>109</v>
      </c>
      <c r="T116">
        <v>0</v>
      </c>
      <c r="V116" t="str">
        <f>_xlfn.CONCAT("('",A116,"', ",R116,", ",E116,", ",F116,", ",G116,", ",SUBSTITUTE(H116,",","."),", ",I116,", ",SUBSTITUTE(K116,",","."),", ",SUBSTITUTE(M116,",","."),", ",SUBSTITUTE(J115,",","."),", ",SUBSTITUTE(L116,",","."),", '",D116,"', '",S116,"', '",C116,"', ",SUBSTITUTE(N116,",","."),", ",SUBSTITUTE(O116,",","."),", ",SUBSTITUTE(P116,",","."),", ",T116,"),")</f>
        <v>('CHSM72N(DG)/F-BH-585', 6, 2278, 1134, 30, 32.1, 585, 43.27, 13.52, 51.3, 14.36, 'MONOCRISTALINO', 'HALF CELL', 'BIFACIAL', -0.29, -0.25, 0.043, 0),</v>
      </c>
    </row>
    <row r="117" spans="1:22">
      <c r="A117" s="91" t="s">
        <v>508</v>
      </c>
      <c r="B117" s="92" t="s">
        <v>106</v>
      </c>
      <c r="C117" s="92" t="s">
        <v>131</v>
      </c>
      <c r="D117" s="92" t="s">
        <v>108</v>
      </c>
      <c r="E117" s="3">
        <v>2278</v>
      </c>
      <c r="F117" s="3">
        <v>1134</v>
      </c>
      <c r="G117" s="3">
        <v>30</v>
      </c>
      <c r="H117" s="3">
        <v>32.1</v>
      </c>
      <c r="I117" s="3">
        <v>590</v>
      </c>
      <c r="J117" s="3">
        <v>51.7</v>
      </c>
      <c r="K117" s="3">
        <v>43.45</v>
      </c>
      <c r="L117" s="3">
        <v>14.45</v>
      </c>
      <c r="M117" s="3">
        <v>13.58</v>
      </c>
      <c r="N117" s="3">
        <v>-0.28999999999999998</v>
      </c>
      <c r="O117" s="3">
        <v>-0.25</v>
      </c>
      <c r="P117" s="4">
        <v>4.2999999999999997E-2</v>
      </c>
      <c r="R117" t="str">
        <f t="shared" si="6"/>
        <v>6</v>
      </c>
      <c r="S117" t="s">
        <v>109</v>
      </c>
      <c r="T117">
        <v>0</v>
      </c>
      <c r="V117" t="str">
        <f>_xlfn.CONCAT("('",A117,"', ",R117,", ",E117,", ",F117,", ",G117,", ",SUBSTITUTE(H117,",","."),", ",I117,", ",SUBSTITUTE(K117,",","."),", ",SUBSTITUTE(M117,",","."),", ",SUBSTITUTE(J116,",","."),", ",SUBSTITUTE(L117,",","."),", '",D117,"', '",S117,"', '",C117,"', ",SUBSTITUTE(N117,",","."),", ",SUBSTITUTE(O117,",","."),", ",SUBSTITUTE(P117,",","."),", ",T117,"),")</f>
        <v>('CHSM72N(DG)/F-BH-590', 6, 2278, 1134, 30, 32.1, 590, 43.45, 13.58, 51.5, 14.45, 'MONOCRISTALINO', 'HALF CELL', 'BIFACIAL', -0.29, -0.25, 0.043, 0),</v>
      </c>
    </row>
    <row r="118" spans="1:22">
      <c r="A118" s="91" t="s">
        <v>509</v>
      </c>
      <c r="B118" s="92" t="s">
        <v>106</v>
      </c>
      <c r="C118" s="92" t="s">
        <v>131</v>
      </c>
      <c r="D118" s="92" t="s">
        <v>108</v>
      </c>
      <c r="E118" s="3">
        <v>2278</v>
      </c>
      <c r="F118" s="3">
        <v>1134</v>
      </c>
      <c r="G118" s="3">
        <v>30</v>
      </c>
      <c r="H118" s="3">
        <v>32.1</v>
      </c>
      <c r="I118" s="3">
        <v>595</v>
      </c>
      <c r="J118" s="3">
        <v>51.9</v>
      </c>
      <c r="K118" s="3">
        <v>43.61</v>
      </c>
      <c r="L118" s="3">
        <v>14.53</v>
      </c>
      <c r="M118" s="3">
        <v>13.64</v>
      </c>
      <c r="N118" s="3">
        <v>-0.28999999999999998</v>
      </c>
      <c r="O118" s="3">
        <v>-0.25</v>
      </c>
      <c r="P118" s="4">
        <v>4.2999999999999997E-2</v>
      </c>
      <c r="R118" t="str">
        <f t="shared" si="6"/>
        <v>6</v>
      </c>
      <c r="S118" t="s">
        <v>109</v>
      </c>
      <c r="T118">
        <v>0</v>
      </c>
      <c r="V118" t="str">
        <f>_xlfn.CONCAT("('",A118,"', ",R118,", ",E118,", ",F118,", ",G118,", ",SUBSTITUTE(H118,",","."),", ",I118,", ",SUBSTITUTE(K118,",","."),", ",SUBSTITUTE(M118,",","."),", ",SUBSTITUTE(J117,",","."),", ",SUBSTITUTE(L118,",","."),", '",D118,"', '",S118,"', '",C118,"', ",SUBSTITUTE(N118,",","."),", ",SUBSTITUTE(O118,",","."),", ",SUBSTITUTE(P118,",","."),", ",T118,"),")</f>
        <v>('CHSM72N(DG)/F-BH-595', 6, 2278, 1134, 30, 32.1, 595, 43.61, 13.64, 51.7, 14.53, 'MONOCRISTALINO', 'HALF CELL', 'BIFACIAL', -0.29, -0.25, 0.043, 0),</v>
      </c>
    </row>
    <row r="119" spans="1:22">
      <c r="A119" s="14" t="s">
        <v>510</v>
      </c>
      <c r="B119" s="3" t="s">
        <v>214</v>
      </c>
      <c r="C119" s="3" t="s">
        <v>107</v>
      </c>
      <c r="D119" s="3" t="s">
        <v>108</v>
      </c>
      <c r="E119" s="3">
        <v>2278</v>
      </c>
      <c r="F119" s="3">
        <v>1134</v>
      </c>
      <c r="G119" s="3">
        <v>30</v>
      </c>
      <c r="H119" s="3">
        <v>27.2</v>
      </c>
      <c r="I119" s="3">
        <v>565</v>
      </c>
      <c r="J119" s="3">
        <v>51.76</v>
      </c>
      <c r="K119" s="3">
        <v>43.61</v>
      </c>
      <c r="L119" s="3">
        <v>14.01</v>
      </c>
      <c r="M119" s="3">
        <v>12.96</v>
      </c>
      <c r="N119" s="3">
        <v>-0.28999999999999998</v>
      </c>
      <c r="O119" s="93">
        <v>-0.23</v>
      </c>
      <c r="P119" s="4">
        <v>0.05</v>
      </c>
      <c r="R119" t="str">
        <f t="shared" si="6"/>
        <v>11</v>
      </c>
      <c r="S119" t="s">
        <v>109</v>
      </c>
      <c r="T119">
        <v>0</v>
      </c>
      <c r="V119" t="str">
        <f>_xlfn.CONCAT("('",A119,"', ",R119,", ",E119,", ",F119,", ",G119,", ",SUBSTITUTE(H119,",","."),", ",I119,", ",SUBSTITUTE(K119,",","."),", ",SUBSTITUTE(M119,",","."),", ",SUBSTITUTE(J118,",","."),", ",SUBSTITUTE(L119,",","."),", '",D119,"', '",S119,"', '",C119,"', ",SUBSTITUTE(N119,",","."),", ",SUBSTITUTE(O119,",","."),", ",SUBSTITUTE(P119,",","."),", ",T119,"),")</f>
        <v>('LR5-72HTH-565M', 11, 2278, 1134, 30, 27.2, 565, 43.61, 12.96, 51.9, 14.01, 'MONOCRISTALINO', 'HALF CELL', 'MONOFACIAL', -0.29, -0.23, 0.05, 0),</v>
      </c>
    </row>
    <row r="120" spans="1:22">
      <c r="A120" s="14" t="s">
        <v>511</v>
      </c>
      <c r="B120" s="3" t="s">
        <v>214</v>
      </c>
      <c r="C120" s="3" t="s">
        <v>107</v>
      </c>
      <c r="D120" s="3" t="s">
        <v>108</v>
      </c>
      <c r="E120" s="3">
        <v>2278</v>
      </c>
      <c r="F120" s="3">
        <v>1134</v>
      </c>
      <c r="G120" s="3">
        <v>30</v>
      </c>
      <c r="H120" s="3">
        <v>27.2</v>
      </c>
      <c r="I120" s="3">
        <v>570</v>
      </c>
      <c r="J120" s="3">
        <v>51.91</v>
      </c>
      <c r="K120" s="3">
        <v>43.76</v>
      </c>
      <c r="L120" s="3">
        <v>14.07</v>
      </c>
      <c r="M120" s="3">
        <v>13.03</v>
      </c>
      <c r="N120" s="3">
        <v>-0.28999999999999998</v>
      </c>
      <c r="O120" s="93">
        <v>-0.23</v>
      </c>
      <c r="P120" s="4">
        <v>0.05</v>
      </c>
      <c r="R120" t="str">
        <f t="shared" si="6"/>
        <v>11</v>
      </c>
      <c r="S120" t="s">
        <v>109</v>
      </c>
      <c r="T120">
        <v>0</v>
      </c>
      <c r="V120" t="str">
        <f t="shared" si="7"/>
        <v>('LR5-72HTH-570M', 11, 2278, 1134, 30, 27.2, 570, 43.76, 13.03, 51.91, 14.07, 'MONOCRISTALINO', 'HALF CELL', 'MONOFACIAL', -0.29, -0.23, 0.05, 0),</v>
      </c>
    </row>
    <row r="121" spans="1:22">
      <c r="A121" s="14" t="s">
        <v>512</v>
      </c>
      <c r="B121" s="3" t="s">
        <v>214</v>
      </c>
      <c r="C121" s="3" t="s">
        <v>107</v>
      </c>
      <c r="D121" s="3" t="s">
        <v>108</v>
      </c>
      <c r="E121" s="3">
        <v>2278</v>
      </c>
      <c r="F121" s="3">
        <v>1134</v>
      </c>
      <c r="G121" s="3">
        <v>30</v>
      </c>
      <c r="H121" s="3">
        <v>27.2</v>
      </c>
      <c r="I121" s="3">
        <v>575</v>
      </c>
      <c r="J121" s="3">
        <v>52.06</v>
      </c>
      <c r="K121" s="3">
        <v>43.91</v>
      </c>
      <c r="L121" s="3">
        <v>14.14</v>
      </c>
      <c r="M121" s="3">
        <v>13.1</v>
      </c>
      <c r="N121" s="3">
        <v>-0.28999999999999998</v>
      </c>
      <c r="O121" s="93">
        <v>-0.23</v>
      </c>
      <c r="P121" s="4">
        <v>0.05</v>
      </c>
      <c r="R121" t="str">
        <f t="shared" si="6"/>
        <v>11</v>
      </c>
      <c r="S121" t="s">
        <v>109</v>
      </c>
      <c r="T121">
        <v>0</v>
      </c>
      <c r="V121" t="str">
        <f t="shared" si="7"/>
        <v>('LR5-72HTH-575M', 11, 2278, 1134, 30, 27.2, 575, 43.91, 13.1, 52.06, 14.14, 'MONOCRISTALINO', 'HALF CELL', 'MONOFACIAL', -0.29, -0.23, 0.05, 0),</v>
      </c>
    </row>
    <row r="122" spans="1:22">
      <c r="A122" s="14" t="s">
        <v>514</v>
      </c>
      <c r="B122" s="3" t="s">
        <v>214</v>
      </c>
      <c r="C122" s="3" t="s">
        <v>107</v>
      </c>
      <c r="D122" s="3" t="s">
        <v>108</v>
      </c>
      <c r="E122" s="3">
        <v>2278</v>
      </c>
      <c r="F122" s="3">
        <v>1134</v>
      </c>
      <c r="G122" s="3">
        <v>30</v>
      </c>
      <c r="H122" s="3">
        <v>27.2</v>
      </c>
      <c r="I122" s="3">
        <v>580</v>
      </c>
      <c r="J122" s="3">
        <v>52.21</v>
      </c>
      <c r="K122" s="3">
        <v>44.06</v>
      </c>
      <c r="L122" s="3">
        <v>14.2</v>
      </c>
      <c r="M122" s="3">
        <v>13.17</v>
      </c>
      <c r="N122" s="3">
        <v>-0.28999999999999998</v>
      </c>
      <c r="O122" s="93">
        <v>-0.23</v>
      </c>
      <c r="P122" s="4">
        <v>0.05</v>
      </c>
      <c r="R122" t="str">
        <f t="shared" si="6"/>
        <v>11</v>
      </c>
      <c r="S122" t="s">
        <v>109</v>
      </c>
      <c r="T122">
        <v>0</v>
      </c>
      <c r="V122" t="str">
        <f t="shared" si="7"/>
        <v>('LR5-72HTH-580M', 11, 2278, 1134, 30, 27.2, 580, 44.06, 13.17, 52.21, 14.2, 'MONOCRISTALINO', 'HALF CELL', 'MONOFACIAL', -0.29, -0.23, 0.05, 0),</v>
      </c>
    </row>
    <row r="123" spans="1:22">
      <c r="A123" s="14" t="s">
        <v>513</v>
      </c>
      <c r="B123" s="3" t="s">
        <v>214</v>
      </c>
      <c r="C123" s="3" t="s">
        <v>107</v>
      </c>
      <c r="D123" s="3" t="s">
        <v>108</v>
      </c>
      <c r="E123" s="3">
        <v>2278</v>
      </c>
      <c r="F123" s="3">
        <v>1134</v>
      </c>
      <c r="G123" s="3">
        <v>30</v>
      </c>
      <c r="H123" s="3">
        <v>27.2</v>
      </c>
      <c r="I123" s="3">
        <v>585</v>
      </c>
      <c r="J123" s="3">
        <v>52.36</v>
      </c>
      <c r="K123" s="3">
        <v>44.21</v>
      </c>
      <c r="L123" s="3">
        <v>14.27</v>
      </c>
      <c r="M123" s="3">
        <v>13.24</v>
      </c>
      <c r="N123" s="3">
        <v>-0.28999999999999998</v>
      </c>
      <c r="O123" s="93">
        <v>-0.23</v>
      </c>
      <c r="P123" s="4">
        <v>0.05</v>
      </c>
      <c r="R123" t="str">
        <f t="shared" si="6"/>
        <v>11</v>
      </c>
      <c r="S123" t="s">
        <v>109</v>
      </c>
      <c r="T123">
        <v>1</v>
      </c>
      <c r="V123" t="str">
        <f t="shared" si="7"/>
        <v>('LR5-72HTH-585M', 11, 2278, 1134, 30, 27.2, 585, 44.21, 13.24, 52.36, 14.27, 'MONOCRISTALINO', 'HALF CELL', 'MONOFACIAL', -0.29, -0.23, 0.05, 1),</v>
      </c>
    </row>
    <row r="124" spans="1:22">
      <c r="R124" t="str">
        <f t="shared" si="6"/>
        <v>NÃO CADASTRADO</v>
      </c>
      <c r="V124" t="str">
        <f t="shared" si="7"/>
        <v>('', NÃO CADASTRADO, , , , , , , , , , '', '', '', , , , ),</v>
      </c>
    </row>
    <row r="125" spans="1:22">
      <c r="R125" t="str">
        <f t="shared" si="6"/>
        <v>NÃO CADASTRADO</v>
      </c>
      <c r="V125" t="str">
        <f t="shared" si="7"/>
        <v>('', NÃO CADASTRADO, , , , , , , , , , '', '', '', , , , ),</v>
      </c>
    </row>
    <row r="126" spans="1:22">
      <c r="R126" t="str">
        <f t="shared" si="6"/>
        <v>NÃO CADASTRADO</v>
      </c>
      <c r="V126" t="str">
        <f t="shared" si="7"/>
        <v>('', NÃO CADASTRADO, , , , , , , , , , '', '', '', , , , ),</v>
      </c>
    </row>
    <row r="127" spans="1:22">
      <c r="R127" t="str">
        <f t="shared" si="6"/>
        <v>NÃO CADASTRADO</v>
      </c>
      <c r="V127" t="str">
        <f t="shared" si="7"/>
        <v>('', NÃO CADASTRADO, , , , , , , , , , '', '', '', , , , ),</v>
      </c>
    </row>
    <row r="128" spans="1:22">
      <c r="R128" t="str">
        <f t="shared" si="6"/>
        <v>NÃO CADASTRADO</v>
      </c>
      <c r="V128" t="str">
        <f t="shared" si="7"/>
        <v>('', NÃO CADASTRADO, , , , , , , , , , '', '', '', , , , ),</v>
      </c>
    </row>
    <row r="129" spans="18:22">
      <c r="R129" t="str">
        <f t="shared" si="6"/>
        <v>NÃO CADASTRADO</v>
      </c>
      <c r="V129" t="str">
        <f t="shared" si="7"/>
        <v>('', NÃO CADASTRADO, , , , , , , , , , '', '', '', , , , ),</v>
      </c>
    </row>
    <row r="130" spans="18:22">
      <c r="R130" t="str">
        <f t="shared" si="6"/>
        <v>NÃO CADASTRADO</v>
      </c>
      <c r="V130" t="str">
        <f t="shared" si="7"/>
        <v>('', NÃO CADASTRADO, , , , , , , , , , '', '', '', , , , ),</v>
      </c>
    </row>
    <row r="131" spans="18:22">
      <c r="R131" t="str">
        <f t="shared" ref="R131:R162" si="8">IF(B131="WEG","1",IF(B131="HUAWEI","2",IF(B131="FOX ESS","3",IF(B131="GOODWE","4",IF(B131="PHB","5",IF(B131="ASTRONERGY","6",IF(B131="BYD","7",IF(B131="HUASUN","8",IF(B131="JA SOLAR","9",IF(B131="JINKO","10",IF(B131="LONGI","11",IF(B131="RISEN","12",IF(B131="SUNOVA","13",IF(B131="TALESUN","14",IF(B131="TRINA SOLAR","15","NÃO CADASTRADO")))))))))))))))</f>
        <v>NÃO CADASTRADO</v>
      </c>
      <c r="V131" t="str">
        <f t="shared" ref="V131:V162" si="9">_xlfn.CONCAT("('",A131,"', ",R131,", ",E131,", ",F131,", ",G131,", ",SUBSTITUTE(H131,",","."),", ",I131,", ",SUBSTITUTE(K131,",","."),", ",SUBSTITUTE(M131,",","."),", ",SUBSTITUTE(J131,",","."),", ",SUBSTITUTE(L131,",","."),", '",D131,"', '",S131,"', '",C131,"', ",SUBSTITUTE(N131,",","."),", ",SUBSTITUTE(O131,",","."),", ",SUBSTITUTE(P131,",","."),", ",T131,"),")</f>
        <v>('', NÃO CADASTRADO, , , , , , , , , , '', '', '', , , , ),</v>
      </c>
    </row>
    <row r="132" spans="18:22">
      <c r="R132" t="str">
        <f t="shared" si="8"/>
        <v>NÃO CADASTRADO</v>
      </c>
      <c r="V132" t="str">
        <f t="shared" si="9"/>
        <v>('', NÃO CADASTRADO, , , , , , , , , , '', '', '', , , , ),</v>
      </c>
    </row>
    <row r="133" spans="18:22">
      <c r="R133" t="str">
        <f t="shared" si="8"/>
        <v>NÃO CADASTRADO</v>
      </c>
      <c r="V133" t="str">
        <f t="shared" si="9"/>
        <v>('', NÃO CADASTRADO, , , , , , , , , , '', '', '', , , , ),</v>
      </c>
    </row>
    <row r="134" spans="18:22">
      <c r="R134" t="str">
        <f t="shared" si="8"/>
        <v>NÃO CADASTRADO</v>
      </c>
      <c r="V134" t="str">
        <f t="shared" si="9"/>
        <v>('', NÃO CADASTRADO, , , , , , , , , , '', '', '', , , , ),</v>
      </c>
    </row>
    <row r="135" spans="18:22">
      <c r="R135" t="str">
        <f t="shared" si="8"/>
        <v>NÃO CADASTRADO</v>
      </c>
      <c r="V135" t="str">
        <f t="shared" si="9"/>
        <v>('', NÃO CADASTRADO, , , , , , , , , , '', '', '', , , , ),</v>
      </c>
    </row>
    <row r="136" spans="18:22">
      <c r="R136" t="str">
        <f t="shared" si="8"/>
        <v>NÃO CADASTRADO</v>
      </c>
      <c r="V136" t="str">
        <f t="shared" si="9"/>
        <v>('', NÃO CADASTRADO, , , , , , , , , , '', '', '', , , , ),</v>
      </c>
    </row>
    <row r="137" spans="18:22">
      <c r="R137" t="str">
        <f t="shared" si="8"/>
        <v>NÃO CADASTRADO</v>
      </c>
      <c r="V137" t="str">
        <f t="shared" si="9"/>
        <v>('', NÃO CADASTRADO, , , , , , , , , , '', '', '', , , , ),</v>
      </c>
    </row>
    <row r="138" spans="18:22">
      <c r="R138" t="str">
        <f t="shared" si="8"/>
        <v>NÃO CADASTRADO</v>
      </c>
      <c r="V138" t="str">
        <f t="shared" si="9"/>
        <v>('', NÃO CADASTRADO, , , , , , , , , , '', '', '', , , , ),</v>
      </c>
    </row>
    <row r="139" spans="18:22">
      <c r="R139" t="str">
        <f t="shared" si="8"/>
        <v>NÃO CADASTRADO</v>
      </c>
      <c r="V139" t="str">
        <f t="shared" si="9"/>
        <v>('', NÃO CADASTRADO, , , , , , , , , , '', '', '', , , , ),</v>
      </c>
    </row>
    <row r="140" spans="18:22">
      <c r="R140" t="str">
        <f t="shared" si="8"/>
        <v>NÃO CADASTRADO</v>
      </c>
      <c r="V140" t="str">
        <f t="shared" si="9"/>
        <v>('', NÃO CADASTRADO, , , , , , , , , , '', '', '', , , , ),</v>
      </c>
    </row>
    <row r="141" spans="18:22">
      <c r="R141" t="str">
        <f t="shared" si="8"/>
        <v>NÃO CADASTRADO</v>
      </c>
      <c r="V141" t="str">
        <f t="shared" si="9"/>
        <v>('', NÃO CADASTRADO, , , , , , , , , , '', '', '', , , , ),</v>
      </c>
    </row>
    <row r="142" spans="18:22">
      <c r="R142" t="str">
        <f t="shared" si="8"/>
        <v>NÃO CADASTRADO</v>
      </c>
      <c r="V142" t="str">
        <f t="shared" si="9"/>
        <v>('', NÃO CADASTRADO, , , , , , , , , , '', '', '', , , , ),</v>
      </c>
    </row>
    <row r="143" spans="18:22">
      <c r="R143" t="str">
        <f t="shared" si="8"/>
        <v>NÃO CADASTRADO</v>
      </c>
      <c r="V143" t="str">
        <f t="shared" si="9"/>
        <v>('', NÃO CADASTRADO, , , , , , , , , , '', '', '', , , , ),</v>
      </c>
    </row>
    <row r="144" spans="18:22">
      <c r="R144" t="str">
        <f t="shared" si="8"/>
        <v>NÃO CADASTRADO</v>
      </c>
      <c r="V144" t="str">
        <f t="shared" si="9"/>
        <v>('', NÃO CADASTRADO, , , , , , , , , , '', '', '', , , , ),</v>
      </c>
    </row>
    <row r="145" spans="18:22">
      <c r="R145" t="str">
        <f t="shared" si="8"/>
        <v>NÃO CADASTRADO</v>
      </c>
      <c r="V145" t="str">
        <f t="shared" si="9"/>
        <v>('', NÃO CADASTRADO, , , , , , , , , , '', '', '', , , , ),</v>
      </c>
    </row>
    <row r="146" spans="18:22">
      <c r="R146" t="str">
        <f t="shared" si="8"/>
        <v>NÃO CADASTRADO</v>
      </c>
      <c r="V146" t="str">
        <f t="shared" si="9"/>
        <v>('', NÃO CADASTRADO, , , , , , , , , , '', '', '', , , , ),</v>
      </c>
    </row>
    <row r="147" spans="18:22">
      <c r="R147" t="str">
        <f t="shared" si="8"/>
        <v>NÃO CADASTRADO</v>
      </c>
      <c r="V147" t="str">
        <f t="shared" si="9"/>
        <v>('', NÃO CADASTRADO, , , , , , , , , , '', '', '', , , , ),</v>
      </c>
    </row>
    <row r="148" spans="18:22">
      <c r="R148" t="str">
        <f t="shared" si="8"/>
        <v>NÃO CADASTRADO</v>
      </c>
      <c r="V148" t="str">
        <f t="shared" si="9"/>
        <v>('', NÃO CADASTRADO, , , , , , , , , , '', '', '', , , , ),</v>
      </c>
    </row>
    <row r="149" spans="18:22">
      <c r="R149" t="str">
        <f t="shared" si="8"/>
        <v>NÃO CADASTRADO</v>
      </c>
      <c r="V149" t="str">
        <f t="shared" si="9"/>
        <v>('', NÃO CADASTRADO, , , , , , , , , , '', '', '', , , , ),</v>
      </c>
    </row>
    <row r="150" spans="18:22">
      <c r="R150" t="str">
        <f t="shared" si="8"/>
        <v>NÃO CADASTRADO</v>
      </c>
      <c r="V150" t="str">
        <f t="shared" si="9"/>
        <v>('', NÃO CADASTRADO, , , , , , , , , , '', '', '', , , , ),</v>
      </c>
    </row>
    <row r="151" spans="18:22">
      <c r="R151" t="str">
        <f t="shared" si="8"/>
        <v>NÃO CADASTRADO</v>
      </c>
      <c r="V151" t="str">
        <f t="shared" si="9"/>
        <v>('', NÃO CADASTRADO, , , , , , , , , , '', '', '', , , , ),</v>
      </c>
    </row>
    <row r="152" spans="18:22">
      <c r="R152" t="str">
        <f t="shared" si="8"/>
        <v>NÃO CADASTRADO</v>
      </c>
      <c r="V152" t="str">
        <f t="shared" si="9"/>
        <v>('', NÃO CADASTRADO, , , , , , , , , , '', '', '', , , , ),</v>
      </c>
    </row>
    <row r="153" spans="18:22">
      <c r="R153" t="str">
        <f t="shared" si="8"/>
        <v>NÃO CADASTRADO</v>
      </c>
      <c r="V153" t="str">
        <f t="shared" si="9"/>
        <v>('', NÃO CADASTRADO, , , , , , , , , , '', '', '', , , , ),</v>
      </c>
    </row>
    <row r="154" spans="18:22">
      <c r="R154" t="str">
        <f t="shared" si="8"/>
        <v>NÃO CADASTRADO</v>
      </c>
      <c r="V154" t="str">
        <f t="shared" si="9"/>
        <v>('', NÃO CADASTRADO, , , , , , , , , , '', '', '', , , , ),</v>
      </c>
    </row>
    <row r="155" spans="18:22">
      <c r="R155" t="str">
        <f t="shared" si="8"/>
        <v>NÃO CADASTRADO</v>
      </c>
      <c r="V155" t="str">
        <f t="shared" si="9"/>
        <v>('', NÃO CADASTRADO, , , , , , , , , , '', '', '', , , , ),</v>
      </c>
    </row>
    <row r="156" spans="18:22">
      <c r="R156" t="str">
        <f t="shared" si="8"/>
        <v>NÃO CADASTRADO</v>
      </c>
      <c r="V156" t="str">
        <f t="shared" si="9"/>
        <v>('', NÃO CADASTRADO, , , , , , , , , , '', '', '', , , , ),</v>
      </c>
    </row>
    <row r="157" spans="18:22">
      <c r="R157" t="str">
        <f t="shared" si="8"/>
        <v>NÃO CADASTRADO</v>
      </c>
      <c r="V157" t="str">
        <f t="shared" si="9"/>
        <v>('', NÃO CADASTRADO, , , , , , , , , , '', '', '', , , , ),</v>
      </c>
    </row>
    <row r="158" spans="18:22">
      <c r="R158" t="str">
        <f t="shared" si="8"/>
        <v>NÃO CADASTRADO</v>
      </c>
      <c r="V158" t="str">
        <f t="shared" si="9"/>
        <v>('', NÃO CADASTRADO, , , , , , , , , , '', '', '', , , , ),</v>
      </c>
    </row>
    <row r="159" spans="18:22">
      <c r="R159" t="str">
        <f t="shared" si="8"/>
        <v>NÃO CADASTRADO</v>
      </c>
      <c r="V159" t="str">
        <f t="shared" si="9"/>
        <v>('', NÃO CADASTRADO, , , , , , , , , , '', '', '', , , , ),</v>
      </c>
    </row>
    <row r="160" spans="18:22">
      <c r="R160" t="str">
        <f t="shared" si="8"/>
        <v>NÃO CADASTRADO</v>
      </c>
      <c r="V160" t="str">
        <f t="shared" si="9"/>
        <v>('', NÃO CADASTRADO, , , , , , , , , , '', '', '', , , , ),</v>
      </c>
    </row>
    <row r="161" spans="18:22">
      <c r="R161" t="str">
        <f t="shared" si="8"/>
        <v>NÃO CADASTRADO</v>
      </c>
      <c r="V161" t="str">
        <f t="shared" si="9"/>
        <v>('', NÃO CADASTRADO, , , , , , , , , , '', '', '', , , , ),</v>
      </c>
    </row>
    <row r="162" spans="18:22">
      <c r="R162" t="str">
        <f t="shared" si="8"/>
        <v>NÃO CADASTRADO</v>
      </c>
      <c r="V162" t="str">
        <f t="shared" si="9"/>
        <v>('', NÃO CADASTRADO, , , , , , , , , , '', '', '', , , , ),</v>
      </c>
    </row>
    <row r="163" spans="18:22">
      <c r="R163" t="str">
        <f t="shared" ref="R163:R200" si="10">IF(B163="WEG","1",IF(B163="HUAWEI","2",IF(B163="FOX ESS","3",IF(B163="GOODWE","4",IF(B163="PHB","5",IF(B163="ASTRONERGY","6",IF(B163="BYD","7",IF(B163="HUASUN","8",IF(B163="JA SOLAR","9",IF(B163="JINKO","10",IF(B163="LONGI","11",IF(B163="RISEN","12",IF(B163="SUNOVA","13",IF(B163="TALESUN","14",IF(B163="TRINA SOLAR","15","NÃO CADASTRADO")))))))))))))))</f>
        <v>NÃO CADASTRADO</v>
      </c>
      <c r="V163" t="str">
        <f t="shared" ref="V163:V200" si="11">_xlfn.CONCAT("('",A163,"', ",R163,", ",E163,", ",F163,", ",G163,", ",SUBSTITUTE(H163,",","."),", ",I163,", ",SUBSTITUTE(K163,",","."),", ",SUBSTITUTE(M163,",","."),", ",SUBSTITUTE(J163,",","."),", ",SUBSTITUTE(L163,",","."),", '",D163,"', '",S163,"', '",C163,"', ",SUBSTITUTE(N163,",","."),", ",SUBSTITUTE(O163,",","."),", ",SUBSTITUTE(P163,",","."),", ",T163,"),")</f>
        <v>('', NÃO CADASTRADO, , , , , , , , , , '', '', '', , , , ),</v>
      </c>
    </row>
    <row r="164" spans="18:22">
      <c r="R164" t="str">
        <f t="shared" si="10"/>
        <v>NÃO CADASTRADO</v>
      </c>
      <c r="V164" t="str">
        <f t="shared" si="11"/>
        <v>('', NÃO CADASTRADO, , , , , , , , , , '', '', '', , , , ),</v>
      </c>
    </row>
    <row r="165" spans="18:22">
      <c r="R165" t="str">
        <f t="shared" si="10"/>
        <v>NÃO CADASTRADO</v>
      </c>
      <c r="V165" t="str">
        <f t="shared" si="11"/>
        <v>('', NÃO CADASTRADO, , , , , , , , , , '', '', '', , , , ),</v>
      </c>
    </row>
    <row r="166" spans="18:22">
      <c r="R166" t="str">
        <f t="shared" si="10"/>
        <v>NÃO CADASTRADO</v>
      </c>
      <c r="V166" t="str">
        <f t="shared" si="11"/>
        <v>('', NÃO CADASTRADO, , , , , , , , , , '', '', '', , , , ),</v>
      </c>
    </row>
    <row r="167" spans="18:22">
      <c r="R167" t="str">
        <f t="shared" si="10"/>
        <v>NÃO CADASTRADO</v>
      </c>
      <c r="V167" t="str">
        <f t="shared" si="11"/>
        <v>('', NÃO CADASTRADO, , , , , , , , , , '', '', '', , , , ),</v>
      </c>
    </row>
    <row r="168" spans="18:22">
      <c r="R168" t="str">
        <f t="shared" si="10"/>
        <v>NÃO CADASTRADO</v>
      </c>
      <c r="V168" t="str">
        <f t="shared" si="11"/>
        <v>('', NÃO CADASTRADO, , , , , , , , , , '', '', '', , , , ),</v>
      </c>
    </row>
    <row r="169" spans="18:22">
      <c r="R169" t="str">
        <f t="shared" si="10"/>
        <v>NÃO CADASTRADO</v>
      </c>
      <c r="V169" t="str">
        <f t="shared" si="11"/>
        <v>('', NÃO CADASTRADO, , , , , , , , , , '', '', '', , , , ),</v>
      </c>
    </row>
    <row r="170" spans="18:22">
      <c r="R170" t="str">
        <f t="shared" si="10"/>
        <v>NÃO CADASTRADO</v>
      </c>
      <c r="V170" t="str">
        <f t="shared" si="11"/>
        <v>('', NÃO CADASTRADO, , , , , , , , , , '', '', '', , , , ),</v>
      </c>
    </row>
    <row r="171" spans="18:22">
      <c r="R171" t="str">
        <f t="shared" si="10"/>
        <v>NÃO CADASTRADO</v>
      </c>
      <c r="V171" t="str">
        <f t="shared" si="11"/>
        <v>('', NÃO CADASTRADO, , , , , , , , , , '', '', '', , , , ),</v>
      </c>
    </row>
    <row r="172" spans="18:22">
      <c r="R172" t="str">
        <f t="shared" si="10"/>
        <v>NÃO CADASTRADO</v>
      </c>
      <c r="V172" t="str">
        <f t="shared" si="11"/>
        <v>('', NÃO CADASTRADO, , , , , , , , , , '', '', '', , , , ),</v>
      </c>
    </row>
    <row r="173" spans="18:22">
      <c r="R173" t="str">
        <f t="shared" si="10"/>
        <v>NÃO CADASTRADO</v>
      </c>
      <c r="V173" t="str">
        <f t="shared" si="11"/>
        <v>('', NÃO CADASTRADO, , , , , , , , , , '', '', '', , , , ),</v>
      </c>
    </row>
    <row r="174" spans="18:22">
      <c r="R174" t="str">
        <f t="shared" si="10"/>
        <v>NÃO CADASTRADO</v>
      </c>
      <c r="V174" t="str">
        <f t="shared" si="11"/>
        <v>('', NÃO CADASTRADO, , , , , , , , , , '', '', '', , , , ),</v>
      </c>
    </row>
    <row r="175" spans="18:22">
      <c r="R175" t="str">
        <f t="shared" si="10"/>
        <v>NÃO CADASTRADO</v>
      </c>
      <c r="V175" t="str">
        <f t="shared" si="11"/>
        <v>('', NÃO CADASTRADO, , , , , , , , , , '', '', '', , , , ),</v>
      </c>
    </row>
    <row r="176" spans="18:22">
      <c r="R176" t="str">
        <f t="shared" si="10"/>
        <v>NÃO CADASTRADO</v>
      </c>
      <c r="V176" t="str">
        <f t="shared" si="11"/>
        <v>('', NÃO CADASTRADO, , , , , , , , , , '', '', '', , , , ),</v>
      </c>
    </row>
    <row r="177" spans="18:22">
      <c r="R177" t="str">
        <f t="shared" si="10"/>
        <v>NÃO CADASTRADO</v>
      </c>
      <c r="V177" t="str">
        <f t="shared" si="11"/>
        <v>('', NÃO CADASTRADO, , , , , , , , , , '', '', '', , , , ),</v>
      </c>
    </row>
    <row r="178" spans="18:22">
      <c r="R178" t="str">
        <f t="shared" si="10"/>
        <v>NÃO CADASTRADO</v>
      </c>
      <c r="V178" t="str">
        <f t="shared" si="11"/>
        <v>('', NÃO CADASTRADO, , , , , , , , , , '', '', '', , , , ),</v>
      </c>
    </row>
    <row r="179" spans="18:22">
      <c r="R179" t="str">
        <f t="shared" si="10"/>
        <v>NÃO CADASTRADO</v>
      </c>
      <c r="V179" t="str">
        <f t="shared" si="11"/>
        <v>('', NÃO CADASTRADO, , , , , , , , , , '', '', '', , , , ),</v>
      </c>
    </row>
    <row r="180" spans="18:22">
      <c r="R180" t="str">
        <f t="shared" si="10"/>
        <v>NÃO CADASTRADO</v>
      </c>
      <c r="V180" t="str">
        <f t="shared" si="11"/>
        <v>('', NÃO CADASTRADO, , , , , , , , , , '', '', '', , , , ),</v>
      </c>
    </row>
    <row r="181" spans="18:22">
      <c r="R181" t="str">
        <f t="shared" si="10"/>
        <v>NÃO CADASTRADO</v>
      </c>
      <c r="V181" t="str">
        <f t="shared" si="11"/>
        <v>('', NÃO CADASTRADO, , , , , , , , , , '', '', '', , , , ),</v>
      </c>
    </row>
    <row r="182" spans="18:22">
      <c r="R182" t="str">
        <f t="shared" si="10"/>
        <v>NÃO CADASTRADO</v>
      </c>
      <c r="V182" t="str">
        <f t="shared" si="11"/>
        <v>('', NÃO CADASTRADO, , , , , , , , , , '', '', '', , , , ),</v>
      </c>
    </row>
    <row r="183" spans="18:22">
      <c r="R183" t="str">
        <f t="shared" si="10"/>
        <v>NÃO CADASTRADO</v>
      </c>
      <c r="V183" t="str">
        <f t="shared" si="11"/>
        <v>('', NÃO CADASTRADO, , , , , , , , , , '', '', '', , , , ),</v>
      </c>
    </row>
    <row r="184" spans="18:22">
      <c r="R184" t="str">
        <f t="shared" si="10"/>
        <v>NÃO CADASTRADO</v>
      </c>
      <c r="V184" t="str">
        <f t="shared" si="11"/>
        <v>('', NÃO CADASTRADO, , , , , , , , , , '', '', '', , , , ),</v>
      </c>
    </row>
    <row r="185" spans="18:22">
      <c r="R185" t="str">
        <f t="shared" si="10"/>
        <v>NÃO CADASTRADO</v>
      </c>
      <c r="V185" t="str">
        <f t="shared" si="11"/>
        <v>('', NÃO CADASTRADO, , , , , , , , , , '', '', '', , , , ),</v>
      </c>
    </row>
    <row r="186" spans="18:22">
      <c r="R186" t="str">
        <f t="shared" si="10"/>
        <v>NÃO CADASTRADO</v>
      </c>
      <c r="V186" t="str">
        <f t="shared" si="11"/>
        <v>('', NÃO CADASTRADO, , , , , , , , , , '', '', '', , , , ),</v>
      </c>
    </row>
    <row r="187" spans="18:22">
      <c r="R187" t="str">
        <f t="shared" si="10"/>
        <v>NÃO CADASTRADO</v>
      </c>
      <c r="V187" t="str">
        <f t="shared" si="11"/>
        <v>('', NÃO CADASTRADO, , , , , , , , , , '', '', '', , , , ),</v>
      </c>
    </row>
    <row r="188" spans="18:22">
      <c r="R188" t="str">
        <f t="shared" si="10"/>
        <v>NÃO CADASTRADO</v>
      </c>
      <c r="V188" t="str">
        <f t="shared" si="11"/>
        <v>('', NÃO CADASTRADO, , , , , , , , , , '', '', '', , , , ),</v>
      </c>
    </row>
    <row r="189" spans="18:22">
      <c r="R189" t="str">
        <f t="shared" si="10"/>
        <v>NÃO CADASTRADO</v>
      </c>
      <c r="V189" t="str">
        <f t="shared" si="11"/>
        <v>('', NÃO CADASTRADO, , , , , , , , , , '', '', '', , , , ),</v>
      </c>
    </row>
    <row r="190" spans="18:22">
      <c r="R190" t="str">
        <f t="shared" si="10"/>
        <v>NÃO CADASTRADO</v>
      </c>
      <c r="V190" t="str">
        <f t="shared" si="11"/>
        <v>('', NÃO CADASTRADO, , , , , , , , , , '', '', '', , , , ),</v>
      </c>
    </row>
    <row r="191" spans="18:22">
      <c r="R191" t="str">
        <f t="shared" si="10"/>
        <v>NÃO CADASTRADO</v>
      </c>
      <c r="V191" t="str">
        <f t="shared" si="11"/>
        <v>('', NÃO CADASTRADO, , , , , , , , , , '', '', '', , , , ),</v>
      </c>
    </row>
    <row r="192" spans="18:22">
      <c r="R192" t="str">
        <f t="shared" si="10"/>
        <v>NÃO CADASTRADO</v>
      </c>
      <c r="V192" t="str">
        <f t="shared" si="11"/>
        <v>('', NÃO CADASTRADO, , , , , , , , , , '', '', '', , , , ),</v>
      </c>
    </row>
    <row r="193" spans="18:22">
      <c r="R193" t="str">
        <f t="shared" si="10"/>
        <v>NÃO CADASTRADO</v>
      </c>
      <c r="V193" t="str">
        <f t="shared" si="11"/>
        <v>('', NÃO CADASTRADO, , , , , , , , , , '', '', '', , , , ),</v>
      </c>
    </row>
    <row r="194" spans="18:22">
      <c r="R194" t="str">
        <f t="shared" si="10"/>
        <v>NÃO CADASTRADO</v>
      </c>
      <c r="V194" t="str">
        <f t="shared" si="11"/>
        <v>('', NÃO CADASTRADO, , , , , , , , , , '', '', '', , , , ),</v>
      </c>
    </row>
    <row r="195" spans="18:22">
      <c r="R195" t="str">
        <f t="shared" si="10"/>
        <v>NÃO CADASTRADO</v>
      </c>
      <c r="V195" t="str">
        <f t="shared" si="11"/>
        <v>('', NÃO CADASTRADO, , , , , , , , , , '', '', '', , , , ),</v>
      </c>
    </row>
    <row r="196" spans="18:22">
      <c r="R196" t="str">
        <f t="shared" si="10"/>
        <v>NÃO CADASTRADO</v>
      </c>
      <c r="V196" t="str">
        <f t="shared" si="11"/>
        <v>('', NÃO CADASTRADO, , , , , , , , , , '', '', '', , , , ),</v>
      </c>
    </row>
    <row r="197" spans="18:22">
      <c r="R197" t="str">
        <f t="shared" si="10"/>
        <v>NÃO CADASTRADO</v>
      </c>
      <c r="V197" t="str">
        <f t="shared" si="11"/>
        <v>('', NÃO CADASTRADO, , , , , , , , , , '', '', '', , , , ),</v>
      </c>
    </row>
    <row r="198" spans="18:22">
      <c r="R198" t="str">
        <f t="shared" si="10"/>
        <v>NÃO CADASTRADO</v>
      </c>
      <c r="V198" t="str">
        <f t="shared" si="11"/>
        <v>('', NÃO CADASTRADO, , , , , , , , , , '', '', '', , , , ),</v>
      </c>
    </row>
    <row r="199" spans="18:22">
      <c r="R199" t="str">
        <f t="shared" si="10"/>
        <v>NÃO CADASTRADO</v>
      </c>
      <c r="V199" t="str">
        <f t="shared" si="11"/>
        <v>('', NÃO CADASTRADO, , , , , , , , , , '', '', '', , , , ),</v>
      </c>
    </row>
    <row r="200" spans="18:22">
      <c r="R200" t="str">
        <f t="shared" si="10"/>
        <v>NÃO CADASTRADO</v>
      </c>
      <c r="V200" t="str">
        <f t="shared" si="11"/>
        <v>('', NÃO CADASTRADO, , , , , , , , , , '', '', '', , , , ),</v>
      </c>
    </row>
  </sheetData>
  <autoFilter ref="A1:P113" xr:uid="{00000000-0009-0000-0000-000003000000}"/>
  <phoneticPr fontId="10" type="noConversion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235"/>
  <sheetViews>
    <sheetView topLeftCell="A109" workbookViewId="0">
      <pane xSplit="1" topLeftCell="K1" activePane="topRight" state="frozen"/>
      <selection pane="topRight" activeCell="Z125" sqref="Z125"/>
    </sheetView>
  </sheetViews>
  <sheetFormatPr defaultColWidth="9" defaultRowHeight="15"/>
  <cols>
    <col min="1" max="1" width="21.42578125" style="2" customWidth="1"/>
    <col min="2" max="2" width="15.28515625" style="3" customWidth="1"/>
    <col min="3" max="3" width="12.5703125" style="3" customWidth="1"/>
    <col min="4" max="4" width="9.28515625" style="3" customWidth="1"/>
    <col min="5" max="5" width="9.5703125" style="3" customWidth="1"/>
    <col min="6" max="6" width="8" style="3" customWidth="1"/>
    <col min="7" max="7" width="23" style="3" customWidth="1"/>
    <col min="8" max="8" width="5.42578125" style="3" customWidth="1"/>
    <col min="9" max="9" width="6.7109375" style="3" customWidth="1"/>
    <col min="10" max="10" width="8" style="3" customWidth="1"/>
    <col min="11" max="11" width="4.7109375" style="3" customWidth="1"/>
    <col min="12" max="12" width="5.140625" style="3" customWidth="1"/>
    <col min="13" max="13" width="12.42578125" style="3" customWidth="1"/>
    <col min="14" max="14" width="13" style="3" customWidth="1"/>
    <col min="15" max="15" width="8.42578125" style="3" customWidth="1"/>
    <col min="16" max="16" width="8.85546875" style="3" customWidth="1"/>
    <col min="17" max="17" width="21.28515625" style="3" customWidth="1"/>
    <col min="18" max="18" width="21.140625" style="3" customWidth="1"/>
    <col min="19" max="19" width="21.28515625" style="3" customWidth="1"/>
    <col min="20" max="20" width="20.5703125" style="3" customWidth="1"/>
    <col min="21" max="21" width="19.140625" style="3" customWidth="1"/>
    <col min="22" max="22" width="19.42578125" style="3" customWidth="1"/>
    <col min="23" max="23" width="13" style="3" customWidth="1"/>
    <col min="24" max="24" width="16.140625" style="3" customWidth="1"/>
    <col min="25" max="25" width="17.28515625" style="3" customWidth="1"/>
    <col min="26" max="26" width="21.85546875" style="3" customWidth="1"/>
    <col min="27" max="28" width="14.7109375" style="3" customWidth="1"/>
    <col min="29" max="29" width="9.140625" style="3" customWidth="1"/>
    <col min="30" max="30" width="38.28515625" style="3" hidden="1" customWidth="1"/>
    <col min="31" max="31" width="6" style="4" customWidth="1"/>
    <col min="32" max="32" width="9.42578125" customWidth="1"/>
    <col min="33" max="33" width="10.140625" customWidth="1"/>
    <col min="34" max="34" width="7.85546875" customWidth="1"/>
    <col min="35" max="35" width="7.42578125" customWidth="1"/>
    <col min="36" max="36" width="11.140625" customWidth="1"/>
    <col min="37" max="37" width="19.85546875" customWidth="1"/>
    <col min="38" max="38" width="7.85546875" customWidth="1"/>
    <col min="39" max="39" width="1.85546875" customWidth="1"/>
    <col min="40" max="40" width="8.7109375" customWidth="1"/>
    <col min="41" max="41" width="6.85546875" customWidth="1"/>
    <col min="42" max="42" width="5.85546875" customWidth="1"/>
    <col min="43" max="43" width="2.140625" customWidth="1"/>
    <col min="44" max="44" width="4.140625" customWidth="1"/>
    <col min="45" max="45" width="4" customWidth="1"/>
    <col min="46" max="46" width="4.85546875" customWidth="1"/>
    <col min="47" max="47" width="3.85546875" customWidth="1"/>
    <col min="48" max="48" width="1.5703125" customWidth="1"/>
    <col min="49" max="49" width="3.7109375" customWidth="1"/>
    <col min="50" max="50" width="1.85546875" customWidth="1"/>
    <col min="51" max="51" width="4.28515625" customWidth="1"/>
    <col min="52" max="52" width="16.85546875" customWidth="1"/>
    <col min="53" max="53" width="136.42578125" customWidth="1"/>
    <col min="54" max="54" width="58.85546875" customWidth="1"/>
    <col min="55" max="58" width="12.7109375" customWidth="1"/>
    <col min="59" max="64" width="12.85546875" customWidth="1"/>
    <col min="65" max="65" width="27.85546875" customWidth="1"/>
    <col min="66" max="66" width="27.28515625" customWidth="1"/>
    <col min="67" max="67" width="20.42578125" customWidth="1"/>
  </cols>
  <sheetData>
    <row r="1" spans="1:67" s="1" customFormat="1">
      <c r="A1" s="106"/>
      <c r="B1" s="107"/>
      <c r="C1" s="104" t="s">
        <v>224</v>
      </c>
      <c r="D1" s="104"/>
      <c r="E1" s="104"/>
      <c r="F1" s="104"/>
      <c r="G1" s="5"/>
      <c r="H1" s="104" t="s">
        <v>225</v>
      </c>
      <c r="I1" s="104"/>
      <c r="J1" s="104"/>
      <c r="K1" s="104"/>
      <c r="L1" s="104"/>
      <c r="M1" s="104" t="s">
        <v>226</v>
      </c>
      <c r="N1" s="104"/>
      <c r="O1" s="104" t="s">
        <v>227</v>
      </c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 t="s">
        <v>228</v>
      </c>
      <c r="AA1" s="104"/>
      <c r="AB1" s="104"/>
      <c r="AC1" s="104"/>
      <c r="AD1" s="104"/>
      <c r="AE1" s="105"/>
    </row>
    <row r="2" spans="1:67" s="1" customFormat="1">
      <c r="A2" s="6" t="s">
        <v>43</v>
      </c>
      <c r="B2" s="7" t="s">
        <v>86</v>
      </c>
      <c r="C2" s="7" t="s">
        <v>89</v>
      </c>
      <c r="D2" s="7" t="s">
        <v>90</v>
      </c>
      <c r="E2" s="7" t="s">
        <v>91</v>
      </c>
      <c r="F2" s="7" t="s">
        <v>92</v>
      </c>
      <c r="G2" s="7" t="s">
        <v>229</v>
      </c>
      <c r="H2" s="7" t="s">
        <v>230</v>
      </c>
      <c r="I2" s="7" t="s">
        <v>231</v>
      </c>
      <c r="J2" s="7" t="s">
        <v>232</v>
      </c>
      <c r="K2" s="7" t="s">
        <v>233</v>
      </c>
      <c r="L2" s="7" t="s">
        <v>234</v>
      </c>
      <c r="M2" s="7" t="s">
        <v>235</v>
      </c>
      <c r="N2" s="7" t="s">
        <v>236</v>
      </c>
      <c r="O2" s="7" t="s">
        <v>237</v>
      </c>
      <c r="P2" s="7" t="s">
        <v>238</v>
      </c>
      <c r="Q2" s="7" t="s">
        <v>239</v>
      </c>
      <c r="R2" s="7" t="s">
        <v>240</v>
      </c>
      <c r="S2" s="7" t="s">
        <v>241</v>
      </c>
      <c r="T2" s="7" t="s">
        <v>242</v>
      </c>
      <c r="U2" s="7" t="s">
        <v>243</v>
      </c>
      <c r="V2" s="7" t="s">
        <v>244</v>
      </c>
      <c r="W2" s="7" t="s">
        <v>245</v>
      </c>
      <c r="X2" s="7" t="s">
        <v>246</v>
      </c>
      <c r="Y2" s="7" t="s">
        <v>247</v>
      </c>
      <c r="Z2" s="7" t="s">
        <v>248</v>
      </c>
      <c r="AA2" s="7" t="s">
        <v>249</v>
      </c>
      <c r="AB2" s="7" t="s">
        <v>250</v>
      </c>
      <c r="AC2" s="7" t="s">
        <v>251</v>
      </c>
      <c r="AD2" s="7" t="s">
        <v>252</v>
      </c>
      <c r="AE2" s="10" t="s">
        <v>253</v>
      </c>
      <c r="AF2" s="1" t="s">
        <v>254</v>
      </c>
      <c r="AG2" s="1" t="s">
        <v>255</v>
      </c>
      <c r="AH2" s="1" t="s">
        <v>256</v>
      </c>
      <c r="AI2" s="1" t="s">
        <v>257</v>
      </c>
      <c r="AJ2" s="1" t="s">
        <v>258</v>
      </c>
      <c r="AK2" s="1" t="s">
        <v>259</v>
      </c>
      <c r="AL2" s="1" t="s">
        <v>103</v>
      </c>
      <c r="AN2" s="1" t="s">
        <v>260</v>
      </c>
      <c r="AO2" s="1" t="s">
        <v>261</v>
      </c>
      <c r="AP2" s="1" t="s">
        <v>262</v>
      </c>
      <c r="AR2" s="1" t="s">
        <v>263</v>
      </c>
      <c r="AS2" s="1" t="s">
        <v>264</v>
      </c>
      <c r="AT2" s="1" t="s">
        <v>265</v>
      </c>
      <c r="AU2" s="1" t="s">
        <v>266</v>
      </c>
      <c r="AW2" s="1" t="s">
        <v>267</v>
      </c>
      <c r="AY2" s="1" t="s">
        <v>268</v>
      </c>
      <c r="BA2" s="1" t="s">
        <v>269</v>
      </c>
      <c r="BB2" s="1" t="s">
        <v>227</v>
      </c>
      <c r="BC2" s="1" t="s">
        <v>263</v>
      </c>
      <c r="BD2" s="1" t="s">
        <v>264</v>
      </c>
      <c r="BE2" s="1" t="s">
        <v>265</v>
      </c>
      <c r="BF2" s="1" t="s">
        <v>266</v>
      </c>
      <c r="BG2" s="7" t="s">
        <v>270</v>
      </c>
      <c r="BH2" s="7" t="s">
        <v>231</v>
      </c>
      <c r="BI2" s="7" t="s">
        <v>271</v>
      </c>
      <c r="BJ2" s="7" t="s">
        <v>272</v>
      </c>
      <c r="BK2" s="7" t="s">
        <v>234</v>
      </c>
      <c r="BL2" s="1" t="s">
        <v>267</v>
      </c>
      <c r="BM2" s="1" t="s">
        <v>249</v>
      </c>
      <c r="BN2" s="1" t="s">
        <v>250</v>
      </c>
      <c r="BO2" s="1" t="s">
        <v>248</v>
      </c>
    </row>
    <row r="3" spans="1:67">
      <c r="A3" s="8" t="s">
        <v>273</v>
      </c>
      <c r="B3" s="9" t="s">
        <v>274</v>
      </c>
      <c r="C3" s="9">
        <v>149.5</v>
      </c>
      <c r="D3" s="9">
        <v>375</v>
      </c>
      <c r="E3" s="9">
        <v>375</v>
      </c>
      <c r="F3" s="9">
        <v>11.6</v>
      </c>
      <c r="G3" s="9" t="s">
        <v>275</v>
      </c>
      <c r="H3" s="9">
        <v>1</v>
      </c>
      <c r="I3" s="9">
        <v>1</v>
      </c>
      <c r="J3" s="9">
        <v>0</v>
      </c>
      <c r="K3" s="9">
        <v>1</v>
      </c>
      <c r="L3" s="9">
        <v>0</v>
      </c>
      <c r="M3" s="9">
        <v>2000</v>
      </c>
      <c r="N3" s="9">
        <v>2200</v>
      </c>
      <c r="O3" s="9">
        <v>1</v>
      </c>
      <c r="P3" s="9">
        <v>2</v>
      </c>
      <c r="Q3" s="9">
        <v>600</v>
      </c>
      <c r="R3" s="9">
        <v>120</v>
      </c>
      <c r="S3" s="9">
        <v>500</v>
      </c>
      <c r="T3" s="9">
        <v>90</v>
      </c>
      <c r="U3" s="9">
        <v>-1</v>
      </c>
      <c r="V3" s="9">
        <v>-1</v>
      </c>
      <c r="W3" s="9">
        <v>380</v>
      </c>
      <c r="X3" s="9">
        <v>15</v>
      </c>
      <c r="Y3" s="9">
        <v>11</v>
      </c>
      <c r="Z3" s="9">
        <v>1</v>
      </c>
      <c r="AA3" s="9">
        <v>0</v>
      </c>
      <c r="AB3" s="9">
        <v>0</v>
      </c>
      <c r="AC3" s="9">
        <v>220</v>
      </c>
      <c r="AD3" s="9"/>
      <c r="AE3" s="11">
        <v>10</v>
      </c>
      <c r="AF3" s="11">
        <v>10</v>
      </c>
      <c r="AG3">
        <v>50</v>
      </c>
      <c r="AH3">
        <v>60</v>
      </c>
      <c r="AI3">
        <v>-30</v>
      </c>
      <c r="AJ3" t="s">
        <v>276</v>
      </c>
      <c r="AK3" t="s">
        <v>277</v>
      </c>
      <c r="AL3">
        <v>0</v>
      </c>
      <c r="AN3">
        <v>1</v>
      </c>
      <c r="AO3">
        <v>0</v>
      </c>
      <c r="AP3">
        <f>O3*P3</f>
        <v>2</v>
      </c>
      <c r="AR3">
        <v>1</v>
      </c>
      <c r="AS3">
        <v>0</v>
      </c>
      <c r="AT3">
        <v>0</v>
      </c>
      <c r="AU3">
        <v>1</v>
      </c>
      <c r="AW3">
        <v>0</v>
      </c>
      <c r="AY3" t="str">
        <f>IF(B3="WEG","1",IF(B3="HUAWEI","2",IF(B3="FOX ESS","3",IF(B3="GOODWE","4",IF(B3="PHB","5",IF(B3="ASTRONERGY","6",IF(B3="BYD","7",IF(B3="HUASUN","8",IF(B3="JA SOLAR","9",IF(B3="JINKO","10",IF(B3="LONGI","11",IF(B3="RISEN","12",IF(B3="SUNOVA","13",IF(B3="TALESUN","14",IF(B3="TRINA SOLAR","15","NÃO CADASTRADO")))))))))))))))</f>
        <v>2</v>
      </c>
      <c r="BA3" s="13" t="str">
        <f>_xlfn.CONCAT("('",A3,"', ",AY3,", ",SUBSTITUTE(D3,",","."),", ",SUBSTITUTE(E3,",","."),", ",SUBSTITUTE(C3,",","."),", ",SUBSTITUTE(F3,",","."),", ",AH3,", ",AI3,", '",G3,"', '",AJ3,"', '",AK3,"', ",M3,", ",N3,", ",AC3,", ",SUBSTITUTE(AF3,",","."),", ",SUBSTITUTE(AE3,",","."),", ",AG3,", ",P3,", ",AP3,", ",AL3,"),")</f>
        <v>('SUN2000L-2KTL', 2, 375, 375, 149.5, 11.6, 60, -30, 'CONVECÇÃO NATURAL', 'IP65', 'TRANSFORMERLESS', 2000, 2200, 220, 10, 10, 50, 2, 2, 0),</v>
      </c>
      <c r="BB3" t="str">
        <f>_xlfn.CONCAT("(",AN3,", 0, ",O3,", ",Q3,", ",R3,", ",S3,", ",T3,", ",U3,", ",V3,", ",W3,", ",SUBSTITUTE(X3,",","."),", ",SUBSTITUTE(Y3,",","."),"), ")</f>
        <v xml:space="preserve">(1, 0, 1, 600, 120, 500, 90, -1, -1, 380, 15, 11), </v>
      </c>
      <c r="BC3" t="str">
        <f>IF(AR3=1,_xlfn.CONCAT("(",$AN3,", 'ON-GRID'),"),"")</f>
        <v>(1, 'ON-GRID'),</v>
      </c>
      <c r="BD3" t="str">
        <f>IF(AS3=1,_xlfn.CONCAT("(",$AN3,", 'OFF-GRID'),"),"")</f>
        <v/>
      </c>
      <c r="BE3" t="str">
        <f>IF(AT3=1,_xlfn.CONCAT("(",$AN3,", 'GRIDZERO'),"),"")</f>
        <v/>
      </c>
      <c r="BF3" t="str">
        <f>IF(AU3=1,_xlfn.CONCAT("(",$AN3,", 'HYBRID'),"),"")</f>
        <v>(1, 'HYBRID'),</v>
      </c>
      <c r="BG3" t="str">
        <f t="shared" ref="BG3:BL3" si="0">IF(H3=1,_xlfn.CONCAT("(",$AN3,", '",BG$2,"'),"),"")</f>
        <v>(1, 'WIFI'),</v>
      </c>
      <c r="BH3" t="str">
        <f t="shared" si="0"/>
        <v>(1, 'RS485'),</v>
      </c>
      <c r="BI3" t="str">
        <f t="shared" si="0"/>
        <v/>
      </c>
      <c r="BJ3" t="str">
        <f t="shared" si="0"/>
        <v>(1, 'LED'),</v>
      </c>
      <c r="BK3" t="str">
        <f t="shared" si="0"/>
        <v/>
      </c>
      <c r="BL3" t="str">
        <f t="shared" si="0"/>
        <v/>
      </c>
      <c r="BM3" t="str">
        <f>IF(AA3=1,_xlfn.CONCAT("(",$AN3,", '",BM$2,"'),"),"")</f>
        <v/>
      </c>
      <c r="BN3" t="str">
        <f>IF(AB3=1,_xlfn.CONCAT("(",$AN3,", '",BN$2,"'),"),"")</f>
        <v/>
      </c>
      <c r="BO3" t="str">
        <f>IF(Z3=1,_xlfn.CONCAT("(",$AN3,", '",BO$2,"'),"),"")</f>
        <v>(1, 'SINGLE_PHASE'),</v>
      </c>
    </row>
    <row r="4" spans="1:67">
      <c r="A4" s="2" t="s">
        <v>67</v>
      </c>
      <c r="B4" s="3" t="s">
        <v>274</v>
      </c>
      <c r="C4" s="3">
        <v>149.5</v>
      </c>
      <c r="D4" s="3">
        <v>375</v>
      </c>
      <c r="E4" s="3">
        <v>375</v>
      </c>
      <c r="F4" s="3">
        <v>11.6</v>
      </c>
      <c r="G4" s="3" t="s">
        <v>275</v>
      </c>
      <c r="H4" s="3">
        <v>1</v>
      </c>
      <c r="I4" s="3">
        <v>1</v>
      </c>
      <c r="J4" s="3">
        <v>0</v>
      </c>
      <c r="K4" s="3">
        <v>1</v>
      </c>
      <c r="L4" s="3">
        <v>0</v>
      </c>
      <c r="M4" s="3">
        <v>3000</v>
      </c>
      <c r="N4" s="3">
        <v>3300</v>
      </c>
      <c r="O4" s="3">
        <v>1</v>
      </c>
      <c r="P4" s="3">
        <v>2</v>
      </c>
      <c r="Q4" s="3">
        <v>600</v>
      </c>
      <c r="R4" s="3">
        <v>120</v>
      </c>
      <c r="S4" s="3">
        <v>500</v>
      </c>
      <c r="T4" s="3">
        <v>90</v>
      </c>
      <c r="U4" s="9">
        <v>-1</v>
      </c>
      <c r="V4" s="9">
        <v>-1</v>
      </c>
      <c r="W4" s="3">
        <v>380</v>
      </c>
      <c r="X4" s="3">
        <v>15</v>
      </c>
      <c r="Y4" s="3">
        <v>11</v>
      </c>
      <c r="Z4" s="3">
        <v>1</v>
      </c>
      <c r="AA4" s="3">
        <v>0</v>
      </c>
      <c r="AB4" s="3">
        <v>0</v>
      </c>
      <c r="AC4" s="9">
        <v>220</v>
      </c>
      <c r="AE4" s="4">
        <v>15</v>
      </c>
      <c r="AF4" s="4">
        <v>15</v>
      </c>
      <c r="AG4">
        <v>50</v>
      </c>
      <c r="AH4">
        <v>60</v>
      </c>
      <c r="AI4">
        <v>-30</v>
      </c>
      <c r="AJ4" t="s">
        <v>276</v>
      </c>
      <c r="AK4" t="s">
        <v>277</v>
      </c>
      <c r="AL4">
        <v>0</v>
      </c>
      <c r="AN4">
        <v>2</v>
      </c>
      <c r="AO4">
        <v>0</v>
      </c>
      <c r="AP4">
        <f t="shared" ref="AP4:AP67" si="1">O4*P4</f>
        <v>2</v>
      </c>
      <c r="AR4">
        <v>1</v>
      </c>
      <c r="AS4">
        <v>0</v>
      </c>
      <c r="AT4">
        <v>0</v>
      </c>
      <c r="AU4">
        <v>1</v>
      </c>
      <c r="AW4">
        <v>0</v>
      </c>
      <c r="AY4" t="str">
        <f t="shared" ref="AY4:AY67" si="2">IF(B4="WEG","1",IF(B4="HUAWEI","2",IF(B4="FOX ESS","3",IF(B4="GOODWE","4",IF(B4="PHB","5",IF(B4="ASTRONERGY","6",IF(B4="BYD","7",IF(B4="HUASUN","8",IF(B4="JA SOLAR","9",IF(B4="JINKO","10",IF(B4="LONGI","11",IF(B4="RISEN","12",IF(B4="SUNOVA","13",IF(B4="TALESUN","14",IF(B4="TRINA SOLAR","15","NÃO CADASTRADO")))))))))))))))</f>
        <v>2</v>
      </c>
      <c r="BA4" s="13" t="str">
        <f t="shared" ref="BA4:BA35" si="3">_xlfn.CONCAT("('",A4,"', ",AY4,", ",SUBSTITUTE(D4,",","."),", ",SUBSTITUTE(E4,",","."),", ",SUBSTITUTE(C4,",","."),", ",SUBSTITUTE(F4,",","."),", ",AH4,", ",AI4,", '",G4,"', '",AJ4,"', '",AK4,"', ",M4,", ",N4,", ",AC4,", ",SUBSTITUTE(AF4,",","."),", ",SUBSTITUTE(AE4,",","."),", ",AG4,", ",P4,", ",AP4,", ",AL4,"),")</f>
        <v>('SUN2000L-3KTL', 2, 375, 375, 149.5, 11.6, 60, -30, 'CONVECÇÃO NATURAL', 'IP65', 'TRANSFORMERLESS', 3000, 3300, 220, 15, 15, 50, 2, 2, 0),</v>
      </c>
      <c r="BB4" t="str">
        <f t="shared" ref="BB4:BB67" si="4">_xlfn.CONCAT("(",AN4,", 0, ",O4,", ",Q4,", ",R4,", ",S4,", ",T4,", ",U4,", ",V4,", ",W4,", ",SUBSTITUTE(X4,",","."),", ",SUBSTITUTE(Y4,",","."),"), ")</f>
        <v xml:space="preserve">(2, 0, 1, 600, 120, 500, 90, -1, -1, 380, 15, 11), </v>
      </c>
      <c r="BC4" t="str">
        <f t="shared" ref="BC4:BC67" si="5">IF(AR4=1,_xlfn.CONCAT("(",$AN4,", 'ON-GRID'),"),"")</f>
        <v>(2, 'ON-GRID'),</v>
      </c>
      <c r="BD4" t="str">
        <f t="shared" ref="BD4:BD67" si="6">IF(AS4=1,_xlfn.CONCAT("(",$AN4,", 'OFF-GRID'),"),"")</f>
        <v/>
      </c>
      <c r="BE4" t="str">
        <f t="shared" ref="BE4:BE67" si="7">IF(AT4=1,_xlfn.CONCAT("(",$AN4,", 'GRIDZERO'),"),"")</f>
        <v/>
      </c>
      <c r="BF4" t="str">
        <f t="shared" ref="BF4:BF67" si="8">IF(AU4=1,_xlfn.CONCAT("(",$AN4,", 'HYBRID'),"),"")</f>
        <v>(2, 'HYBRID'),</v>
      </c>
      <c r="BG4" t="str">
        <f t="shared" ref="BG4:BL4" si="9">IF(H4=1,_xlfn.CONCAT("(",$AN4,", '",BG$2,"'),"),"")</f>
        <v>(2, 'WIFI'),</v>
      </c>
      <c r="BH4" t="str">
        <f t="shared" si="9"/>
        <v>(2, 'RS485'),</v>
      </c>
      <c r="BI4" t="str">
        <f t="shared" si="9"/>
        <v/>
      </c>
      <c r="BJ4" t="str">
        <f t="shared" si="9"/>
        <v>(2, 'LED'),</v>
      </c>
      <c r="BK4" t="str">
        <f t="shared" si="9"/>
        <v/>
      </c>
      <c r="BL4" t="str">
        <f t="shared" si="9"/>
        <v/>
      </c>
      <c r="BM4" t="str">
        <f t="shared" ref="BM4:BM67" si="10">IF(AA4=1,_xlfn.CONCAT("(",$AN4,", '",BM$2,"'),"),"")</f>
        <v/>
      </c>
      <c r="BN4" t="str">
        <f t="shared" ref="BN4:BN67" si="11">IF(AB4=1,_xlfn.CONCAT("(",$AN4,", '",BN$2,"'),"),"")</f>
        <v/>
      </c>
      <c r="BO4" t="str">
        <f t="shared" ref="BO4:BO67" si="12">IF(Z4=1,_xlfn.CONCAT("(",$AN4,", '",BO$2,"'),"),"")</f>
        <v>(2, 'SINGLE_PHASE'),</v>
      </c>
    </row>
    <row r="5" spans="1:67">
      <c r="A5" s="2" t="s">
        <v>278</v>
      </c>
      <c r="B5" s="3" t="s">
        <v>274</v>
      </c>
      <c r="C5" s="3">
        <v>149.5</v>
      </c>
      <c r="D5" s="3">
        <v>375</v>
      </c>
      <c r="E5" s="3">
        <v>375</v>
      </c>
      <c r="F5" s="3">
        <v>11.6</v>
      </c>
      <c r="G5" s="3" t="s">
        <v>275</v>
      </c>
      <c r="H5" s="3">
        <v>1</v>
      </c>
      <c r="I5" s="3">
        <v>1</v>
      </c>
      <c r="J5" s="3">
        <v>0</v>
      </c>
      <c r="K5" s="3">
        <v>1</v>
      </c>
      <c r="L5" s="3">
        <v>0</v>
      </c>
      <c r="M5" s="3">
        <v>3680</v>
      </c>
      <c r="N5" s="3">
        <v>3680</v>
      </c>
      <c r="O5" s="3">
        <v>1</v>
      </c>
      <c r="P5" s="3">
        <v>2</v>
      </c>
      <c r="Q5" s="3">
        <v>600</v>
      </c>
      <c r="R5" s="3">
        <v>120</v>
      </c>
      <c r="S5" s="3">
        <v>500</v>
      </c>
      <c r="T5" s="3">
        <v>90</v>
      </c>
      <c r="U5" s="9">
        <v>-1</v>
      </c>
      <c r="V5" s="9">
        <v>-1</v>
      </c>
      <c r="W5" s="3">
        <v>380</v>
      </c>
      <c r="X5" s="3">
        <v>15</v>
      </c>
      <c r="Y5" s="3">
        <v>11</v>
      </c>
      <c r="Z5" s="3">
        <v>1</v>
      </c>
      <c r="AA5" s="3">
        <v>0</v>
      </c>
      <c r="AB5" s="3">
        <v>0</v>
      </c>
      <c r="AC5" s="9">
        <v>220</v>
      </c>
      <c r="AE5" s="4">
        <v>16</v>
      </c>
      <c r="AF5" s="4">
        <v>16</v>
      </c>
      <c r="AG5">
        <v>50</v>
      </c>
      <c r="AH5">
        <v>60</v>
      </c>
      <c r="AI5">
        <v>-30</v>
      </c>
      <c r="AJ5" t="s">
        <v>276</v>
      </c>
      <c r="AK5" t="s">
        <v>277</v>
      </c>
      <c r="AL5">
        <v>0</v>
      </c>
      <c r="AN5">
        <v>3</v>
      </c>
      <c r="AO5">
        <v>0</v>
      </c>
      <c r="AP5">
        <f t="shared" si="1"/>
        <v>2</v>
      </c>
      <c r="AR5">
        <v>1</v>
      </c>
      <c r="AS5">
        <v>0</v>
      </c>
      <c r="AT5">
        <v>0</v>
      </c>
      <c r="AU5">
        <v>1</v>
      </c>
      <c r="AW5">
        <v>0</v>
      </c>
      <c r="AY5" t="str">
        <f t="shared" si="2"/>
        <v>2</v>
      </c>
      <c r="BA5" s="13" t="str">
        <f t="shared" si="3"/>
        <v>('SUN2000L-3.68KTL', 2, 375, 375, 149.5, 11.6, 60, -30, 'CONVECÇÃO NATURAL', 'IP65', 'TRANSFORMERLESS', 3680, 3680, 220, 16, 16, 50, 2, 2, 0),</v>
      </c>
      <c r="BB5" t="str">
        <f t="shared" si="4"/>
        <v xml:space="preserve">(3, 0, 1, 600, 120, 500, 90, -1, -1, 380, 15, 11), </v>
      </c>
      <c r="BC5" t="str">
        <f t="shared" si="5"/>
        <v>(3, 'ON-GRID'),</v>
      </c>
      <c r="BD5" t="str">
        <f t="shared" si="6"/>
        <v/>
      </c>
      <c r="BE5" t="str">
        <f t="shared" si="7"/>
        <v/>
      </c>
      <c r="BF5" t="str">
        <f t="shared" si="8"/>
        <v>(3, 'HYBRID'),</v>
      </c>
      <c r="BG5" t="str">
        <f t="shared" ref="BG5:BG68" si="13">IF(H5=1,_xlfn.CONCAT("(",$AN5,", '",BG$2,"'),"),"")</f>
        <v>(3, 'WIFI'),</v>
      </c>
      <c r="BH5" t="str">
        <f t="shared" ref="BH5:BH68" si="14">IF(I5=1,_xlfn.CONCAT("(",$AN5,", '",BH$2,"'),"),"")</f>
        <v>(3, 'RS485'),</v>
      </c>
      <c r="BI5" t="str">
        <f t="shared" ref="BI5:BI68" si="15">IF(J5=1,_xlfn.CONCAT("(",$AN5,", '",BI$2,"'),"),"")</f>
        <v/>
      </c>
      <c r="BJ5" t="str">
        <f t="shared" ref="BJ5:BJ68" si="16">IF(K5=1,_xlfn.CONCAT("(",$AN5,", '",BJ$2,"'),"),"")</f>
        <v>(3, 'LED'),</v>
      </c>
      <c r="BK5" t="str">
        <f t="shared" ref="BK5:BK68" si="17">IF(L5=1,_xlfn.CONCAT("(",$AN5,", '",BK$2,"'),"),"")</f>
        <v/>
      </c>
      <c r="BL5" t="str">
        <f t="shared" ref="BL5:BL68" si="18">IF(M5=1,_xlfn.CONCAT("(",$AN5,", '",BL$2,"'),"),"")</f>
        <v/>
      </c>
      <c r="BM5" t="str">
        <f t="shared" si="10"/>
        <v/>
      </c>
      <c r="BN5" t="str">
        <f t="shared" si="11"/>
        <v/>
      </c>
      <c r="BO5" t="str">
        <f t="shared" si="12"/>
        <v>(3, 'SINGLE_PHASE'),</v>
      </c>
    </row>
    <row r="6" spans="1:67">
      <c r="A6" s="2" t="s">
        <v>279</v>
      </c>
      <c r="B6" s="3" t="s">
        <v>274</v>
      </c>
      <c r="C6" s="3">
        <v>149.5</v>
      </c>
      <c r="D6" s="3">
        <v>375</v>
      </c>
      <c r="E6" s="3">
        <v>375</v>
      </c>
      <c r="F6" s="3">
        <v>11.6</v>
      </c>
      <c r="G6" s="3" t="s">
        <v>275</v>
      </c>
      <c r="H6" s="3">
        <v>1</v>
      </c>
      <c r="I6" s="3">
        <v>1</v>
      </c>
      <c r="J6" s="3">
        <v>0</v>
      </c>
      <c r="K6" s="3">
        <v>1</v>
      </c>
      <c r="L6" s="3">
        <v>0</v>
      </c>
      <c r="M6" s="3">
        <v>4000</v>
      </c>
      <c r="N6" s="3">
        <v>4400</v>
      </c>
      <c r="O6" s="3">
        <v>1</v>
      </c>
      <c r="P6" s="3">
        <v>2</v>
      </c>
      <c r="Q6" s="3">
        <v>600</v>
      </c>
      <c r="R6" s="3">
        <v>120</v>
      </c>
      <c r="S6" s="3">
        <v>500</v>
      </c>
      <c r="T6" s="3">
        <v>90</v>
      </c>
      <c r="U6" s="9">
        <v>-1</v>
      </c>
      <c r="V6" s="9">
        <v>-1</v>
      </c>
      <c r="W6" s="3">
        <v>380</v>
      </c>
      <c r="X6" s="3">
        <v>15</v>
      </c>
      <c r="Y6" s="3">
        <v>11</v>
      </c>
      <c r="Z6" s="3">
        <v>1</v>
      </c>
      <c r="AA6" s="3">
        <v>0</v>
      </c>
      <c r="AB6" s="3">
        <v>0</v>
      </c>
      <c r="AC6" s="9">
        <v>220</v>
      </c>
      <c r="AE6" s="4">
        <v>20</v>
      </c>
      <c r="AF6" s="4">
        <v>20</v>
      </c>
      <c r="AG6">
        <v>50</v>
      </c>
      <c r="AH6">
        <v>60</v>
      </c>
      <c r="AI6">
        <v>-30</v>
      </c>
      <c r="AJ6" t="s">
        <v>276</v>
      </c>
      <c r="AK6" t="s">
        <v>277</v>
      </c>
      <c r="AL6">
        <v>0</v>
      </c>
      <c r="AN6">
        <v>4</v>
      </c>
      <c r="AO6">
        <v>0</v>
      </c>
      <c r="AP6">
        <f t="shared" si="1"/>
        <v>2</v>
      </c>
      <c r="AR6">
        <v>1</v>
      </c>
      <c r="AS6">
        <v>0</v>
      </c>
      <c r="AT6">
        <v>0</v>
      </c>
      <c r="AU6">
        <v>1</v>
      </c>
      <c r="AW6">
        <v>0</v>
      </c>
      <c r="AY6" t="str">
        <f t="shared" si="2"/>
        <v>2</v>
      </c>
      <c r="BA6" s="13" t="str">
        <f t="shared" si="3"/>
        <v>('SUN2000L-4KTL', 2, 375, 375, 149.5, 11.6, 60, -30, 'CONVECÇÃO NATURAL', 'IP65', 'TRANSFORMERLESS', 4000, 4400, 220, 20, 20, 50, 2, 2, 0),</v>
      </c>
      <c r="BB6" t="str">
        <f t="shared" si="4"/>
        <v xml:space="preserve">(4, 0, 1, 600, 120, 500, 90, -1, -1, 380, 15, 11), </v>
      </c>
      <c r="BC6" t="str">
        <f t="shared" si="5"/>
        <v>(4, 'ON-GRID'),</v>
      </c>
      <c r="BD6" t="str">
        <f t="shared" si="6"/>
        <v/>
      </c>
      <c r="BE6" t="str">
        <f t="shared" si="7"/>
        <v/>
      </c>
      <c r="BF6" t="str">
        <f t="shared" si="8"/>
        <v>(4, 'HYBRID'),</v>
      </c>
      <c r="BG6" t="str">
        <f t="shared" si="13"/>
        <v>(4, 'WIFI'),</v>
      </c>
      <c r="BH6" t="str">
        <f t="shared" si="14"/>
        <v>(4, 'RS485'),</v>
      </c>
      <c r="BI6" t="str">
        <f t="shared" si="15"/>
        <v/>
      </c>
      <c r="BJ6" t="str">
        <f t="shared" si="16"/>
        <v>(4, 'LED'),</v>
      </c>
      <c r="BK6" t="str">
        <f t="shared" si="17"/>
        <v/>
      </c>
      <c r="BL6" t="str">
        <f t="shared" si="18"/>
        <v/>
      </c>
      <c r="BM6" t="str">
        <f t="shared" si="10"/>
        <v/>
      </c>
      <c r="BN6" t="str">
        <f t="shared" si="11"/>
        <v/>
      </c>
      <c r="BO6" t="str">
        <f t="shared" si="12"/>
        <v>(4, 'SINGLE_PHASE'),</v>
      </c>
    </row>
    <row r="7" spans="1:67">
      <c r="A7" s="2" t="s">
        <v>280</v>
      </c>
      <c r="B7" s="3" t="s">
        <v>274</v>
      </c>
      <c r="C7" s="3">
        <v>149.5</v>
      </c>
      <c r="D7" s="3">
        <v>375</v>
      </c>
      <c r="E7" s="3">
        <v>375</v>
      </c>
      <c r="F7" s="3">
        <v>11.6</v>
      </c>
      <c r="G7" s="3" t="s">
        <v>275</v>
      </c>
      <c r="H7" s="3">
        <v>1</v>
      </c>
      <c r="I7" s="3">
        <v>1</v>
      </c>
      <c r="J7" s="3">
        <v>0</v>
      </c>
      <c r="K7" s="3">
        <v>1</v>
      </c>
      <c r="L7" s="3">
        <v>0</v>
      </c>
      <c r="M7" s="3">
        <v>4600</v>
      </c>
      <c r="N7" s="3">
        <v>5000</v>
      </c>
      <c r="O7" s="3">
        <v>1</v>
      </c>
      <c r="P7" s="3">
        <v>2</v>
      </c>
      <c r="Q7" s="3">
        <v>600</v>
      </c>
      <c r="R7" s="3">
        <v>120</v>
      </c>
      <c r="S7" s="3">
        <v>500</v>
      </c>
      <c r="T7" s="3">
        <v>90</v>
      </c>
      <c r="U7" s="9">
        <v>-1</v>
      </c>
      <c r="V7" s="9">
        <v>-1</v>
      </c>
      <c r="W7" s="3">
        <v>380</v>
      </c>
      <c r="X7" s="3">
        <v>15</v>
      </c>
      <c r="Y7" s="3">
        <v>11</v>
      </c>
      <c r="Z7" s="3">
        <v>1</v>
      </c>
      <c r="AA7" s="3">
        <v>0</v>
      </c>
      <c r="AB7" s="3">
        <v>0</v>
      </c>
      <c r="AC7" s="9">
        <v>220</v>
      </c>
      <c r="AE7" s="4">
        <v>23</v>
      </c>
      <c r="AF7" s="4">
        <v>23</v>
      </c>
      <c r="AG7">
        <v>50</v>
      </c>
      <c r="AH7">
        <v>60</v>
      </c>
      <c r="AI7">
        <v>-30</v>
      </c>
      <c r="AJ7" t="s">
        <v>276</v>
      </c>
      <c r="AK7" t="s">
        <v>277</v>
      </c>
      <c r="AL7">
        <v>0</v>
      </c>
      <c r="AN7">
        <v>5</v>
      </c>
      <c r="AO7">
        <v>0</v>
      </c>
      <c r="AP7">
        <f t="shared" si="1"/>
        <v>2</v>
      </c>
      <c r="AR7">
        <v>1</v>
      </c>
      <c r="AS7">
        <v>0</v>
      </c>
      <c r="AT7">
        <v>0</v>
      </c>
      <c r="AU7">
        <v>1</v>
      </c>
      <c r="AW7">
        <v>0</v>
      </c>
      <c r="AY7" t="str">
        <f t="shared" si="2"/>
        <v>2</v>
      </c>
      <c r="BA7" s="13" t="str">
        <f t="shared" si="3"/>
        <v>('SUN2000L-4.6KTL', 2, 375, 375, 149.5, 11.6, 60, -30, 'CONVECÇÃO NATURAL', 'IP65', 'TRANSFORMERLESS', 4600, 5000, 220, 23, 23, 50, 2, 2, 0),</v>
      </c>
      <c r="BB7" t="str">
        <f t="shared" si="4"/>
        <v xml:space="preserve">(5, 0, 1, 600, 120, 500, 90, -1, -1, 380, 15, 11), </v>
      </c>
      <c r="BC7" t="str">
        <f t="shared" si="5"/>
        <v>(5, 'ON-GRID'),</v>
      </c>
      <c r="BD7" t="str">
        <f t="shared" si="6"/>
        <v/>
      </c>
      <c r="BE7" t="str">
        <f t="shared" si="7"/>
        <v/>
      </c>
      <c r="BF7" t="str">
        <f t="shared" si="8"/>
        <v>(5, 'HYBRID'),</v>
      </c>
      <c r="BG7" t="str">
        <f t="shared" si="13"/>
        <v>(5, 'WIFI'),</v>
      </c>
      <c r="BH7" t="str">
        <f t="shared" si="14"/>
        <v>(5, 'RS485'),</v>
      </c>
      <c r="BI7" t="str">
        <f t="shared" si="15"/>
        <v/>
      </c>
      <c r="BJ7" t="str">
        <f t="shared" si="16"/>
        <v>(5, 'LED'),</v>
      </c>
      <c r="BK7" t="str">
        <f t="shared" si="17"/>
        <v/>
      </c>
      <c r="BL7" t="str">
        <f t="shared" si="18"/>
        <v/>
      </c>
      <c r="BM7" t="str">
        <f t="shared" si="10"/>
        <v/>
      </c>
      <c r="BN7" t="str">
        <f t="shared" si="11"/>
        <v/>
      </c>
      <c r="BO7" t="str">
        <f t="shared" si="12"/>
        <v>(5, 'SINGLE_PHASE'),</v>
      </c>
    </row>
    <row r="8" spans="1:67">
      <c r="A8" s="2" t="s">
        <v>281</v>
      </c>
      <c r="B8" s="3" t="s">
        <v>274</v>
      </c>
      <c r="C8" s="3">
        <v>149.5</v>
      </c>
      <c r="D8" s="3">
        <v>375</v>
      </c>
      <c r="E8" s="3">
        <v>375</v>
      </c>
      <c r="F8" s="3">
        <v>11.6</v>
      </c>
      <c r="G8" s="3" t="s">
        <v>275</v>
      </c>
      <c r="H8" s="3">
        <v>1</v>
      </c>
      <c r="I8" s="3">
        <v>1</v>
      </c>
      <c r="J8" s="3">
        <v>0</v>
      </c>
      <c r="K8" s="3">
        <v>1</v>
      </c>
      <c r="L8" s="3">
        <v>0</v>
      </c>
      <c r="M8" s="3">
        <v>5000</v>
      </c>
      <c r="N8" s="3">
        <v>5500</v>
      </c>
      <c r="O8" s="3">
        <v>1</v>
      </c>
      <c r="P8" s="3">
        <v>2</v>
      </c>
      <c r="Q8" s="3">
        <v>600</v>
      </c>
      <c r="R8" s="3">
        <v>120</v>
      </c>
      <c r="S8" s="3">
        <v>500</v>
      </c>
      <c r="T8" s="3">
        <v>90</v>
      </c>
      <c r="U8" s="9">
        <v>-1</v>
      </c>
      <c r="V8" s="9">
        <v>-1</v>
      </c>
      <c r="W8" s="3">
        <v>380</v>
      </c>
      <c r="X8" s="3">
        <v>15</v>
      </c>
      <c r="Y8" s="3">
        <v>11</v>
      </c>
      <c r="Z8" s="3">
        <v>1</v>
      </c>
      <c r="AA8" s="3">
        <v>0</v>
      </c>
      <c r="AB8" s="3">
        <v>0</v>
      </c>
      <c r="AC8" s="9">
        <v>220</v>
      </c>
      <c r="AE8" s="4">
        <v>25</v>
      </c>
      <c r="AF8" s="4">
        <v>25</v>
      </c>
      <c r="AG8">
        <v>50</v>
      </c>
      <c r="AH8">
        <v>60</v>
      </c>
      <c r="AI8">
        <v>-30</v>
      </c>
      <c r="AJ8" t="s">
        <v>276</v>
      </c>
      <c r="AK8" t="s">
        <v>277</v>
      </c>
      <c r="AL8">
        <v>0</v>
      </c>
      <c r="AN8">
        <v>6</v>
      </c>
      <c r="AO8">
        <v>0</v>
      </c>
      <c r="AP8">
        <f t="shared" si="1"/>
        <v>2</v>
      </c>
      <c r="AR8">
        <v>1</v>
      </c>
      <c r="AS8">
        <v>0</v>
      </c>
      <c r="AT8">
        <v>0</v>
      </c>
      <c r="AU8">
        <v>1</v>
      </c>
      <c r="AW8">
        <v>0</v>
      </c>
      <c r="AY8" t="str">
        <f t="shared" si="2"/>
        <v>2</v>
      </c>
      <c r="BA8" s="13" t="str">
        <f t="shared" si="3"/>
        <v>('SUN2000L-5KTL', 2, 375, 375, 149.5, 11.6, 60, -30, 'CONVECÇÃO NATURAL', 'IP65', 'TRANSFORMERLESS', 5000, 5500, 220, 25, 25, 50, 2, 2, 0),</v>
      </c>
      <c r="BB8" t="str">
        <f t="shared" si="4"/>
        <v xml:space="preserve">(6, 0, 1, 600, 120, 500, 90, -1, -1, 380, 15, 11), </v>
      </c>
      <c r="BC8" t="str">
        <f t="shared" si="5"/>
        <v>(6, 'ON-GRID'),</v>
      </c>
      <c r="BD8" t="str">
        <f t="shared" si="6"/>
        <v/>
      </c>
      <c r="BE8" t="str">
        <f t="shared" si="7"/>
        <v/>
      </c>
      <c r="BF8" t="str">
        <f t="shared" si="8"/>
        <v>(6, 'HYBRID'),</v>
      </c>
      <c r="BG8" t="str">
        <f t="shared" si="13"/>
        <v>(6, 'WIFI'),</v>
      </c>
      <c r="BH8" t="str">
        <f t="shared" si="14"/>
        <v>(6, 'RS485'),</v>
      </c>
      <c r="BI8" t="str">
        <f t="shared" si="15"/>
        <v/>
      </c>
      <c r="BJ8" t="str">
        <f t="shared" si="16"/>
        <v>(6, 'LED'),</v>
      </c>
      <c r="BK8" t="str">
        <f t="shared" si="17"/>
        <v/>
      </c>
      <c r="BL8" t="str">
        <f t="shared" si="18"/>
        <v/>
      </c>
      <c r="BM8" t="str">
        <f t="shared" si="10"/>
        <v/>
      </c>
      <c r="BN8" t="str">
        <f t="shared" si="11"/>
        <v/>
      </c>
      <c r="BO8" t="str">
        <f t="shared" si="12"/>
        <v>(6, 'SINGLE_PHASE'),</v>
      </c>
    </row>
    <row r="9" spans="1:67">
      <c r="A9" s="2" t="s">
        <v>282</v>
      </c>
      <c r="B9" s="3" t="s">
        <v>274</v>
      </c>
      <c r="C9" s="3">
        <v>266</v>
      </c>
      <c r="D9" s="3">
        <v>520</v>
      </c>
      <c r="E9" s="3">
        <v>610</v>
      </c>
      <c r="F9" s="3">
        <v>42</v>
      </c>
      <c r="G9" s="3" t="s">
        <v>275</v>
      </c>
      <c r="H9" s="3">
        <v>0</v>
      </c>
      <c r="I9" s="3">
        <v>1</v>
      </c>
      <c r="J9" s="3">
        <v>1</v>
      </c>
      <c r="K9" s="3">
        <v>1</v>
      </c>
      <c r="L9" s="3">
        <v>1</v>
      </c>
      <c r="M9" s="3">
        <v>8000</v>
      </c>
      <c r="N9" s="3">
        <v>8800</v>
      </c>
      <c r="O9" s="3">
        <v>2</v>
      </c>
      <c r="P9" s="3">
        <v>2</v>
      </c>
      <c r="Q9" s="3">
        <v>1000</v>
      </c>
      <c r="R9" s="3">
        <v>250</v>
      </c>
      <c r="S9" s="3">
        <v>950</v>
      </c>
      <c r="T9" s="3">
        <v>200</v>
      </c>
      <c r="U9" s="3">
        <v>800</v>
      </c>
      <c r="V9" s="3">
        <v>320</v>
      </c>
      <c r="W9" s="3">
        <v>-1</v>
      </c>
      <c r="X9" s="3">
        <v>25</v>
      </c>
      <c r="Y9" s="3">
        <v>18</v>
      </c>
      <c r="Z9" s="3">
        <v>0</v>
      </c>
      <c r="AA9" s="3">
        <v>0</v>
      </c>
      <c r="AB9" s="3">
        <v>1</v>
      </c>
      <c r="AC9" s="9">
        <v>380</v>
      </c>
      <c r="AE9" s="4">
        <v>13.4</v>
      </c>
      <c r="AF9" s="4">
        <v>13.4</v>
      </c>
      <c r="AG9">
        <v>50</v>
      </c>
      <c r="AH9">
        <v>60</v>
      </c>
      <c r="AI9">
        <v>-25</v>
      </c>
      <c r="AJ9" t="s">
        <v>276</v>
      </c>
      <c r="AK9" t="s">
        <v>277</v>
      </c>
      <c r="AL9">
        <v>0</v>
      </c>
      <c r="AN9">
        <v>7</v>
      </c>
      <c r="AO9">
        <v>0</v>
      </c>
      <c r="AP9">
        <f t="shared" si="1"/>
        <v>4</v>
      </c>
      <c r="AR9">
        <v>1</v>
      </c>
      <c r="AS9">
        <v>0</v>
      </c>
      <c r="AT9">
        <v>0</v>
      </c>
      <c r="AU9">
        <v>0</v>
      </c>
      <c r="AW9">
        <v>0</v>
      </c>
      <c r="AY9" t="str">
        <f t="shared" si="2"/>
        <v>2</v>
      </c>
      <c r="BA9" s="13" t="str">
        <f t="shared" si="3"/>
        <v>('SUN2000-8KTL', 2, 520, 610, 266, 42, 60, -25, 'CONVECÇÃO NATURAL', 'IP65', 'TRANSFORMERLESS', 8000, 8800, 380, 13.4, 13.4, 50, 2, 4, 0),</v>
      </c>
      <c r="BB9" t="str">
        <f t="shared" si="4"/>
        <v xml:space="preserve">(7, 0, 2, 1000, 250, 950, 200, 800, 320, -1, 25, 18), </v>
      </c>
      <c r="BC9" t="str">
        <f t="shared" si="5"/>
        <v>(7, 'ON-GRID'),</v>
      </c>
      <c r="BD9" t="str">
        <f t="shared" si="6"/>
        <v/>
      </c>
      <c r="BE9" t="str">
        <f t="shared" si="7"/>
        <v/>
      </c>
      <c r="BF9" t="str">
        <f t="shared" si="8"/>
        <v/>
      </c>
      <c r="BG9" t="str">
        <f t="shared" si="13"/>
        <v/>
      </c>
      <c r="BH9" t="str">
        <f t="shared" si="14"/>
        <v>(7, 'RS485'),</v>
      </c>
      <c r="BI9" t="str">
        <f t="shared" si="15"/>
        <v>(7, 'DISPLAY'),</v>
      </c>
      <c r="BJ9" t="str">
        <f t="shared" si="16"/>
        <v>(7, 'LED'),</v>
      </c>
      <c r="BK9" t="str">
        <f t="shared" si="17"/>
        <v>(7, 'USB'),</v>
      </c>
      <c r="BL9" t="str">
        <f t="shared" si="18"/>
        <v/>
      </c>
      <c r="BM9" t="str">
        <f t="shared" si="10"/>
        <v/>
      </c>
      <c r="BN9" t="str">
        <f t="shared" si="11"/>
        <v>(7, 'THREE_PHASE_FOUR_WIRE'),</v>
      </c>
      <c r="BO9" t="str">
        <f t="shared" si="12"/>
        <v/>
      </c>
    </row>
    <row r="10" spans="1:67">
      <c r="A10" s="2" t="s">
        <v>283</v>
      </c>
      <c r="B10" s="3" t="s">
        <v>274</v>
      </c>
      <c r="C10" s="3">
        <v>266</v>
      </c>
      <c r="D10" s="3">
        <v>520</v>
      </c>
      <c r="E10" s="3">
        <v>610</v>
      </c>
      <c r="F10" s="3">
        <v>42</v>
      </c>
      <c r="G10" s="3" t="s">
        <v>275</v>
      </c>
      <c r="H10" s="3">
        <v>0</v>
      </c>
      <c r="I10" s="3">
        <v>1</v>
      </c>
      <c r="J10" s="3">
        <v>1</v>
      </c>
      <c r="K10" s="3">
        <v>1</v>
      </c>
      <c r="L10" s="3">
        <v>1</v>
      </c>
      <c r="M10" s="3">
        <v>10000</v>
      </c>
      <c r="N10" s="3">
        <v>11000</v>
      </c>
      <c r="O10" s="3">
        <v>2</v>
      </c>
      <c r="P10" s="3">
        <v>2</v>
      </c>
      <c r="Q10" s="3">
        <v>1000</v>
      </c>
      <c r="R10" s="3">
        <v>250</v>
      </c>
      <c r="S10" s="3">
        <v>950</v>
      </c>
      <c r="T10" s="3">
        <v>200</v>
      </c>
      <c r="U10" s="3">
        <v>800</v>
      </c>
      <c r="V10" s="3">
        <v>320</v>
      </c>
      <c r="W10" s="3">
        <v>-1</v>
      </c>
      <c r="X10" s="3">
        <v>25</v>
      </c>
      <c r="Y10" s="3">
        <v>18</v>
      </c>
      <c r="Z10" s="3">
        <v>0</v>
      </c>
      <c r="AA10" s="3">
        <v>0</v>
      </c>
      <c r="AB10" s="3">
        <v>1</v>
      </c>
      <c r="AC10" s="9">
        <v>380</v>
      </c>
      <c r="AE10" s="4">
        <v>17</v>
      </c>
      <c r="AF10" s="4">
        <v>17</v>
      </c>
      <c r="AG10">
        <v>50</v>
      </c>
      <c r="AH10">
        <v>60</v>
      </c>
      <c r="AI10">
        <v>-25</v>
      </c>
      <c r="AJ10" t="s">
        <v>276</v>
      </c>
      <c r="AK10" t="s">
        <v>277</v>
      </c>
      <c r="AL10">
        <v>0</v>
      </c>
      <c r="AN10">
        <v>8</v>
      </c>
      <c r="AO10">
        <v>0</v>
      </c>
      <c r="AP10">
        <f t="shared" si="1"/>
        <v>4</v>
      </c>
      <c r="AR10">
        <v>1</v>
      </c>
      <c r="AS10">
        <v>0</v>
      </c>
      <c r="AT10">
        <v>0</v>
      </c>
      <c r="AU10">
        <v>0</v>
      </c>
      <c r="AW10">
        <v>0</v>
      </c>
      <c r="AY10" t="str">
        <f t="shared" si="2"/>
        <v>2</v>
      </c>
      <c r="BA10" s="13" t="str">
        <f t="shared" si="3"/>
        <v>('SUN2000-10KTL', 2, 520, 610, 266, 42, 60, -25, 'CONVECÇÃO NATURAL', 'IP65', 'TRANSFORMERLESS', 10000, 11000, 380, 17, 17, 50, 2, 4, 0),</v>
      </c>
      <c r="BB10" t="str">
        <f t="shared" si="4"/>
        <v xml:space="preserve">(8, 0, 2, 1000, 250, 950, 200, 800, 320, -1, 25, 18), </v>
      </c>
      <c r="BC10" t="str">
        <f t="shared" si="5"/>
        <v>(8, 'ON-GRID'),</v>
      </c>
      <c r="BD10" t="str">
        <f t="shared" si="6"/>
        <v/>
      </c>
      <c r="BE10" t="str">
        <f t="shared" si="7"/>
        <v/>
      </c>
      <c r="BF10" t="str">
        <f t="shared" si="8"/>
        <v/>
      </c>
      <c r="BG10" t="str">
        <f t="shared" si="13"/>
        <v/>
      </c>
      <c r="BH10" t="str">
        <f t="shared" si="14"/>
        <v>(8, 'RS485'),</v>
      </c>
      <c r="BI10" t="str">
        <f t="shared" si="15"/>
        <v>(8, 'DISPLAY'),</v>
      </c>
      <c r="BJ10" t="str">
        <f t="shared" si="16"/>
        <v>(8, 'LED'),</v>
      </c>
      <c r="BK10" t="str">
        <f t="shared" si="17"/>
        <v>(8, 'USB'),</v>
      </c>
      <c r="BL10" t="str">
        <f t="shared" si="18"/>
        <v/>
      </c>
      <c r="BM10" t="str">
        <f t="shared" si="10"/>
        <v/>
      </c>
      <c r="BN10" t="str">
        <f t="shared" si="11"/>
        <v>(8, 'THREE_PHASE_FOUR_WIRE'),</v>
      </c>
      <c r="BO10" t="str">
        <f t="shared" si="12"/>
        <v/>
      </c>
    </row>
    <row r="11" spans="1:67">
      <c r="A11" s="2" t="s">
        <v>284</v>
      </c>
      <c r="B11" s="3" t="s">
        <v>274</v>
      </c>
      <c r="C11" s="3">
        <v>266</v>
      </c>
      <c r="D11" s="3">
        <v>520</v>
      </c>
      <c r="E11" s="3">
        <v>610</v>
      </c>
      <c r="F11" s="3">
        <v>42</v>
      </c>
      <c r="G11" s="3" t="s">
        <v>275</v>
      </c>
      <c r="H11" s="3">
        <v>0</v>
      </c>
      <c r="I11" s="3">
        <v>1</v>
      </c>
      <c r="J11" s="3">
        <v>1</v>
      </c>
      <c r="K11" s="3">
        <v>1</v>
      </c>
      <c r="L11" s="3">
        <v>1</v>
      </c>
      <c r="M11" s="3">
        <v>12000</v>
      </c>
      <c r="N11" s="3">
        <v>13200</v>
      </c>
      <c r="O11" s="3">
        <v>2</v>
      </c>
      <c r="P11" s="3">
        <v>2</v>
      </c>
      <c r="Q11" s="3">
        <v>1000</v>
      </c>
      <c r="R11" s="3">
        <v>250</v>
      </c>
      <c r="S11" s="3">
        <v>950</v>
      </c>
      <c r="T11" s="3">
        <v>200</v>
      </c>
      <c r="U11" s="3">
        <v>800</v>
      </c>
      <c r="V11" s="3">
        <v>380</v>
      </c>
      <c r="W11" s="3">
        <v>-1</v>
      </c>
      <c r="X11" s="3">
        <v>25</v>
      </c>
      <c r="Y11" s="3">
        <v>18</v>
      </c>
      <c r="Z11" s="3">
        <v>0</v>
      </c>
      <c r="AA11" s="3">
        <v>0</v>
      </c>
      <c r="AB11" s="3">
        <v>1</v>
      </c>
      <c r="AC11" s="9">
        <v>380</v>
      </c>
      <c r="AE11" s="4">
        <v>20</v>
      </c>
      <c r="AF11" s="4">
        <v>20</v>
      </c>
      <c r="AG11">
        <v>50</v>
      </c>
      <c r="AH11">
        <v>60</v>
      </c>
      <c r="AI11">
        <v>-25</v>
      </c>
      <c r="AJ11" t="s">
        <v>276</v>
      </c>
      <c r="AK11" t="s">
        <v>277</v>
      </c>
      <c r="AL11">
        <v>0</v>
      </c>
      <c r="AN11">
        <v>9</v>
      </c>
      <c r="AO11">
        <v>0</v>
      </c>
      <c r="AP11">
        <f t="shared" si="1"/>
        <v>4</v>
      </c>
      <c r="AR11">
        <v>1</v>
      </c>
      <c r="AS11">
        <v>0</v>
      </c>
      <c r="AT11">
        <v>0</v>
      </c>
      <c r="AU11">
        <v>0</v>
      </c>
      <c r="AW11">
        <v>0</v>
      </c>
      <c r="AY11" t="str">
        <f t="shared" si="2"/>
        <v>2</v>
      </c>
      <c r="BA11" s="13" t="str">
        <f t="shared" si="3"/>
        <v>('SUN2000-12KTL', 2, 520, 610, 266, 42, 60, -25, 'CONVECÇÃO NATURAL', 'IP65', 'TRANSFORMERLESS', 12000, 13200, 380, 20, 20, 50, 2, 4, 0),</v>
      </c>
      <c r="BB11" t="str">
        <f t="shared" si="4"/>
        <v xml:space="preserve">(9, 0, 2, 1000, 250, 950, 200, 800, 380, -1, 25, 18), </v>
      </c>
      <c r="BC11" t="str">
        <f t="shared" si="5"/>
        <v>(9, 'ON-GRID'),</v>
      </c>
      <c r="BD11" t="str">
        <f t="shared" si="6"/>
        <v/>
      </c>
      <c r="BE11" t="str">
        <f t="shared" si="7"/>
        <v/>
      </c>
      <c r="BF11" t="str">
        <f t="shared" si="8"/>
        <v/>
      </c>
      <c r="BG11" t="str">
        <f t="shared" si="13"/>
        <v/>
      </c>
      <c r="BH11" t="str">
        <f t="shared" si="14"/>
        <v>(9, 'RS485'),</v>
      </c>
      <c r="BI11" t="str">
        <f t="shared" si="15"/>
        <v>(9, 'DISPLAY'),</v>
      </c>
      <c r="BJ11" t="str">
        <f t="shared" si="16"/>
        <v>(9, 'LED'),</v>
      </c>
      <c r="BK11" t="str">
        <f t="shared" si="17"/>
        <v>(9, 'USB'),</v>
      </c>
      <c r="BL11" t="str">
        <f t="shared" si="18"/>
        <v/>
      </c>
      <c r="BM11" t="str">
        <f t="shared" si="10"/>
        <v/>
      </c>
      <c r="BN11" t="str">
        <f t="shared" si="11"/>
        <v>(9, 'THREE_PHASE_FOUR_WIRE'),</v>
      </c>
      <c r="BO11" t="str">
        <f t="shared" si="12"/>
        <v/>
      </c>
    </row>
    <row r="12" spans="1:67">
      <c r="A12" s="2" t="s">
        <v>285</v>
      </c>
      <c r="B12" s="3" t="s">
        <v>274</v>
      </c>
      <c r="C12" s="3">
        <v>266</v>
      </c>
      <c r="D12" s="3">
        <v>520</v>
      </c>
      <c r="E12" s="3">
        <v>610</v>
      </c>
      <c r="F12" s="3">
        <v>50</v>
      </c>
      <c r="G12" s="3" t="s">
        <v>275</v>
      </c>
      <c r="H12" s="3">
        <v>0</v>
      </c>
      <c r="I12" s="3">
        <v>1</v>
      </c>
      <c r="J12" s="3">
        <v>1</v>
      </c>
      <c r="K12" s="3">
        <v>1</v>
      </c>
      <c r="L12" s="3">
        <v>1</v>
      </c>
      <c r="M12" s="3">
        <v>15000</v>
      </c>
      <c r="N12" s="3">
        <v>16500</v>
      </c>
      <c r="O12" s="3">
        <v>2</v>
      </c>
      <c r="P12" s="3">
        <v>3</v>
      </c>
      <c r="Q12" s="3">
        <v>1000</v>
      </c>
      <c r="R12" s="3">
        <v>250</v>
      </c>
      <c r="S12" s="3">
        <v>950</v>
      </c>
      <c r="T12" s="3">
        <v>200</v>
      </c>
      <c r="U12" s="3">
        <v>800</v>
      </c>
      <c r="V12" s="3">
        <v>400</v>
      </c>
      <c r="W12" s="3">
        <v>-1</v>
      </c>
      <c r="X12" s="3">
        <v>25</v>
      </c>
      <c r="Y12" s="3">
        <v>18</v>
      </c>
      <c r="Z12" s="3">
        <v>0</v>
      </c>
      <c r="AA12" s="3">
        <v>0</v>
      </c>
      <c r="AB12" s="3">
        <v>1</v>
      </c>
      <c r="AC12" s="9">
        <v>380</v>
      </c>
      <c r="AE12" s="4">
        <v>25.2</v>
      </c>
      <c r="AF12" s="4">
        <v>25.2</v>
      </c>
      <c r="AG12">
        <v>50</v>
      </c>
      <c r="AH12">
        <v>60</v>
      </c>
      <c r="AI12">
        <v>-25</v>
      </c>
      <c r="AJ12" t="s">
        <v>276</v>
      </c>
      <c r="AK12" t="s">
        <v>277</v>
      </c>
      <c r="AL12">
        <v>0</v>
      </c>
      <c r="AN12">
        <v>10</v>
      </c>
      <c r="AO12">
        <v>0</v>
      </c>
      <c r="AP12">
        <f t="shared" si="1"/>
        <v>6</v>
      </c>
      <c r="AR12">
        <v>1</v>
      </c>
      <c r="AS12">
        <v>0</v>
      </c>
      <c r="AT12">
        <v>0</v>
      </c>
      <c r="AU12">
        <v>0</v>
      </c>
      <c r="AW12">
        <v>0</v>
      </c>
      <c r="AY12" t="str">
        <f t="shared" si="2"/>
        <v>2</v>
      </c>
      <c r="BA12" s="13" t="str">
        <f t="shared" si="3"/>
        <v>('SUN2000-15KTL', 2, 520, 610, 266, 50, 60, -25, 'CONVECÇÃO NATURAL', 'IP65', 'TRANSFORMERLESS', 15000, 16500, 380, 25.2, 25.2, 50, 3, 6, 0),</v>
      </c>
      <c r="BB12" t="str">
        <f t="shared" si="4"/>
        <v xml:space="preserve">(10, 0, 2, 1000, 250, 950, 200, 800, 400, -1, 25, 18), </v>
      </c>
      <c r="BC12" t="str">
        <f t="shared" si="5"/>
        <v>(10, 'ON-GRID'),</v>
      </c>
      <c r="BD12" t="str">
        <f t="shared" si="6"/>
        <v/>
      </c>
      <c r="BE12" t="str">
        <f t="shared" si="7"/>
        <v/>
      </c>
      <c r="BF12" t="str">
        <f t="shared" si="8"/>
        <v/>
      </c>
      <c r="BG12" t="str">
        <f t="shared" si="13"/>
        <v/>
      </c>
      <c r="BH12" t="str">
        <f t="shared" si="14"/>
        <v>(10, 'RS485'),</v>
      </c>
      <c r="BI12" t="str">
        <f t="shared" si="15"/>
        <v>(10, 'DISPLAY'),</v>
      </c>
      <c r="BJ12" t="str">
        <f t="shared" si="16"/>
        <v>(10, 'LED'),</v>
      </c>
      <c r="BK12" t="str">
        <f t="shared" si="17"/>
        <v>(10, 'USB'),</v>
      </c>
      <c r="BL12" t="str">
        <f t="shared" si="18"/>
        <v/>
      </c>
      <c r="BM12" t="str">
        <f t="shared" si="10"/>
        <v/>
      </c>
      <c r="BN12" t="str">
        <f t="shared" si="11"/>
        <v>(10, 'THREE_PHASE_FOUR_WIRE'),</v>
      </c>
      <c r="BO12" t="str">
        <f t="shared" si="12"/>
        <v/>
      </c>
    </row>
    <row r="13" spans="1:67">
      <c r="A13" s="2" t="s">
        <v>286</v>
      </c>
      <c r="B13" s="3" t="s">
        <v>274</v>
      </c>
      <c r="C13" s="3">
        <v>266</v>
      </c>
      <c r="D13" s="3">
        <v>520</v>
      </c>
      <c r="E13" s="3">
        <v>610</v>
      </c>
      <c r="F13" s="3">
        <v>50</v>
      </c>
      <c r="G13" s="3" t="s">
        <v>275</v>
      </c>
      <c r="H13" s="3">
        <v>0</v>
      </c>
      <c r="I13" s="3">
        <v>1</v>
      </c>
      <c r="J13" s="3">
        <v>1</v>
      </c>
      <c r="K13" s="3">
        <v>1</v>
      </c>
      <c r="L13" s="3">
        <v>1</v>
      </c>
      <c r="M13" s="3">
        <v>17000</v>
      </c>
      <c r="N13" s="3">
        <v>18700</v>
      </c>
      <c r="O13" s="3">
        <v>2</v>
      </c>
      <c r="P13" s="3">
        <v>3</v>
      </c>
      <c r="Q13" s="3">
        <v>1000</v>
      </c>
      <c r="R13" s="3">
        <v>250</v>
      </c>
      <c r="S13" s="3">
        <v>950</v>
      </c>
      <c r="T13" s="3">
        <v>200</v>
      </c>
      <c r="U13" s="3">
        <v>800</v>
      </c>
      <c r="V13" s="3">
        <v>400</v>
      </c>
      <c r="W13" s="3">
        <v>-1</v>
      </c>
      <c r="X13" s="3">
        <v>25</v>
      </c>
      <c r="Y13" s="3">
        <v>18</v>
      </c>
      <c r="Z13" s="3">
        <v>0</v>
      </c>
      <c r="AA13" s="3">
        <v>0</v>
      </c>
      <c r="AB13" s="3">
        <v>1</v>
      </c>
      <c r="AC13" s="9">
        <v>380</v>
      </c>
      <c r="AE13" s="4">
        <v>28.5</v>
      </c>
      <c r="AF13" s="4">
        <v>28.5</v>
      </c>
      <c r="AG13">
        <v>50</v>
      </c>
      <c r="AH13">
        <v>60</v>
      </c>
      <c r="AI13">
        <v>-25</v>
      </c>
      <c r="AJ13" t="s">
        <v>276</v>
      </c>
      <c r="AK13" t="s">
        <v>277</v>
      </c>
      <c r="AL13">
        <v>0</v>
      </c>
      <c r="AN13">
        <v>11</v>
      </c>
      <c r="AO13">
        <v>0</v>
      </c>
      <c r="AP13">
        <f t="shared" si="1"/>
        <v>6</v>
      </c>
      <c r="AR13">
        <v>1</v>
      </c>
      <c r="AS13">
        <v>0</v>
      </c>
      <c r="AT13">
        <v>0</v>
      </c>
      <c r="AU13">
        <v>0</v>
      </c>
      <c r="AW13">
        <v>0</v>
      </c>
      <c r="AY13" t="str">
        <f t="shared" si="2"/>
        <v>2</v>
      </c>
      <c r="BA13" s="13" t="str">
        <f t="shared" si="3"/>
        <v>('SUN2000-17KTL', 2, 520, 610, 266, 50, 60, -25, 'CONVECÇÃO NATURAL', 'IP65', 'TRANSFORMERLESS', 17000, 18700, 380, 28.5, 28.5, 50, 3, 6, 0),</v>
      </c>
      <c r="BB13" t="str">
        <f t="shared" si="4"/>
        <v xml:space="preserve">(11, 0, 2, 1000, 250, 950, 200, 800, 400, -1, 25, 18), </v>
      </c>
      <c r="BC13" t="str">
        <f t="shared" si="5"/>
        <v>(11, 'ON-GRID'),</v>
      </c>
      <c r="BD13" t="str">
        <f t="shared" si="6"/>
        <v/>
      </c>
      <c r="BE13" t="str">
        <f t="shared" si="7"/>
        <v/>
      </c>
      <c r="BF13" t="str">
        <f t="shared" si="8"/>
        <v/>
      </c>
      <c r="BG13" t="str">
        <f t="shared" si="13"/>
        <v/>
      </c>
      <c r="BH13" t="str">
        <f t="shared" si="14"/>
        <v>(11, 'RS485'),</v>
      </c>
      <c r="BI13" t="str">
        <f t="shared" si="15"/>
        <v>(11, 'DISPLAY'),</v>
      </c>
      <c r="BJ13" t="str">
        <f t="shared" si="16"/>
        <v>(11, 'LED'),</v>
      </c>
      <c r="BK13" t="str">
        <f t="shared" si="17"/>
        <v>(11, 'USB'),</v>
      </c>
      <c r="BL13" t="str">
        <f t="shared" si="18"/>
        <v/>
      </c>
      <c r="BM13" t="str">
        <f t="shared" si="10"/>
        <v/>
      </c>
      <c r="BN13" t="str">
        <f t="shared" si="11"/>
        <v>(11, 'THREE_PHASE_FOUR_WIRE'),</v>
      </c>
      <c r="BO13" t="str">
        <f t="shared" si="12"/>
        <v/>
      </c>
    </row>
    <row r="14" spans="1:67">
      <c r="A14" s="2" t="s">
        <v>287</v>
      </c>
      <c r="B14" s="3" t="s">
        <v>274</v>
      </c>
      <c r="C14" s="3">
        <v>266</v>
      </c>
      <c r="D14" s="3">
        <v>520</v>
      </c>
      <c r="E14" s="3">
        <v>610</v>
      </c>
      <c r="F14" s="3">
        <v>50</v>
      </c>
      <c r="G14" s="3" t="s">
        <v>275</v>
      </c>
      <c r="H14" s="3">
        <v>0</v>
      </c>
      <c r="I14" s="3">
        <v>1</v>
      </c>
      <c r="J14" s="3">
        <v>1</v>
      </c>
      <c r="K14" s="3">
        <v>1</v>
      </c>
      <c r="L14" s="3">
        <v>1</v>
      </c>
      <c r="M14" s="3">
        <v>20000</v>
      </c>
      <c r="N14" s="3">
        <v>22000</v>
      </c>
      <c r="O14" s="3">
        <v>2</v>
      </c>
      <c r="P14" s="3">
        <v>3</v>
      </c>
      <c r="Q14" s="3">
        <v>1000</v>
      </c>
      <c r="R14" s="3">
        <v>250</v>
      </c>
      <c r="S14" s="3">
        <v>950</v>
      </c>
      <c r="T14" s="3">
        <v>200</v>
      </c>
      <c r="U14" s="3">
        <v>800</v>
      </c>
      <c r="V14" s="3">
        <v>480</v>
      </c>
      <c r="W14" s="3">
        <v>-1</v>
      </c>
      <c r="X14" s="3">
        <v>25</v>
      </c>
      <c r="Y14" s="3">
        <v>18</v>
      </c>
      <c r="Z14" s="3">
        <v>0</v>
      </c>
      <c r="AA14" s="3">
        <v>0</v>
      </c>
      <c r="AB14" s="3">
        <v>1</v>
      </c>
      <c r="AC14" s="9">
        <v>380</v>
      </c>
      <c r="AE14" s="4">
        <v>33.5</v>
      </c>
      <c r="AF14" s="4">
        <v>33.5</v>
      </c>
      <c r="AG14">
        <v>50</v>
      </c>
      <c r="AH14">
        <v>60</v>
      </c>
      <c r="AI14">
        <v>-25</v>
      </c>
      <c r="AJ14" t="s">
        <v>276</v>
      </c>
      <c r="AK14" t="s">
        <v>277</v>
      </c>
      <c r="AL14">
        <v>0</v>
      </c>
      <c r="AN14">
        <v>12</v>
      </c>
      <c r="AO14">
        <v>0</v>
      </c>
      <c r="AP14">
        <f t="shared" si="1"/>
        <v>6</v>
      </c>
      <c r="AR14">
        <v>1</v>
      </c>
      <c r="AS14">
        <v>0</v>
      </c>
      <c r="AT14">
        <v>0</v>
      </c>
      <c r="AU14">
        <v>0</v>
      </c>
      <c r="AW14">
        <v>0</v>
      </c>
      <c r="AY14" t="str">
        <f t="shared" si="2"/>
        <v>2</v>
      </c>
      <c r="BA14" s="13" t="str">
        <f t="shared" si="3"/>
        <v>('SUN2000-20KTL', 2, 520, 610, 266, 50, 60, -25, 'CONVECÇÃO NATURAL', 'IP65', 'TRANSFORMERLESS', 20000, 22000, 380, 33.5, 33.5, 50, 3, 6, 0),</v>
      </c>
      <c r="BB14" t="str">
        <f t="shared" si="4"/>
        <v xml:space="preserve">(12, 0, 2, 1000, 250, 950, 200, 800, 480, -1, 25, 18), </v>
      </c>
      <c r="BC14" t="str">
        <f t="shared" si="5"/>
        <v>(12, 'ON-GRID'),</v>
      </c>
      <c r="BD14" t="str">
        <f t="shared" si="6"/>
        <v/>
      </c>
      <c r="BE14" t="str">
        <f t="shared" si="7"/>
        <v/>
      </c>
      <c r="BF14" t="str">
        <f t="shared" si="8"/>
        <v/>
      </c>
      <c r="BG14" t="str">
        <f t="shared" si="13"/>
        <v/>
      </c>
      <c r="BH14" t="str">
        <f t="shared" si="14"/>
        <v>(12, 'RS485'),</v>
      </c>
      <c r="BI14" t="str">
        <f t="shared" si="15"/>
        <v>(12, 'DISPLAY'),</v>
      </c>
      <c r="BJ14" t="str">
        <f t="shared" si="16"/>
        <v>(12, 'LED'),</v>
      </c>
      <c r="BK14" t="str">
        <f t="shared" si="17"/>
        <v>(12, 'USB'),</v>
      </c>
      <c r="BL14" t="str">
        <f t="shared" si="18"/>
        <v/>
      </c>
      <c r="BM14" t="str">
        <f t="shared" si="10"/>
        <v/>
      </c>
      <c r="BN14" t="str">
        <f t="shared" si="11"/>
        <v>(12, 'THREE_PHASE_FOUR_WIRE'),</v>
      </c>
      <c r="BO14" t="str">
        <f t="shared" si="12"/>
        <v/>
      </c>
    </row>
    <row r="15" spans="1:67">
      <c r="A15" s="2" t="s">
        <v>288</v>
      </c>
      <c r="B15" s="3" t="s">
        <v>274</v>
      </c>
      <c r="C15" s="3">
        <v>266</v>
      </c>
      <c r="D15" s="3">
        <v>520</v>
      </c>
      <c r="E15" s="3">
        <v>610</v>
      </c>
      <c r="F15" s="3">
        <v>50</v>
      </c>
      <c r="G15" s="3" t="s">
        <v>275</v>
      </c>
      <c r="H15" s="3">
        <v>0</v>
      </c>
      <c r="I15" s="3">
        <v>1</v>
      </c>
      <c r="J15" s="3">
        <v>1</v>
      </c>
      <c r="K15" s="3">
        <v>1</v>
      </c>
      <c r="L15" s="3">
        <v>1</v>
      </c>
      <c r="M15" s="3">
        <v>23000</v>
      </c>
      <c r="N15" s="3">
        <v>23000</v>
      </c>
      <c r="O15" s="3">
        <v>2</v>
      </c>
      <c r="P15" s="3">
        <v>3</v>
      </c>
      <c r="Q15" s="3">
        <v>1000</v>
      </c>
      <c r="R15" s="3">
        <v>250</v>
      </c>
      <c r="S15" s="3">
        <v>950</v>
      </c>
      <c r="T15" s="3">
        <v>200</v>
      </c>
      <c r="U15" s="3">
        <v>800</v>
      </c>
      <c r="V15" s="3">
        <v>480</v>
      </c>
      <c r="W15" s="3">
        <v>-1</v>
      </c>
      <c r="X15" s="3">
        <v>25</v>
      </c>
      <c r="Y15" s="3">
        <v>18</v>
      </c>
      <c r="Z15" s="3">
        <v>0</v>
      </c>
      <c r="AA15" s="3">
        <v>0</v>
      </c>
      <c r="AB15" s="3">
        <v>1</v>
      </c>
      <c r="AC15" s="3">
        <v>380</v>
      </c>
      <c r="AE15" s="4">
        <v>33.5</v>
      </c>
      <c r="AF15" s="4">
        <v>33.5</v>
      </c>
      <c r="AG15">
        <v>50</v>
      </c>
      <c r="AH15">
        <v>60</v>
      </c>
      <c r="AI15">
        <v>-25</v>
      </c>
      <c r="AJ15" t="s">
        <v>276</v>
      </c>
      <c r="AK15" t="s">
        <v>277</v>
      </c>
      <c r="AL15">
        <v>0</v>
      </c>
      <c r="AN15">
        <v>13</v>
      </c>
      <c r="AO15">
        <v>0</v>
      </c>
      <c r="AP15">
        <f t="shared" si="1"/>
        <v>6</v>
      </c>
      <c r="AR15">
        <v>1</v>
      </c>
      <c r="AS15">
        <v>0</v>
      </c>
      <c r="AT15">
        <v>0</v>
      </c>
      <c r="AU15">
        <v>0</v>
      </c>
      <c r="AW15">
        <v>0</v>
      </c>
      <c r="AY15" t="str">
        <f t="shared" si="2"/>
        <v>2</v>
      </c>
      <c r="BA15" s="13" t="str">
        <f t="shared" si="3"/>
        <v>('SUN2000-23KTL', 2, 520, 610, 266, 50, 60, -25, 'CONVECÇÃO NATURAL', 'IP65', 'TRANSFORMERLESS', 23000, 23000, 380, 33.5, 33.5, 50, 3, 6, 0),</v>
      </c>
      <c r="BB15" t="str">
        <f t="shared" si="4"/>
        <v xml:space="preserve">(13, 0, 2, 1000, 250, 950, 200, 800, 480, -1, 25, 18), </v>
      </c>
      <c r="BC15" t="str">
        <f t="shared" si="5"/>
        <v>(13, 'ON-GRID'),</v>
      </c>
      <c r="BD15" t="str">
        <f t="shared" si="6"/>
        <v/>
      </c>
      <c r="BE15" t="str">
        <f t="shared" si="7"/>
        <v/>
      </c>
      <c r="BF15" t="str">
        <f t="shared" si="8"/>
        <v/>
      </c>
      <c r="BG15" t="str">
        <f t="shared" si="13"/>
        <v/>
      </c>
      <c r="BH15" t="str">
        <f t="shared" si="14"/>
        <v>(13, 'RS485'),</v>
      </c>
      <c r="BI15" t="str">
        <f t="shared" si="15"/>
        <v>(13, 'DISPLAY'),</v>
      </c>
      <c r="BJ15" t="str">
        <f t="shared" si="16"/>
        <v>(13, 'LED'),</v>
      </c>
      <c r="BK15" t="str">
        <f t="shared" si="17"/>
        <v>(13, 'USB'),</v>
      </c>
      <c r="BL15" t="str">
        <f t="shared" si="18"/>
        <v/>
      </c>
      <c r="BM15" t="str">
        <f t="shared" si="10"/>
        <v/>
      </c>
      <c r="BN15" t="str">
        <f t="shared" si="11"/>
        <v>(13, 'THREE_PHASE_FOUR_WIRE'),</v>
      </c>
      <c r="BO15" t="str">
        <f t="shared" si="12"/>
        <v/>
      </c>
    </row>
    <row r="16" spans="1:67">
      <c r="A16" s="2" t="s">
        <v>289</v>
      </c>
      <c r="B16" s="3" t="s">
        <v>274</v>
      </c>
      <c r="C16" s="3">
        <v>266</v>
      </c>
      <c r="D16" s="3">
        <v>520</v>
      </c>
      <c r="E16" s="3">
        <v>610</v>
      </c>
      <c r="F16" s="3">
        <v>50</v>
      </c>
      <c r="G16" s="3" t="s">
        <v>275</v>
      </c>
      <c r="H16" s="3">
        <v>0</v>
      </c>
      <c r="I16" s="3">
        <v>1</v>
      </c>
      <c r="J16" s="3">
        <v>1</v>
      </c>
      <c r="K16" s="3">
        <v>1</v>
      </c>
      <c r="L16" s="3">
        <v>1</v>
      </c>
      <c r="M16" s="3">
        <v>27500</v>
      </c>
      <c r="N16" s="3">
        <v>27500</v>
      </c>
      <c r="O16" s="3">
        <v>2</v>
      </c>
      <c r="P16" s="3">
        <v>3</v>
      </c>
      <c r="Q16" s="3">
        <v>1000</v>
      </c>
      <c r="R16" s="3">
        <v>250</v>
      </c>
      <c r="S16" s="3">
        <v>950</v>
      </c>
      <c r="T16" s="3">
        <v>200</v>
      </c>
      <c r="U16" s="3">
        <v>800</v>
      </c>
      <c r="V16" s="3">
        <v>520</v>
      </c>
      <c r="W16" s="3">
        <v>-1</v>
      </c>
      <c r="X16" s="3">
        <v>25</v>
      </c>
      <c r="Y16" s="3">
        <v>18</v>
      </c>
      <c r="Z16" s="3">
        <v>0</v>
      </c>
      <c r="AA16" s="3">
        <v>1</v>
      </c>
      <c r="AB16" s="3">
        <v>0</v>
      </c>
      <c r="AC16" s="3">
        <v>480</v>
      </c>
      <c r="AE16" s="4">
        <v>33.5</v>
      </c>
      <c r="AF16" s="4">
        <v>33.5</v>
      </c>
      <c r="AG16">
        <v>50</v>
      </c>
      <c r="AH16">
        <v>60</v>
      </c>
      <c r="AI16">
        <v>-25</v>
      </c>
      <c r="AJ16" t="s">
        <v>276</v>
      </c>
      <c r="AK16" t="s">
        <v>277</v>
      </c>
      <c r="AL16">
        <v>0</v>
      </c>
      <c r="AN16">
        <v>14</v>
      </c>
      <c r="AO16">
        <v>0</v>
      </c>
      <c r="AP16">
        <f t="shared" si="1"/>
        <v>6</v>
      </c>
      <c r="AR16">
        <v>1</v>
      </c>
      <c r="AS16">
        <v>0</v>
      </c>
      <c r="AT16">
        <v>0</v>
      </c>
      <c r="AU16">
        <v>0</v>
      </c>
      <c r="AW16">
        <v>0</v>
      </c>
      <c r="AY16" t="str">
        <f t="shared" si="2"/>
        <v>2</v>
      </c>
      <c r="BA16" s="13" t="str">
        <f t="shared" si="3"/>
        <v>('SUN2000-28KTL', 2, 520, 610, 266, 50, 60, -25, 'CONVECÇÃO NATURAL', 'IP65', 'TRANSFORMERLESS', 27500, 27500, 480, 33.5, 33.5, 50, 3, 6, 0),</v>
      </c>
      <c r="BB16" t="str">
        <f t="shared" si="4"/>
        <v xml:space="preserve">(14, 0, 2, 1000, 250, 950, 200, 800, 520, -1, 25, 18), </v>
      </c>
      <c r="BC16" t="str">
        <f t="shared" si="5"/>
        <v>(14, 'ON-GRID'),</v>
      </c>
      <c r="BD16" t="str">
        <f t="shared" si="6"/>
        <v/>
      </c>
      <c r="BE16" t="str">
        <f t="shared" si="7"/>
        <v/>
      </c>
      <c r="BF16" t="str">
        <f t="shared" si="8"/>
        <v/>
      </c>
      <c r="BG16" t="str">
        <f t="shared" si="13"/>
        <v/>
      </c>
      <c r="BH16" t="str">
        <f t="shared" si="14"/>
        <v>(14, 'RS485'),</v>
      </c>
      <c r="BI16" t="str">
        <f t="shared" si="15"/>
        <v>(14, 'DISPLAY'),</v>
      </c>
      <c r="BJ16" t="str">
        <f t="shared" si="16"/>
        <v>(14, 'LED'),</v>
      </c>
      <c r="BK16" t="str">
        <f t="shared" si="17"/>
        <v>(14, 'USB'),</v>
      </c>
      <c r="BL16" t="str">
        <f t="shared" si="18"/>
        <v/>
      </c>
      <c r="BM16" t="str">
        <f t="shared" si="10"/>
        <v>(14, 'THREE_PHASE_THREE_WIRE'),</v>
      </c>
      <c r="BN16" t="str">
        <f t="shared" si="11"/>
        <v/>
      </c>
      <c r="BO16" t="str">
        <f t="shared" si="12"/>
        <v/>
      </c>
    </row>
    <row r="17" spans="1:67">
      <c r="A17" s="2" t="s">
        <v>290</v>
      </c>
      <c r="B17" s="3" t="s">
        <v>274</v>
      </c>
      <c r="C17" s="3">
        <v>283</v>
      </c>
      <c r="D17" s="3">
        <v>930</v>
      </c>
      <c r="E17" s="3">
        <v>550</v>
      </c>
      <c r="F17" s="3">
        <v>62</v>
      </c>
      <c r="G17" s="3" t="s">
        <v>275</v>
      </c>
      <c r="H17" s="3">
        <v>0</v>
      </c>
      <c r="I17" s="3">
        <v>1</v>
      </c>
      <c r="J17" s="3">
        <v>0</v>
      </c>
      <c r="K17" s="3">
        <v>1</v>
      </c>
      <c r="L17" s="3">
        <v>1</v>
      </c>
      <c r="M17" s="3">
        <v>29900</v>
      </c>
      <c r="N17" s="3">
        <v>29900</v>
      </c>
      <c r="O17" s="3">
        <v>2</v>
      </c>
      <c r="P17" s="3">
        <v>4</v>
      </c>
      <c r="Q17" s="3">
        <v>1100</v>
      </c>
      <c r="R17" s="3">
        <v>250</v>
      </c>
      <c r="S17" s="3">
        <v>1000</v>
      </c>
      <c r="T17" s="3">
        <v>200</v>
      </c>
      <c r="U17" s="3">
        <v>800</v>
      </c>
      <c r="V17" s="3">
        <v>480</v>
      </c>
      <c r="W17" s="3">
        <v>620</v>
      </c>
      <c r="X17" s="3">
        <v>30</v>
      </c>
      <c r="Y17" s="3">
        <v>22</v>
      </c>
      <c r="Z17" s="3">
        <v>0</v>
      </c>
      <c r="AA17" s="3">
        <v>1</v>
      </c>
      <c r="AB17" s="3">
        <v>1</v>
      </c>
      <c r="AC17" s="3">
        <v>380</v>
      </c>
      <c r="AE17" s="4">
        <v>43.2</v>
      </c>
      <c r="AF17" s="4">
        <v>43.2</v>
      </c>
      <c r="AG17">
        <v>50</v>
      </c>
      <c r="AH17">
        <v>60</v>
      </c>
      <c r="AI17">
        <v>-25</v>
      </c>
      <c r="AJ17" t="s">
        <v>276</v>
      </c>
      <c r="AK17" t="s">
        <v>277</v>
      </c>
      <c r="AL17">
        <v>0</v>
      </c>
      <c r="AN17">
        <v>15</v>
      </c>
      <c r="AO17">
        <v>0</v>
      </c>
      <c r="AP17">
        <f t="shared" si="1"/>
        <v>8</v>
      </c>
      <c r="AR17">
        <v>1</v>
      </c>
      <c r="AS17">
        <v>0</v>
      </c>
      <c r="AT17">
        <v>0</v>
      </c>
      <c r="AU17">
        <v>0</v>
      </c>
      <c r="AW17">
        <v>0</v>
      </c>
      <c r="AY17" t="str">
        <f t="shared" si="2"/>
        <v>2</v>
      </c>
      <c r="BA17" s="13" t="str">
        <f t="shared" si="3"/>
        <v>('SUN2000-29.9KTL', 2, 930, 550, 283, 62, 60, -25, 'CONVECÇÃO NATURAL', 'IP65', 'TRANSFORMERLESS', 29900, 29900, 380, 43.2, 43.2, 50, 4, 8, 0),</v>
      </c>
      <c r="BB17" t="str">
        <f t="shared" si="4"/>
        <v xml:space="preserve">(15, 0, 2, 1100, 250, 1000, 200, 800, 480, 620, 30, 22), </v>
      </c>
      <c r="BC17" t="str">
        <f t="shared" si="5"/>
        <v>(15, 'ON-GRID'),</v>
      </c>
      <c r="BD17" t="str">
        <f t="shared" si="6"/>
        <v/>
      </c>
      <c r="BE17" t="str">
        <f t="shared" si="7"/>
        <v/>
      </c>
      <c r="BF17" t="str">
        <f t="shared" si="8"/>
        <v/>
      </c>
      <c r="BG17" t="str">
        <f t="shared" si="13"/>
        <v/>
      </c>
      <c r="BH17" t="str">
        <f t="shared" si="14"/>
        <v>(15, 'RS485'),</v>
      </c>
      <c r="BI17" t="str">
        <f t="shared" si="15"/>
        <v/>
      </c>
      <c r="BJ17" t="str">
        <f t="shared" si="16"/>
        <v>(15, 'LED'),</v>
      </c>
      <c r="BK17" t="str">
        <f t="shared" si="17"/>
        <v>(15, 'USB'),</v>
      </c>
      <c r="BL17" t="str">
        <f t="shared" si="18"/>
        <v/>
      </c>
      <c r="BM17" t="str">
        <f t="shared" si="10"/>
        <v>(15, 'THREE_PHASE_THREE_WIRE'),</v>
      </c>
      <c r="BN17" t="str">
        <f t="shared" si="11"/>
        <v>(15, 'THREE_PHASE_FOUR_WIRE'),</v>
      </c>
      <c r="BO17" t="str">
        <f t="shared" si="12"/>
        <v/>
      </c>
    </row>
    <row r="18" spans="1:67">
      <c r="A18" s="2" t="s">
        <v>291</v>
      </c>
      <c r="B18" s="3" t="s">
        <v>274</v>
      </c>
      <c r="C18" s="3">
        <v>283</v>
      </c>
      <c r="D18" s="3">
        <v>930</v>
      </c>
      <c r="E18" s="3">
        <v>550</v>
      </c>
      <c r="F18" s="3">
        <v>62</v>
      </c>
      <c r="G18" s="3" t="s">
        <v>275</v>
      </c>
      <c r="H18" s="3">
        <v>0</v>
      </c>
      <c r="I18" s="3">
        <v>1</v>
      </c>
      <c r="J18" s="3">
        <v>0</v>
      </c>
      <c r="K18" s="3">
        <v>1</v>
      </c>
      <c r="L18" s="3">
        <v>1</v>
      </c>
      <c r="M18" s="3">
        <v>30000</v>
      </c>
      <c r="N18" s="3">
        <v>33000</v>
      </c>
      <c r="O18" s="3">
        <v>2</v>
      </c>
      <c r="P18" s="3">
        <v>4</v>
      </c>
      <c r="Q18" s="3">
        <v>1100</v>
      </c>
      <c r="R18" s="3">
        <v>250</v>
      </c>
      <c r="S18" s="3">
        <v>1000</v>
      </c>
      <c r="T18" s="3">
        <v>200</v>
      </c>
      <c r="U18" s="3">
        <v>800</v>
      </c>
      <c r="V18" s="3">
        <v>480</v>
      </c>
      <c r="W18" s="3">
        <v>620</v>
      </c>
      <c r="X18" s="3">
        <v>30</v>
      </c>
      <c r="Y18" s="3">
        <v>22</v>
      </c>
      <c r="Z18" s="3">
        <v>0</v>
      </c>
      <c r="AA18" s="3">
        <v>1</v>
      </c>
      <c r="AB18" s="3">
        <v>1</v>
      </c>
      <c r="AC18" s="3">
        <v>380</v>
      </c>
      <c r="AE18" s="4">
        <v>48</v>
      </c>
      <c r="AF18" s="4">
        <v>48</v>
      </c>
      <c r="AG18">
        <v>50</v>
      </c>
      <c r="AH18">
        <v>60</v>
      </c>
      <c r="AI18">
        <v>-25</v>
      </c>
      <c r="AJ18" t="s">
        <v>276</v>
      </c>
      <c r="AK18" t="s">
        <v>277</v>
      </c>
      <c r="AL18">
        <v>0</v>
      </c>
      <c r="AN18">
        <v>16</v>
      </c>
      <c r="AO18">
        <v>0</v>
      </c>
      <c r="AP18">
        <f t="shared" si="1"/>
        <v>8</v>
      </c>
      <c r="AR18">
        <v>1</v>
      </c>
      <c r="AS18">
        <v>0</v>
      </c>
      <c r="AT18">
        <v>0</v>
      </c>
      <c r="AU18">
        <v>0</v>
      </c>
      <c r="AW18">
        <v>0</v>
      </c>
      <c r="AY18" t="str">
        <f t="shared" si="2"/>
        <v>2</v>
      </c>
      <c r="BA18" s="13" t="str">
        <f t="shared" si="3"/>
        <v>('SUN2000-33KTL-A', 2, 930, 550, 283, 62, 60, -25, 'CONVECÇÃO NATURAL', 'IP65', 'TRANSFORMERLESS', 30000, 33000, 380, 48, 48, 50, 4, 8, 0),</v>
      </c>
      <c r="BB18" t="str">
        <f t="shared" si="4"/>
        <v xml:space="preserve">(16, 0, 2, 1100, 250, 1000, 200, 800, 480, 620, 30, 22), </v>
      </c>
      <c r="BC18" t="str">
        <f t="shared" si="5"/>
        <v>(16, 'ON-GRID'),</v>
      </c>
      <c r="BD18" t="str">
        <f t="shared" si="6"/>
        <v/>
      </c>
      <c r="BE18" t="str">
        <f t="shared" si="7"/>
        <v/>
      </c>
      <c r="BF18" t="str">
        <f t="shared" si="8"/>
        <v/>
      </c>
      <c r="BG18" t="str">
        <f t="shared" si="13"/>
        <v/>
      </c>
      <c r="BH18" t="str">
        <f t="shared" si="14"/>
        <v>(16, 'RS485'),</v>
      </c>
      <c r="BI18" t="str">
        <f t="shared" si="15"/>
        <v/>
      </c>
      <c r="BJ18" t="str">
        <f t="shared" si="16"/>
        <v>(16, 'LED'),</v>
      </c>
      <c r="BK18" t="str">
        <f t="shared" si="17"/>
        <v>(16, 'USB'),</v>
      </c>
      <c r="BL18" t="str">
        <f t="shared" si="18"/>
        <v/>
      </c>
      <c r="BM18" t="str">
        <f t="shared" si="10"/>
        <v>(16, 'THREE_PHASE_THREE_WIRE'),</v>
      </c>
      <c r="BN18" t="str">
        <f t="shared" si="11"/>
        <v>(16, 'THREE_PHASE_FOUR_WIRE'),</v>
      </c>
      <c r="BO18" t="str">
        <f t="shared" si="12"/>
        <v/>
      </c>
    </row>
    <row r="19" spans="1:67">
      <c r="A19" s="2" t="s">
        <v>292</v>
      </c>
      <c r="B19" s="3" t="s">
        <v>274</v>
      </c>
      <c r="C19" s="3">
        <v>283</v>
      </c>
      <c r="D19" s="3">
        <v>930</v>
      </c>
      <c r="E19" s="3">
        <v>550</v>
      </c>
      <c r="F19" s="3">
        <v>62</v>
      </c>
      <c r="G19" s="3" t="s">
        <v>275</v>
      </c>
      <c r="H19" s="3">
        <v>0</v>
      </c>
      <c r="I19" s="3">
        <v>1</v>
      </c>
      <c r="J19" s="3">
        <v>0</v>
      </c>
      <c r="K19" s="3">
        <v>1</v>
      </c>
      <c r="L19" s="3">
        <v>1</v>
      </c>
      <c r="M19" s="3">
        <v>36000</v>
      </c>
      <c r="N19" s="3">
        <v>40000</v>
      </c>
      <c r="O19" s="3">
        <v>2</v>
      </c>
      <c r="P19" s="3">
        <v>4</v>
      </c>
      <c r="Q19" s="3">
        <v>1100</v>
      </c>
      <c r="R19" s="3">
        <v>250</v>
      </c>
      <c r="S19" s="3">
        <v>1000</v>
      </c>
      <c r="T19" s="3">
        <v>200</v>
      </c>
      <c r="U19" s="3">
        <v>800</v>
      </c>
      <c r="V19" s="3">
        <v>480</v>
      </c>
      <c r="W19" s="3">
        <v>620</v>
      </c>
      <c r="X19" s="3">
        <v>30</v>
      </c>
      <c r="Y19" s="12">
        <v>22</v>
      </c>
      <c r="Z19" s="3">
        <v>0</v>
      </c>
      <c r="AA19" s="3">
        <v>1</v>
      </c>
      <c r="AB19" s="3">
        <v>1</v>
      </c>
      <c r="AC19" s="3">
        <v>380</v>
      </c>
      <c r="AE19" s="4">
        <v>60.8</v>
      </c>
      <c r="AF19" s="4">
        <v>60.8</v>
      </c>
      <c r="AG19">
        <v>50</v>
      </c>
      <c r="AH19">
        <v>60</v>
      </c>
      <c r="AI19">
        <v>-25</v>
      </c>
      <c r="AJ19" t="s">
        <v>276</v>
      </c>
      <c r="AK19" t="s">
        <v>277</v>
      </c>
      <c r="AL19">
        <v>0</v>
      </c>
      <c r="AN19">
        <v>17</v>
      </c>
      <c r="AO19">
        <v>0</v>
      </c>
      <c r="AP19">
        <f t="shared" si="1"/>
        <v>8</v>
      </c>
      <c r="AR19">
        <v>1</v>
      </c>
      <c r="AS19">
        <v>0</v>
      </c>
      <c r="AT19">
        <v>0</v>
      </c>
      <c r="AU19">
        <v>0</v>
      </c>
      <c r="AW19">
        <v>0</v>
      </c>
      <c r="AY19" t="str">
        <f t="shared" si="2"/>
        <v>2</v>
      </c>
      <c r="BA19" s="13" t="str">
        <f t="shared" si="3"/>
        <v>('SUN2000-36KTL', 2, 930, 550, 283, 62, 60, -25, 'CONVECÇÃO NATURAL', 'IP65', 'TRANSFORMERLESS', 36000, 40000, 380, 60.8, 60.8, 50, 4, 8, 0),</v>
      </c>
      <c r="BB19" t="str">
        <f t="shared" si="4"/>
        <v xml:space="preserve">(17, 0, 2, 1100, 250, 1000, 200, 800, 480, 620, 30, 22), </v>
      </c>
      <c r="BC19" t="str">
        <f t="shared" si="5"/>
        <v>(17, 'ON-GRID'),</v>
      </c>
      <c r="BD19" t="str">
        <f t="shared" si="6"/>
        <v/>
      </c>
      <c r="BE19" t="str">
        <f t="shared" si="7"/>
        <v/>
      </c>
      <c r="BF19" t="str">
        <f t="shared" si="8"/>
        <v/>
      </c>
      <c r="BG19" t="str">
        <f t="shared" si="13"/>
        <v/>
      </c>
      <c r="BH19" t="str">
        <f t="shared" si="14"/>
        <v>(17, 'RS485'),</v>
      </c>
      <c r="BI19" t="str">
        <f t="shared" si="15"/>
        <v/>
      </c>
      <c r="BJ19" t="str">
        <f t="shared" si="16"/>
        <v>(17, 'LED'),</v>
      </c>
      <c r="BK19" t="str">
        <f t="shared" si="17"/>
        <v>(17, 'USB'),</v>
      </c>
      <c r="BL19" t="str">
        <f t="shared" si="18"/>
        <v/>
      </c>
      <c r="BM19" t="str">
        <f t="shared" si="10"/>
        <v>(17, 'THREE_PHASE_THREE_WIRE'),</v>
      </c>
      <c r="BN19" t="str">
        <f t="shared" si="11"/>
        <v>(17, 'THREE_PHASE_FOUR_WIRE'),</v>
      </c>
      <c r="BO19" t="str">
        <f t="shared" si="12"/>
        <v/>
      </c>
    </row>
    <row r="20" spans="1:67">
      <c r="A20" s="2" t="s">
        <v>293</v>
      </c>
      <c r="B20" s="3" t="s">
        <v>274</v>
      </c>
      <c r="C20" s="3">
        <v>283</v>
      </c>
      <c r="D20" s="3">
        <v>930</v>
      </c>
      <c r="E20" s="3">
        <v>550</v>
      </c>
      <c r="F20" s="3">
        <v>62</v>
      </c>
      <c r="G20" s="3" t="s">
        <v>275</v>
      </c>
      <c r="H20" s="3">
        <v>0</v>
      </c>
      <c r="I20" s="3">
        <v>1</v>
      </c>
      <c r="J20" s="3">
        <v>0</v>
      </c>
      <c r="K20" s="3">
        <v>1</v>
      </c>
      <c r="L20" s="3">
        <v>1</v>
      </c>
      <c r="M20" s="3">
        <v>42000</v>
      </c>
      <c r="N20" s="3">
        <v>47000</v>
      </c>
      <c r="O20" s="3">
        <v>2</v>
      </c>
      <c r="P20" s="3">
        <v>4</v>
      </c>
      <c r="Q20" s="3">
        <v>1100</v>
      </c>
      <c r="R20" s="3">
        <v>250</v>
      </c>
      <c r="S20" s="3">
        <v>1000</v>
      </c>
      <c r="T20" s="3">
        <v>200</v>
      </c>
      <c r="U20" s="3">
        <v>850</v>
      </c>
      <c r="V20" s="3">
        <v>580</v>
      </c>
      <c r="W20" s="3">
        <v>620</v>
      </c>
      <c r="X20" s="3">
        <v>30</v>
      </c>
      <c r="Y20" s="3">
        <v>22</v>
      </c>
      <c r="Z20" s="3">
        <v>0</v>
      </c>
      <c r="AA20" s="3">
        <v>1</v>
      </c>
      <c r="AB20" s="3">
        <v>0</v>
      </c>
      <c r="AC20" s="3">
        <v>480</v>
      </c>
      <c r="AE20" s="4">
        <v>56.6</v>
      </c>
      <c r="AF20" s="4">
        <v>56.6</v>
      </c>
      <c r="AG20">
        <v>50</v>
      </c>
      <c r="AH20">
        <v>60</v>
      </c>
      <c r="AI20">
        <v>-25</v>
      </c>
      <c r="AJ20" t="s">
        <v>276</v>
      </c>
      <c r="AK20" t="s">
        <v>277</v>
      </c>
      <c r="AL20">
        <v>0</v>
      </c>
      <c r="AN20">
        <v>18</v>
      </c>
      <c r="AO20">
        <v>0</v>
      </c>
      <c r="AP20">
        <f t="shared" si="1"/>
        <v>8</v>
      </c>
      <c r="AR20">
        <v>1</v>
      </c>
      <c r="AS20">
        <v>0</v>
      </c>
      <c r="AT20">
        <v>0</v>
      </c>
      <c r="AU20">
        <v>0</v>
      </c>
      <c r="AW20">
        <v>0</v>
      </c>
      <c r="AY20" t="str">
        <f t="shared" si="2"/>
        <v>2</v>
      </c>
      <c r="BA20" s="13" t="str">
        <f t="shared" si="3"/>
        <v>('SUN2000-42KTL', 2, 930, 550, 283, 62, 60, -25, 'CONVECÇÃO NATURAL', 'IP65', 'TRANSFORMERLESS', 42000, 47000, 480, 56.6, 56.6, 50, 4, 8, 0),</v>
      </c>
      <c r="BB20" t="str">
        <f t="shared" si="4"/>
        <v xml:space="preserve">(18, 0, 2, 1100, 250, 1000, 200, 850, 580, 620, 30, 22), </v>
      </c>
      <c r="BC20" t="str">
        <f t="shared" si="5"/>
        <v>(18, 'ON-GRID'),</v>
      </c>
      <c r="BD20" t="str">
        <f t="shared" si="6"/>
        <v/>
      </c>
      <c r="BE20" t="str">
        <f t="shared" si="7"/>
        <v/>
      </c>
      <c r="BF20" t="str">
        <f t="shared" si="8"/>
        <v/>
      </c>
      <c r="BG20" t="str">
        <f t="shared" si="13"/>
        <v/>
      </c>
      <c r="BH20" t="str">
        <f t="shared" si="14"/>
        <v>(18, 'RS485'),</v>
      </c>
      <c r="BI20" t="str">
        <f t="shared" si="15"/>
        <v/>
      </c>
      <c r="BJ20" t="str">
        <f t="shared" si="16"/>
        <v>(18, 'LED'),</v>
      </c>
      <c r="BK20" t="str">
        <f t="shared" si="17"/>
        <v>(18, 'USB'),</v>
      </c>
      <c r="BL20" t="str">
        <f t="shared" si="18"/>
        <v/>
      </c>
      <c r="BM20" t="str">
        <f t="shared" si="10"/>
        <v>(18, 'THREE_PHASE_THREE_WIRE'),</v>
      </c>
      <c r="BN20" t="str">
        <f t="shared" si="11"/>
        <v/>
      </c>
      <c r="BO20" t="str">
        <f t="shared" si="12"/>
        <v/>
      </c>
    </row>
    <row r="21" spans="1:67">
      <c r="A21" s="2" t="s">
        <v>294</v>
      </c>
      <c r="B21" s="3" t="s">
        <v>274</v>
      </c>
      <c r="C21" s="3">
        <v>262</v>
      </c>
      <c r="D21" s="3">
        <v>525</v>
      </c>
      <c r="E21" s="3">
        <v>470</v>
      </c>
      <c r="F21" s="3">
        <v>25</v>
      </c>
      <c r="G21" s="3" t="s">
        <v>275</v>
      </c>
      <c r="H21" s="3">
        <v>1</v>
      </c>
      <c r="I21" s="3">
        <v>1</v>
      </c>
      <c r="J21" s="3">
        <v>0</v>
      </c>
      <c r="K21" s="3">
        <v>1</v>
      </c>
      <c r="L21" s="3">
        <v>0</v>
      </c>
      <c r="M21" s="3">
        <v>8000</v>
      </c>
      <c r="N21" s="3">
        <v>8800</v>
      </c>
      <c r="O21" s="3">
        <v>2</v>
      </c>
      <c r="P21" s="3">
        <v>2</v>
      </c>
      <c r="Q21" s="3">
        <v>1080</v>
      </c>
      <c r="R21" s="3">
        <v>200</v>
      </c>
      <c r="S21" s="3">
        <v>950</v>
      </c>
      <c r="T21" s="3">
        <v>160</v>
      </c>
      <c r="U21" s="3">
        <v>850</v>
      </c>
      <c r="V21" s="3">
        <v>320</v>
      </c>
      <c r="W21" s="3">
        <v>600</v>
      </c>
      <c r="X21" s="3">
        <v>30</v>
      </c>
      <c r="Y21" s="3">
        <v>22</v>
      </c>
      <c r="Z21" s="3">
        <v>0</v>
      </c>
      <c r="AA21" s="3">
        <v>1</v>
      </c>
      <c r="AB21" s="3">
        <v>1</v>
      </c>
      <c r="AC21" s="3">
        <v>380</v>
      </c>
      <c r="AE21" s="4">
        <v>13.4</v>
      </c>
      <c r="AF21">
        <v>12.8</v>
      </c>
      <c r="AG21">
        <v>50</v>
      </c>
      <c r="AH21">
        <v>60</v>
      </c>
      <c r="AI21">
        <v>-25</v>
      </c>
      <c r="AJ21" t="s">
        <v>276</v>
      </c>
      <c r="AK21" t="s">
        <v>277</v>
      </c>
      <c r="AL21">
        <v>0</v>
      </c>
      <c r="AN21">
        <v>19</v>
      </c>
      <c r="AO21">
        <v>0</v>
      </c>
      <c r="AP21">
        <f t="shared" si="1"/>
        <v>4</v>
      </c>
      <c r="AR21">
        <v>1</v>
      </c>
      <c r="AS21">
        <v>0</v>
      </c>
      <c r="AT21">
        <v>1</v>
      </c>
      <c r="AU21">
        <v>0</v>
      </c>
      <c r="AW21">
        <v>0</v>
      </c>
      <c r="AY21" t="str">
        <f t="shared" si="2"/>
        <v>2</v>
      </c>
      <c r="BA21" s="13" t="str">
        <f t="shared" si="3"/>
        <v>('SUN2000-8KTL-M0', 2, 525, 470, 262, 25, 60, -25, 'CONVECÇÃO NATURAL', 'IP65', 'TRANSFORMERLESS', 8000, 8800, 380, 12.8, 13.4, 50, 2, 4, 0),</v>
      </c>
      <c r="BB21" t="str">
        <f t="shared" si="4"/>
        <v xml:space="preserve">(19, 0, 2, 1080, 200, 950, 160, 850, 320, 600, 30, 22), </v>
      </c>
      <c r="BC21" t="str">
        <f t="shared" si="5"/>
        <v>(19, 'ON-GRID'),</v>
      </c>
      <c r="BD21" t="str">
        <f t="shared" si="6"/>
        <v/>
      </c>
      <c r="BE21" t="str">
        <f t="shared" si="7"/>
        <v>(19, 'GRIDZERO'),</v>
      </c>
      <c r="BF21" t="str">
        <f t="shared" si="8"/>
        <v/>
      </c>
      <c r="BG21" t="str">
        <f t="shared" si="13"/>
        <v>(19, 'WIFI'),</v>
      </c>
      <c r="BH21" t="str">
        <f t="shared" si="14"/>
        <v>(19, 'RS485'),</v>
      </c>
      <c r="BI21" t="str">
        <f t="shared" si="15"/>
        <v/>
      </c>
      <c r="BJ21" t="str">
        <f t="shared" si="16"/>
        <v>(19, 'LED'),</v>
      </c>
      <c r="BK21" t="str">
        <f t="shared" si="17"/>
        <v/>
      </c>
      <c r="BL21" t="str">
        <f t="shared" si="18"/>
        <v/>
      </c>
      <c r="BM21" t="str">
        <f t="shared" si="10"/>
        <v>(19, 'THREE_PHASE_THREE_WIRE'),</v>
      </c>
      <c r="BN21" t="str">
        <f t="shared" si="11"/>
        <v>(19, 'THREE_PHASE_FOUR_WIRE'),</v>
      </c>
      <c r="BO21" t="str">
        <f t="shared" si="12"/>
        <v/>
      </c>
    </row>
    <row r="22" spans="1:67">
      <c r="A22" s="2" t="s">
        <v>295</v>
      </c>
      <c r="B22" s="3" t="s">
        <v>274</v>
      </c>
      <c r="C22" s="3">
        <v>262</v>
      </c>
      <c r="D22" s="3">
        <v>525</v>
      </c>
      <c r="E22" s="3">
        <v>470</v>
      </c>
      <c r="F22" s="3">
        <v>25</v>
      </c>
      <c r="G22" s="3" t="s">
        <v>275</v>
      </c>
      <c r="H22" s="3">
        <v>1</v>
      </c>
      <c r="I22" s="3">
        <v>1</v>
      </c>
      <c r="J22" s="3">
        <v>0</v>
      </c>
      <c r="K22" s="3">
        <v>1</v>
      </c>
      <c r="L22" s="3">
        <v>0</v>
      </c>
      <c r="M22" s="3">
        <v>10000</v>
      </c>
      <c r="N22" s="3">
        <v>11000</v>
      </c>
      <c r="O22" s="3">
        <v>2</v>
      </c>
      <c r="P22" s="3">
        <v>2</v>
      </c>
      <c r="Q22" s="3">
        <v>1080</v>
      </c>
      <c r="R22" s="3">
        <v>200</v>
      </c>
      <c r="S22" s="3">
        <v>950</v>
      </c>
      <c r="T22" s="3">
        <v>160</v>
      </c>
      <c r="U22" s="3">
        <v>850</v>
      </c>
      <c r="V22" s="3">
        <v>320</v>
      </c>
      <c r="W22" s="3">
        <v>600</v>
      </c>
      <c r="X22" s="3">
        <v>30</v>
      </c>
      <c r="Y22" s="3">
        <v>22</v>
      </c>
      <c r="Z22" s="3">
        <v>0</v>
      </c>
      <c r="AA22" s="3">
        <v>1</v>
      </c>
      <c r="AB22" s="3">
        <v>1</v>
      </c>
      <c r="AC22" s="3">
        <v>380</v>
      </c>
      <c r="AE22" s="4">
        <v>17</v>
      </c>
      <c r="AF22">
        <v>15.9</v>
      </c>
      <c r="AG22">
        <v>50</v>
      </c>
      <c r="AH22">
        <v>60</v>
      </c>
      <c r="AI22">
        <v>-25</v>
      </c>
      <c r="AJ22" t="s">
        <v>276</v>
      </c>
      <c r="AK22" t="s">
        <v>277</v>
      </c>
      <c r="AL22">
        <v>0</v>
      </c>
      <c r="AN22">
        <v>20</v>
      </c>
      <c r="AO22">
        <v>0</v>
      </c>
      <c r="AP22">
        <f t="shared" si="1"/>
        <v>4</v>
      </c>
      <c r="AR22">
        <v>1</v>
      </c>
      <c r="AS22">
        <v>0</v>
      </c>
      <c r="AT22">
        <v>1</v>
      </c>
      <c r="AU22">
        <v>0</v>
      </c>
      <c r="AW22">
        <v>0</v>
      </c>
      <c r="AY22" t="str">
        <f t="shared" si="2"/>
        <v>2</v>
      </c>
      <c r="BA22" s="13" t="str">
        <f t="shared" si="3"/>
        <v>('SUN2000-10KTL-M0', 2, 525, 470, 262, 25, 60, -25, 'CONVECÇÃO NATURAL', 'IP65', 'TRANSFORMERLESS', 10000, 11000, 380, 15.9, 17, 50, 2, 4, 0),</v>
      </c>
      <c r="BB22" t="str">
        <f t="shared" si="4"/>
        <v xml:space="preserve">(20, 0, 2, 1080, 200, 950, 160, 850, 320, 600, 30, 22), </v>
      </c>
      <c r="BC22" t="str">
        <f t="shared" si="5"/>
        <v>(20, 'ON-GRID'),</v>
      </c>
      <c r="BD22" t="str">
        <f t="shared" si="6"/>
        <v/>
      </c>
      <c r="BE22" t="str">
        <f t="shared" si="7"/>
        <v>(20, 'GRIDZERO'),</v>
      </c>
      <c r="BF22" t="str">
        <f t="shared" si="8"/>
        <v/>
      </c>
      <c r="BG22" t="str">
        <f t="shared" si="13"/>
        <v>(20, 'WIFI'),</v>
      </c>
      <c r="BH22" t="str">
        <f t="shared" si="14"/>
        <v>(20, 'RS485'),</v>
      </c>
      <c r="BI22" t="str">
        <f t="shared" si="15"/>
        <v/>
      </c>
      <c r="BJ22" t="str">
        <f t="shared" si="16"/>
        <v>(20, 'LED'),</v>
      </c>
      <c r="BK22" t="str">
        <f t="shared" si="17"/>
        <v/>
      </c>
      <c r="BL22" t="str">
        <f t="shared" si="18"/>
        <v/>
      </c>
      <c r="BM22" t="str">
        <f t="shared" si="10"/>
        <v>(20, 'THREE_PHASE_THREE_WIRE'),</v>
      </c>
      <c r="BN22" t="str">
        <f t="shared" si="11"/>
        <v>(20, 'THREE_PHASE_FOUR_WIRE'),</v>
      </c>
      <c r="BO22" t="str">
        <f t="shared" si="12"/>
        <v/>
      </c>
    </row>
    <row r="23" spans="1:67">
      <c r="A23" s="2" t="s">
        <v>296</v>
      </c>
      <c r="B23" s="3" t="s">
        <v>274</v>
      </c>
      <c r="C23" s="3">
        <v>262</v>
      </c>
      <c r="D23" s="3">
        <v>525</v>
      </c>
      <c r="E23" s="3">
        <v>470</v>
      </c>
      <c r="F23" s="3">
        <v>25</v>
      </c>
      <c r="G23" s="3" t="s">
        <v>275</v>
      </c>
      <c r="H23" s="3">
        <v>1</v>
      </c>
      <c r="I23" s="3">
        <v>1</v>
      </c>
      <c r="J23" s="3">
        <v>0</v>
      </c>
      <c r="K23" s="3">
        <v>1</v>
      </c>
      <c r="L23" s="3">
        <v>0</v>
      </c>
      <c r="M23" s="3">
        <v>12000</v>
      </c>
      <c r="N23" s="3">
        <v>13200</v>
      </c>
      <c r="O23" s="3">
        <v>2</v>
      </c>
      <c r="P23" s="3">
        <v>2</v>
      </c>
      <c r="Q23" s="3">
        <v>1080</v>
      </c>
      <c r="R23" s="3">
        <v>200</v>
      </c>
      <c r="S23" s="3">
        <v>950</v>
      </c>
      <c r="T23" s="3">
        <v>160</v>
      </c>
      <c r="U23" s="3">
        <v>850</v>
      </c>
      <c r="V23" s="3">
        <v>380</v>
      </c>
      <c r="W23" s="3">
        <v>600</v>
      </c>
      <c r="X23" s="3">
        <v>30</v>
      </c>
      <c r="Y23" s="3">
        <v>22</v>
      </c>
      <c r="Z23" s="3">
        <v>0</v>
      </c>
      <c r="AA23" s="3">
        <v>1</v>
      </c>
      <c r="AB23" s="3">
        <v>1</v>
      </c>
      <c r="AC23" s="3">
        <v>380</v>
      </c>
      <c r="AE23" s="4">
        <v>20</v>
      </c>
      <c r="AF23">
        <v>18.2</v>
      </c>
      <c r="AG23">
        <v>50</v>
      </c>
      <c r="AH23">
        <v>60</v>
      </c>
      <c r="AI23">
        <v>-25</v>
      </c>
      <c r="AJ23" t="s">
        <v>276</v>
      </c>
      <c r="AK23" t="s">
        <v>277</v>
      </c>
      <c r="AL23">
        <v>0</v>
      </c>
      <c r="AN23">
        <v>21</v>
      </c>
      <c r="AO23">
        <v>0</v>
      </c>
      <c r="AP23">
        <f t="shared" si="1"/>
        <v>4</v>
      </c>
      <c r="AR23">
        <v>1</v>
      </c>
      <c r="AS23">
        <v>0</v>
      </c>
      <c r="AT23">
        <v>1</v>
      </c>
      <c r="AU23">
        <v>0</v>
      </c>
      <c r="AW23">
        <v>0</v>
      </c>
      <c r="AY23" t="str">
        <f t="shared" si="2"/>
        <v>2</v>
      </c>
      <c r="BA23" s="13" t="str">
        <f t="shared" si="3"/>
        <v>('SUN2000-12KTL-M0', 2, 525, 470, 262, 25, 60, -25, 'CONVECÇÃO NATURAL', 'IP65', 'TRANSFORMERLESS', 12000, 13200, 380, 18.2, 20, 50, 2, 4, 0),</v>
      </c>
      <c r="BB23" t="str">
        <f t="shared" si="4"/>
        <v xml:space="preserve">(21, 0, 2, 1080, 200, 950, 160, 850, 380, 600, 30, 22), </v>
      </c>
      <c r="BC23" t="str">
        <f t="shared" si="5"/>
        <v>(21, 'ON-GRID'),</v>
      </c>
      <c r="BD23" t="str">
        <f t="shared" si="6"/>
        <v/>
      </c>
      <c r="BE23" t="str">
        <f t="shared" si="7"/>
        <v>(21, 'GRIDZERO'),</v>
      </c>
      <c r="BF23" t="str">
        <f t="shared" si="8"/>
        <v/>
      </c>
      <c r="BG23" t="str">
        <f t="shared" si="13"/>
        <v>(21, 'WIFI'),</v>
      </c>
      <c r="BH23" t="str">
        <f t="shared" si="14"/>
        <v>(21, 'RS485'),</v>
      </c>
      <c r="BI23" t="str">
        <f t="shared" si="15"/>
        <v/>
      </c>
      <c r="BJ23" t="str">
        <f t="shared" si="16"/>
        <v>(21, 'LED'),</v>
      </c>
      <c r="BK23" t="str">
        <f t="shared" si="17"/>
        <v/>
      </c>
      <c r="BL23" t="str">
        <f t="shared" si="18"/>
        <v/>
      </c>
      <c r="BM23" t="str">
        <f t="shared" si="10"/>
        <v>(21, 'THREE_PHASE_THREE_WIRE'),</v>
      </c>
      <c r="BN23" t="str">
        <f t="shared" si="11"/>
        <v>(21, 'THREE_PHASE_FOUR_WIRE'),</v>
      </c>
      <c r="BO23" t="str">
        <f t="shared" si="12"/>
        <v/>
      </c>
    </row>
    <row r="24" spans="1:67">
      <c r="A24" s="2" t="s">
        <v>297</v>
      </c>
      <c r="B24" s="3" t="s">
        <v>274</v>
      </c>
      <c r="C24" s="3">
        <v>262</v>
      </c>
      <c r="D24" s="3">
        <v>525</v>
      </c>
      <c r="E24" s="3">
        <v>470</v>
      </c>
      <c r="F24" s="3">
        <v>25</v>
      </c>
      <c r="G24" s="3" t="s">
        <v>275</v>
      </c>
      <c r="H24" s="3">
        <v>1</v>
      </c>
      <c r="I24" s="3">
        <v>1</v>
      </c>
      <c r="J24" s="3">
        <v>0</v>
      </c>
      <c r="K24" s="3">
        <v>1</v>
      </c>
      <c r="L24" s="3">
        <v>0</v>
      </c>
      <c r="M24" s="3">
        <v>15000</v>
      </c>
      <c r="N24" s="3">
        <v>16500</v>
      </c>
      <c r="O24" s="3">
        <v>2</v>
      </c>
      <c r="P24" s="3">
        <v>2</v>
      </c>
      <c r="Q24" s="3">
        <v>1080</v>
      </c>
      <c r="R24" s="3">
        <v>200</v>
      </c>
      <c r="S24" s="3">
        <v>950</v>
      </c>
      <c r="T24" s="3">
        <v>160</v>
      </c>
      <c r="U24" s="3">
        <v>850</v>
      </c>
      <c r="V24" s="3">
        <v>380</v>
      </c>
      <c r="W24" s="3">
        <v>600</v>
      </c>
      <c r="X24" s="3">
        <v>30</v>
      </c>
      <c r="Y24" s="3">
        <v>22</v>
      </c>
      <c r="Z24" s="3">
        <v>0</v>
      </c>
      <c r="AA24" s="3">
        <v>1</v>
      </c>
      <c r="AB24" s="3">
        <v>1</v>
      </c>
      <c r="AC24" s="3">
        <v>380</v>
      </c>
      <c r="AE24" s="4">
        <v>25.2</v>
      </c>
      <c r="AF24">
        <v>22.8</v>
      </c>
      <c r="AG24">
        <v>50</v>
      </c>
      <c r="AH24">
        <v>60</v>
      </c>
      <c r="AI24">
        <v>-25</v>
      </c>
      <c r="AJ24" t="s">
        <v>276</v>
      </c>
      <c r="AK24" t="s">
        <v>277</v>
      </c>
      <c r="AL24">
        <v>0</v>
      </c>
      <c r="AN24">
        <v>22</v>
      </c>
      <c r="AO24">
        <v>0</v>
      </c>
      <c r="AP24">
        <f t="shared" si="1"/>
        <v>4</v>
      </c>
      <c r="AR24">
        <v>1</v>
      </c>
      <c r="AS24">
        <v>0</v>
      </c>
      <c r="AT24">
        <v>1</v>
      </c>
      <c r="AU24">
        <v>0</v>
      </c>
      <c r="AW24">
        <v>0</v>
      </c>
      <c r="AY24" t="str">
        <f t="shared" si="2"/>
        <v>2</v>
      </c>
      <c r="BA24" s="13" t="str">
        <f t="shared" si="3"/>
        <v>('SUN2000-15KTL-M0', 2, 525, 470, 262, 25, 60, -25, 'CONVECÇÃO NATURAL', 'IP65', 'TRANSFORMERLESS', 15000, 16500, 380, 22.8, 25.2, 50, 2, 4, 0),</v>
      </c>
      <c r="BB24" t="str">
        <f t="shared" si="4"/>
        <v xml:space="preserve">(22, 0, 2, 1080, 200, 950, 160, 850, 380, 600, 30, 22), </v>
      </c>
      <c r="BC24" t="str">
        <f t="shared" si="5"/>
        <v>(22, 'ON-GRID'),</v>
      </c>
      <c r="BD24" t="str">
        <f t="shared" si="6"/>
        <v/>
      </c>
      <c r="BE24" t="str">
        <f t="shared" si="7"/>
        <v>(22, 'GRIDZERO'),</v>
      </c>
      <c r="BF24" t="str">
        <f t="shared" si="8"/>
        <v/>
      </c>
      <c r="BG24" t="str">
        <f t="shared" si="13"/>
        <v>(22, 'WIFI'),</v>
      </c>
      <c r="BH24" t="str">
        <f t="shared" si="14"/>
        <v>(22, 'RS485'),</v>
      </c>
      <c r="BI24" t="str">
        <f t="shared" si="15"/>
        <v/>
      </c>
      <c r="BJ24" t="str">
        <f t="shared" si="16"/>
        <v>(22, 'LED'),</v>
      </c>
      <c r="BK24" t="str">
        <f t="shared" si="17"/>
        <v/>
      </c>
      <c r="BL24" t="str">
        <f t="shared" si="18"/>
        <v/>
      </c>
      <c r="BM24" t="str">
        <f t="shared" si="10"/>
        <v>(22, 'THREE_PHASE_THREE_WIRE'),</v>
      </c>
      <c r="BN24" t="str">
        <f t="shared" si="11"/>
        <v>(22, 'THREE_PHASE_FOUR_WIRE'),</v>
      </c>
      <c r="BO24" t="str">
        <f t="shared" si="12"/>
        <v/>
      </c>
    </row>
    <row r="25" spans="1:67">
      <c r="A25" s="2" t="s">
        <v>298</v>
      </c>
      <c r="B25" s="3" t="s">
        <v>274</v>
      </c>
      <c r="C25" s="3">
        <v>262</v>
      </c>
      <c r="D25" s="3">
        <v>525</v>
      </c>
      <c r="E25" s="3">
        <v>470</v>
      </c>
      <c r="F25" s="3">
        <v>25</v>
      </c>
      <c r="G25" s="3" t="s">
        <v>275</v>
      </c>
      <c r="H25" s="3">
        <v>1</v>
      </c>
      <c r="I25" s="3">
        <v>1</v>
      </c>
      <c r="J25" s="3">
        <v>0</v>
      </c>
      <c r="K25" s="3">
        <v>1</v>
      </c>
      <c r="L25" s="3">
        <v>0</v>
      </c>
      <c r="M25" s="3">
        <v>17000</v>
      </c>
      <c r="N25" s="3">
        <v>18700</v>
      </c>
      <c r="O25" s="3">
        <v>2</v>
      </c>
      <c r="P25" s="3">
        <v>2</v>
      </c>
      <c r="Q25" s="3">
        <v>1080</v>
      </c>
      <c r="R25" s="3">
        <v>200</v>
      </c>
      <c r="S25" s="3">
        <v>950</v>
      </c>
      <c r="T25" s="3">
        <v>160</v>
      </c>
      <c r="U25" s="3">
        <v>850</v>
      </c>
      <c r="V25" s="3">
        <v>400</v>
      </c>
      <c r="W25" s="3">
        <v>600</v>
      </c>
      <c r="X25" s="3">
        <v>30</v>
      </c>
      <c r="Y25" s="3">
        <v>22</v>
      </c>
      <c r="Z25" s="3">
        <v>0</v>
      </c>
      <c r="AA25" s="3">
        <v>1</v>
      </c>
      <c r="AB25" s="3">
        <v>1</v>
      </c>
      <c r="AC25" s="3">
        <v>380</v>
      </c>
      <c r="AE25" s="4">
        <v>28.5</v>
      </c>
      <c r="AF25">
        <v>25.8</v>
      </c>
      <c r="AG25">
        <v>50</v>
      </c>
      <c r="AH25">
        <v>60</v>
      </c>
      <c r="AI25">
        <v>-25</v>
      </c>
      <c r="AJ25" t="s">
        <v>276</v>
      </c>
      <c r="AK25" t="s">
        <v>277</v>
      </c>
      <c r="AL25">
        <v>0</v>
      </c>
      <c r="AN25">
        <v>23</v>
      </c>
      <c r="AO25">
        <v>0</v>
      </c>
      <c r="AP25">
        <f t="shared" si="1"/>
        <v>4</v>
      </c>
      <c r="AR25">
        <v>1</v>
      </c>
      <c r="AS25">
        <v>0</v>
      </c>
      <c r="AT25">
        <v>1</v>
      </c>
      <c r="AU25">
        <v>0</v>
      </c>
      <c r="AW25">
        <v>0</v>
      </c>
      <c r="AY25" t="str">
        <f t="shared" si="2"/>
        <v>2</v>
      </c>
      <c r="BA25" s="13" t="str">
        <f t="shared" si="3"/>
        <v>('SUN2000-17KTL-M0', 2, 525, 470, 262, 25, 60, -25, 'CONVECÇÃO NATURAL', 'IP65', 'TRANSFORMERLESS', 17000, 18700, 380, 25.8, 28.5, 50, 2, 4, 0),</v>
      </c>
      <c r="BB25" t="str">
        <f t="shared" si="4"/>
        <v xml:space="preserve">(23, 0, 2, 1080, 200, 950, 160, 850, 400, 600, 30, 22), </v>
      </c>
      <c r="BC25" t="str">
        <f t="shared" si="5"/>
        <v>(23, 'ON-GRID'),</v>
      </c>
      <c r="BD25" t="str">
        <f t="shared" si="6"/>
        <v/>
      </c>
      <c r="BE25" t="str">
        <f t="shared" si="7"/>
        <v>(23, 'GRIDZERO'),</v>
      </c>
      <c r="BF25" t="str">
        <f t="shared" si="8"/>
        <v/>
      </c>
      <c r="BG25" t="str">
        <f t="shared" si="13"/>
        <v>(23, 'WIFI'),</v>
      </c>
      <c r="BH25" t="str">
        <f t="shared" si="14"/>
        <v>(23, 'RS485'),</v>
      </c>
      <c r="BI25" t="str">
        <f t="shared" si="15"/>
        <v/>
      </c>
      <c r="BJ25" t="str">
        <f t="shared" si="16"/>
        <v>(23, 'LED'),</v>
      </c>
      <c r="BK25" t="str">
        <f t="shared" si="17"/>
        <v/>
      </c>
      <c r="BL25" t="str">
        <f t="shared" si="18"/>
        <v/>
      </c>
      <c r="BM25" t="str">
        <f t="shared" si="10"/>
        <v>(23, 'THREE_PHASE_THREE_WIRE'),</v>
      </c>
      <c r="BN25" t="str">
        <f t="shared" si="11"/>
        <v>(23, 'THREE_PHASE_FOUR_WIRE'),</v>
      </c>
      <c r="BO25" t="str">
        <f t="shared" si="12"/>
        <v/>
      </c>
    </row>
    <row r="26" spans="1:67">
      <c r="A26" s="2" t="s">
        <v>299</v>
      </c>
      <c r="B26" s="3" t="s">
        <v>274</v>
      </c>
      <c r="C26" s="3">
        <v>262</v>
      </c>
      <c r="D26" s="3">
        <v>525</v>
      </c>
      <c r="E26" s="3">
        <v>470</v>
      </c>
      <c r="F26" s="3">
        <v>25</v>
      </c>
      <c r="G26" s="3" t="s">
        <v>275</v>
      </c>
      <c r="H26" s="3">
        <v>1</v>
      </c>
      <c r="I26" s="3">
        <v>1</v>
      </c>
      <c r="J26" s="3">
        <v>0</v>
      </c>
      <c r="K26" s="3">
        <v>1</v>
      </c>
      <c r="L26" s="3">
        <v>0</v>
      </c>
      <c r="M26" s="3">
        <v>20000</v>
      </c>
      <c r="N26" s="3">
        <v>22000</v>
      </c>
      <c r="O26" s="3">
        <v>2</v>
      </c>
      <c r="P26" s="3">
        <v>2</v>
      </c>
      <c r="Q26" s="3">
        <v>1080</v>
      </c>
      <c r="R26" s="3">
        <v>200</v>
      </c>
      <c r="S26" s="3">
        <v>950</v>
      </c>
      <c r="T26" s="3">
        <v>160</v>
      </c>
      <c r="U26" s="3">
        <v>850</v>
      </c>
      <c r="V26" s="3">
        <v>480</v>
      </c>
      <c r="W26" s="3">
        <v>600</v>
      </c>
      <c r="X26" s="3">
        <v>30</v>
      </c>
      <c r="Y26" s="3">
        <v>22</v>
      </c>
      <c r="Z26" s="3">
        <v>0</v>
      </c>
      <c r="AA26" s="3">
        <v>1</v>
      </c>
      <c r="AB26" s="3">
        <v>1</v>
      </c>
      <c r="AC26" s="3">
        <v>380</v>
      </c>
      <c r="AE26" s="4">
        <v>33.5</v>
      </c>
      <c r="AF26">
        <v>30.4</v>
      </c>
      <c r="AG26">
        <v>50</v>
      </c>
      <c r="AH26">
        <v>60</v>
      </c>
      <c r="AI26">
        <v>-25</v>
      </c>
      <c r="AJ26" t="s">
        <v>276</v>
      </c>
      <c r="AK26" t="s">
        <v>277</v>
      </c>
      <c r="AL26">
        <v>0</v>
      </c>
      <c r="AN26">
        <v>24</v>
      </c>
      <c r="AO26">
        <v>0</v>
      </c>
      <c r="AP26">
        <f t="shared" si="1"/>
        <v>4</v>
      </c>
      <c r="AR26">
        <v>1</v>
      </c>
      <c r="AS26">
        <v>0</v>
      </c>
      <c r="AT26">
        <v>1</v>
      </c>
      <c r="AU26">
        <v>0</v>
      </c>
      <c r="AW26">
        <v>0</v>
      </c>
      <c r="AY26" t="str">
        <f t="shared" si="2"/>
        <v>2</v>
      </c>
      <c r="BA26" s="13" t="str">
        <f t="shared" si="3"/>
        <v>('SUN2000-20KTL-M0', 2, 525, 470, 262, 25, 60, -25, 'CONVECÇÃO NATURAL', 'IP65', 'TRANSFORMERLESS', 20000, 22000, 380, 30.4, 33.5, 50, 2, 4, 0),</v>
      </c>
      <c r="BB26" t="str">
        <f t="shared" si="4"/>
        <v xml:space="preserve">(24, 0, 2, 1080, 200, 950, 160, 850, 480, 600, 30, 22), </v>
      </c>
      <c r="BC26" t="str">
        <f t="shared" si="5"/>
        <v>(24, 'ON-GRID'),</v>
      </c>
      <c r="BD26" t="str">
        <f t="shared" si="6"/>
        <v/>
      </c>
      <c r="BE26" t="str">
        <f t="shared" si="7"/>
        <v>(24, 'GRIDZERO'),</v>
      </c>
      <c r="BF26" t="str">
        <f t="shared" si="8"/>
        <v/>
      </c>
      <c r="BG26" t="str">
        <f t="shared" si="13"/>
        <v>(24, 'WIFI'),</v>
      </c>
      <c r="BH26" t="str">
        <f t="shared" si="14"/>
        <v>(24, 'RS485'),</v>
      </c>
      <c r="BI26" t="str">
        <f t="shared" si="15"/>
        <v/>
      </c>
      <c r="BJ26" t="str">
        <f t="shared" si="16"/>
        <v>(24, 'LED'),</v>
      </c>
      <c r="BK26" t="str">
        <f t="shared" si="17"/>
        <v/>
      </c>
      <c r="BL26" t="str">
        <f t="shared" si="18"/>
        <v/>
      </c>
      <c r="BM26" t="str">
        <f t="shared" si="10"/>
        <v>(24, 'THREE_PHASE_THREE_WIRE'),</v>
      </c>
      <c r="BN26" t="str">
        <f t="shared" si="11"/>
        <v>(24, 'THREE_PHASE_FOUR_WIRE'),</v>
      </c>
      <c r="BO26" t="str">
        <f t="shared" si="12"/>
        <v/>
      </c>
    </row>
    <row r="27" spans="1:67">
      <c r="A27" s="2" t="s">
        <v>300</v>
      </c>
      <c r="B27" s="3" t="s">
        <v>274</v>
      </c>
      <c r="C27" s="3">
        <v>262</v>
      </c>
      <c r="D27" s="3">
        <v>525</v>
      </c>
      <c r="E27" s="3">
        <v>470</v>
      </c>
      <c r="F27" s="3">
        <v>25</v>
      </c>
      <c r="G27" s="3" t="s">
        <v>275</v>
      </c>
      <c r="H27" s="3">
        <v>1</v>
      </c>
      <c r="I27" s="3">
        <v>1</v>
      </c>
      <c r="J27" s="3">
        <v>0</v>
      </c>
      <c r="K27" s="3">
        <v>1</v>
      </c>
      <c r="L27" s="3">
        <v>0</v>
      </c>
      <c r="M27" s="3">
        <v>8000</v>
      </c>
      <c r="N27" s="3">
        <v>8800</v>
      </c>
      <c r="O27" s="3">
        <v>2</v>
      </c>
      <c r="P27" s="3">
        <v>2</v>
      </c>
      <c r="Q27" s="3">
        <v>1080</v>
      </c>
      <c r="R27" s="3">
        <v>200</v>
      </c>
      <c r="S27" s="3">
        <v>950</v>
      </c>
      <c r="T27" s="3">
        <v>160</v>
      </c>
      <c r="U27" s="3">
        <v>850</v>
      </c>
      <c r="V27" s="3">
        <v>320</v>
      </c>
      <c r="W27" s="3">
        <v>600</v>
      </c>
      <c r="X27" s="3">
        <v>30</v>
      </c>
      <c r="Y27" s="3">
        <v>22</v>
      </c>
      <c r="Z27" s="3">
        <v>0</v>
      </c>
      <c r="AA27" s="3">
        <v>1</v>
      </c>
      <c r="AB27" s="3">
        <v>1</v>
      </c>
      <c r="AC27" s="3">
        <v>380</v>
      </c>
      <c r="AE27" s="4">
        <v>13.4</v>
      </c>
      <c r="AF27">
        <v>12.8</v>
      </c>
      <c r="AG27">
        <v>50</v>
      </c>
      <c r="AH27">
        <v>60</v>
      </c>
      <c r="AI27">
        <v>-25</v>
      </c>
      <c r="AJ27" t="s">
        <v>276</v>
      </c>
      <c r="AK27" t="s">
        <v>277</v>
      </c>
      <c r="AL27">
        <v>0</v>
      </c>
      <c r="AN27">
        <v>25</v>
      </c>
      <c r="AO27">
        <v>0</v>
      </c>
      <c r="AP27">
        <f t="shared" si="1"/>
        <v>4</v>
      </c>
      <c r="AR27">
        <v>1</v>
      </c>
      <c r="AS27">
        <v>0</v>
      </c>
      <c r="AT27">
        <v>1</v>
      </c>
      <c r="AU27">
        <v>0</v>
      </c>
      <c r="AW27">
        <v>0</v>
      </c>
      <c r="AY27" t="str">
        <f t="shared" si="2"/>
        <v>2</v>
      </c>
      <c r="BA27" s="13" t="str">
        <f t="shared" si="3"/>
        <v>('SUN2000-8KTL-M2', 2, 525, 470, 262, 25, 60, -25, 'CONVECÇÃO NATURAL', 'IP65', 'TRANSFORMERLESS', 8000, 8800, 380, 12.8, 13.4, 50, 2, 4, 0),</v>
      </c>
      <c r="BB27" t="str">
        <f t="shared" si="4"/>
        <v xml:space="preserve">(25, 0, 2, 1080, 200, 950, 160, 850, 320, 600, 30, 22), </v>
      </c>
      <c r="BC27" t="str">
        <f t="shared" si="5"/>
        <v>(25, 'ON-GRID'),</v>
      </c>
      <c r="BD27" t="str">
        <f t="shared" si="6"/>
        <v/>
      </c>
      <c r="BE27" t="str">
        <f t="shared" si="7"/>
        <v>(25, 'GRIDZERO'),</v>
      </c>
      <c r="BF27" t="str">
        <f t="shared" si="8"/>
        <v/>
      </c>
      <c r="BG27" t="str">
        <f t="shared" si="13"/>
        <v>(25, 'WIFI'),</v>
      </c>
      <c r="BH27" t="str">
        <f t="shared" si="14"/>
        <v>(25, 'RS485'),</v>
      </c>
      <c r="BI27" t="str">
        <f t="shared" si="15"/>
        <v/>
      </c>
      <c r="BJ27" t="str">
        <f t="shared" si="16"/>
        <v>(25, 'LED'),</v>
      </c>
      <c r="BK27" t="str">
        <f t="shared" si="17"/>
        <v/>
      </c>
      <c r="BL27" t="str">
        <f t="shared" si="18"/>
        <v/>
      </c>
      <c r="BM27" t="str">
        <f t="shared" si="10"/>
        <v>(25, 'THREE_PHASE_THREE_WIRE'),</v>
      </c>
      <c r="BN27" t="str">
        <f t="shared" si="11"/>
        <v>(25, 'THREE_PHASE_FOUR_WIRE'),</v>
      </c>
      <c r="BO27" t="str">
        <f t="shared" si="12"/>
        <v/>
      </c>
    </row>
    <row r="28" spans="1:67">
      <c r="A28" s="2" t="s">
        <v>301</v>
      </c>
      <c r="B28" s="3" t="s">
        <v>274</v>
      </c>
      <c r="C28" s="3">
        <v>262</v>
      </c>
      <c r="D28" s="3">
        <v>525</v>
      </c>
      <c r="E28" s="3">
        <v>470</v>
      </c>
      <c r="F28" s="3">
        <v>25</v>
      </c>
      <c r="G28" s="3" t="s">
        <v>275</v>
      </c>
      <c r="H28" s="3">
        <v>1</v>
      </c>
      <c r="I28" s="3">
        <v>1</v>
      </c>
      <c r="J28" s="3">
        <v>0</v>
      </c>
      <c r="K28" s="3">
        <v>1</v>
      </c>
      <c r="L28" s="3">
        <v>0</v>
      </c>
      <c r="M28" s="3">
        <v>10000</v>
      </c>
      <c r="N28" s="3">
        <v>11000</v>
      </c>
      <c r="O28" s="3">
        <v>2</v>
      </c>
      <c r="P28" s="3">
        <v>2</v>
      </c>
      <c r="Q28" s="3">
        <v>1080</v>
      </c>
      <c r="R28" s="3">
        <v>200</v>
      </c>
      <c r="S28" s="3">
        <v>950</v>
      </c>
      <c r="T28" s="3">
        <v>160</v>
      </c>
      <c r="U28" s="3">
        <v>850</v>
      </c>
      <c r="V28" s="3">
        <v>320</v>
      </c>
      <c r="W28" s="3">
        <v>600</v>
      </c>
      <c r="X28" s="3">
        <v>30</v>
      </c>
      <c r="Y28" s="3">
        <v>22</v>
      </c>
      <c r="Z28" s="3">
        <v>0</v>
      </c>
      <c r="AA28" s="3">
        <v>1</v>
      </c>
      <c r="AB28" s="3">
        <v>1</v>
      </c>
      <c r="AC28" s="3">
        <v>380</v>
      </c>
      <c r="AE28" s="4">
        <v>17</v>
      </c>
      <c r="AF28">
        <v>15.9</v>
      </c>
      <c r="AG28">
        <v>50</v>
      </c>
      <c r="AH28">
        <v>60</v>
      </c>
      <c r="AI28">
        <v>-25</v>
      </c>
      <c r="AJ28" t="s">
        <v>276</v>
      </c>
      <c r="AK28" t="s">
        <v>277</v>
      </c>
      <c r="AL28">
        <v>0</v>
      </c>
      <c r="AN28">
        <v>26</v>
      </c>
      <c r="AO28">
        <v>0</v>
      </c>
      <c r="AP28">
        <f t="shared" si="1"/>
        <v>4</v>
      </c>
      <c r="AR28">
        <v>1</v>
      </c>
      <c r="AS28">
        <v>0</v>
      </c>
      <c r="AT28">
        <v>1</v>
      </c>
      <c r="AU28">
        <v>0</v>
      </c>
      <c r="AW28">
        <v>0</v>
      </c>
      <c r="AY28" t="str">
        <f t="shared" si="2"/>
        <v>2</v>
      </c>
      <c r="BA28" s="13" t="str">
        <f t="shared" si="3"/>
        <v>('SUN2000-10KTL-M2', 2, 525, 470, 262, 25, 60, -25, 'CONVECÇÃO NATURAL', 'IP65', 'TRANSFORMERLESS', 10000, 11000, 380, 15.9, 17, 50, 2, 4, 0),</v>
      </c>
      <c r="BB28" t="str">
        <f t="shared" si="4"/>
        <v xml:space="preserve">(26, 0, 2, 1080, 200, 950, 160, 850, 320, 600, 30, 22), </v>
      </c>
      <c r="BC28" t="str">
        <f t="shared" si="5"/>
        <v>(26, 'ON-GRID'),</v>
      </c>
      <c r="BD28" t="str">
        <f t="shared" si="6"/>
        <v/>
      </c>
      <c r="BE28" t="str">
        <f t="shared" si="7"/>
        <v>(26, 'GRIDZERO'),</v>
      </c>
      <c r="BF28" t="str">
        <f t="shared" si="8"/>
        <v/>
      </c>
      <c r="BG28" t="str">
        <f t="shared" si="13"/>
        <v>(26, 'WIFI'),</v>
      </c>
      <c r="BH28" t="str">
        <f t="shared" si="14"/>
        <v>(26, 'RS485'),</v>
      </c>
      <c r="BI28" t="str">
        <f t="shared" si="15"/>
        <v/>
      </c>
      <c r="BJ28" t="str">
        <f t="shared" si="16"/>
        <v>(26, 'LED'),</v>
      </c>
      <c r="BK28" t="str">
        <f t="shared" si="17"/>
        <v/>
      </c>
      <c r="BL28" t="str">
        <f t="shared" si="18"/>
        <v/>
      </c>
      <c r="BM28" t="str">
        <f t="shared" si="10"/>
        <v>(26, 'THREE_PHASE_THREE_WIRE'),</v>
      </c>
      <c r="BN28" t="str">
        <f t="shared" si="11"/>
        <v>(26, 'THREE_PHASE_FOUR_WIRE'),</v>
      </c>
      <c r="BO28" t="str">
        <f t="shared" si="12"/>
        <v/>
      </c>
    </row>
    <row r="29" spans="1:67">
      <c r="A29" s="2" t="s">
        <v>302</v>
      </c>
      <c r="B29" s="3" t="s">
        <v>274</v>
      </c>
      <c r="C29" s="3">
        <v>262</v>
      </c>
      <c r="D29" s="3">
        <v>525</v>
      </c>
      <c r="E29" s="3">
        <v>470</v>
      </c>
      <c r="F29" s="3">
        <v>25</v>
      </c>
      <c r="G29" s="3" t="s">
        <v>275</v>
      </c>
      <c r="H29" s="3">
        <v>1</v>
      </c>
      <c r="I29" s="3">
        <v>1</v>
      </c>
      <c r="J29" s="3">
        <v>0</v>
      </c>
      <c r="K29" s="3">
        <v>1</v>
      </c>
      <c r="L29" s="3">
        <v>0</v>
      </c>
      <c r="M29" s="3">
        <v>12000</v>
      </c>
      <c r="N29" s="3">
        <v>13200</v>
      </c>
      <c r="O29" s="3">
        <v>2</v>
      </c>
      <c r="P29" s="3">
        <v>2</v>
      </c>
      <c r="Q29" s="3">
        <v>1080</v>
      </c>
      <c r="R29" s="3">
        <v>200</v>
      </c>
      <c r="S29" s="3">
        <v>950</v>
      </c>
      <c r="T29" s="3">
        <v>160</v>
      </c>
      <c r="U29" s="3">
        <v>850</v>
      </c>
      <c r="V29" s="3">
        <v>380</v>
      </c>
      <c r="W29" s="3">
        <v>600</v>
      </c>
      <c r="X29" s="3">
        <v>30</v>
      </c>
      <c r="Y29" s="3">
        <v>22</v>
      </c>
      <c r="Z29" s="3">
        <v>0</v>
      </c>
      <c r="AA29" s="3">
        <v>1</v>
      </c>
      <c r="AB29" s="3">
        <v>1</v>
      </c>
      <c r="AC29" s="3">
        <v>380</v>
      </c>
      <c r="AE29" s="4">
        <v>20</v>
      </c>
      <c r="AF29">
        <v>18.2</v>
      </c>
      <c r="AG29">
        <v>50</v>
      </c>
      <c r="AH29">
        <v>60</v>
      </c>
      <c r="AI29">
        <v>-25</v>
      </c>
      <c r="AJ29" t="s">
        <v>276</v>
      </c>
      <c r="AK29" t="s">
        <v>277</v>
      </c>
      <c r="AL29">
        <v>0</v>
      </c>
      <c r="AN29">
        <v>27</v>
      </c>
      <c r="AO29">
        <v>0</v>
      </c>
      <c r="AP29">
        <f t="shared" si="1"/>
        <v>4</v>
      </c>
      <c r="AR29">
        <v>1</v>
      </c>
      <c r="AS29">
        <v>0</v>
      </c>
      <c r="AT29">
        <v>1</v>
      </c>
      <c r="AU29">
        <v>0</v>
      </c>
      <c r="AW29">
        <v>0</v>
      </c>
      <c r="AY29" t="str">
        <f t="shared" si="2"/>
        <v>2</v>
      </c>
      <c r="BA29" s="13" t="str">
        <f t="shared" si="3"/>
        <v>('SUN2000-12KTL-M2', 2, 525, 470, 262, 25, 60, -25, 'CONVECÇÃO NATURAL', 'IP65', 'TRANSFORMERLESS', 12000, 13200, 380, 18.2, 20, 50, 2, 4, 0),</v>
      </c>
      <c r="BB29" t="str">
        <f t="shared" si="4"/>
        <v xml:space="preserve">(27, 0, 2, 1080, 200, 950, 160, 850, 380, 600, 30, 22), </v>
      </c>
      <c r="BC29" t="str">
        <f t="shared" si="5"/>
        <v>(27, 'ON-GRID'),</v>
      </c>
      <c r="BD29" t="str">
        <f t="shared" si="6"/>
        <v/>
      </c>
      <c r="BE29" t="str">
        <f t="shared" si="7"/>
        <v>(27, 'GRIDZERO'),</v>
      </c>
      <c r="BF29" t="str">
        <f t="shared" si="8"/>
        <v/>
      </c>
      <c r="BG29" t="str">
        <f t="shared" si="13"/>
        <v>(27, 'WIFI'),</v>
      </c>
      <c r="BH29" t="str">
        <f t="shared" si="14"/>
        <v>(27, 'RS485'),</v>
      </c>
      <c r="BI29" t="str">
        <f t="shared" si="15"/>
        <v/>
      </c>
      <c r="BJ29" t="str">
        <f t="shared" si="16"/>
        <v>(27, 'LED'),</v>
      </c>
      <c r="BK29" t="str">
        <f t="shared" si="17"/>
        <v/>
      </c>
      <c r="BL29" t="str">
        <f t="shared" si="18"/>
        <v/>
      </c>
      <c r="BM29" t="str">
        <f t="shared" si="10"/>
        <v>(27, 'THREE_PHASE_THREE_WIRE'),</v>
      </c>
      <c r="BN29" t="str">
        <f t="shared" si="11"/>
        <v>(27, 'THREE_PHASE_FOUR_WIRE'),</v>
      </c>
      <c r="BO29" t="str">
        <f t="shared" si="12"/>
        <v/>
      </c>
    </row>
    <row r="30" spans="1:67">
      <c r="A30" s="2" t="s">
        <v>303</v>
      </c>
      <c r="B30" s="3" t="s">
        <v>274</v>
      </c>
      <c r="C30" s="3">
        <v>262</v>
      </c>
      <c r="D30" s="3">
        <v>525</v>
      </c>
      <c r="E30" s="3">
        <v>470</v>
      </c>
      <c r="F30" s="3">
        <v>25</v>
      </c>
      <c r="G30" s="3" t="s">
        <v>275</v>
      </c>
      <c r="H30" s="3">
        <v>1</v>
      </c>
      <c r="I30" s="3">
        <v>1</v>
      </c>
      <c r="J30" s="3">
        <v>0</v>
      </c>
      <c r="K30" s="3">
        <v>1</v>
      </c>
      <c r="L30" s="3">
        <v>0</v>
      </c>
      <c r="M30" s="3">
        <v>15000</v>
      </c>
      <c r="N30" s="3">
        <v>16500</v>
      </c>
      <c r="O30" s="3">
        <v>2</v>
      </c>
      <c r="P30" s="3">
        <v>2</v>
      </c>
      <c r="Q30" s="3">
        <v>1080</v>
      </c>
      <c r="R30" s="3">
        <v>200</v>
      </c>
      <c r="S30" s="3">
        <v>950</v>
      </c>
      <c r="T30" s="3">
        <v>160</v>
      </c>
      <c r="U30" s="3">
        <v>850</v>
      </c>
      <c r="V30" s="3">
        <v>380</v>
      </c>
      <c r="W30" s="3">
        <v>600</v>
      </c>
      <c r="X30" s="3">
        <v>30</v>
      </c>
      <c r="Y30" s="3">
        <v>22</v>
      </c>
      <c r="Z30" s="3">
        <v>0</v>
      </c>
      <c r="AA30" s="3">
        <v>1</v>
      </c>
      <c r="AB30" s="3">
        <v>1</v>
      </c>
      <c r="AC30" s="3">
        <v>380</v>
      </c>
      <c r="AE30" s="4">
        <v>25.5</v>
      </c>
      <c r="AF30">
        <v>22.8</v>
      </c>
      <c r="AG30">
        <v>50</v>
      </c>
      <c r="AH30">
        <v>60</v>
      </c>
      <c r="AI30">
        <v>-25</v>
      </c>
      <c r="AJ30" t="s">
        <v>276</v>
      </c>
      <c r="AK30" t="s">
        <v>277</v>
      </c>
      <c r="AL30">
        <v>0</v>
      </c>
      <c r="AN30">
        <v>28</v>
      </c>
      <c r="AO30">
        <v>0</v>
      </c>
      <c r="AP30">
        <f t="shared" si="1"/>
        <v>4</v>
      </c>
      <c r="AR30">
        <v>1</v>
      </c>
      <c r="AS30">
        <v>0</v>
      </c>
      <c r="AT30">
        <v>1</v>
      </c>
      <c r="AU30">
        <v>0</v>
      </c>
      <c r="AW30">
        <v>0</v>
      </c>
      <c r="AY30" t="str">
        <f t="shared" si="2"/>
        <v>2</v>
      </c>
      <c r="BA30" s="13" t="str">
        <f t="shared" si="3"/>
        <v>('SUN2000-15KTL-M2', 2, 525, 470, 262, 25, 60, -25, 'CONVECÇÃO NATURAL', 'IP65', 'TRANSFORMERLESS', 15000, 16500, 380, 22.8, 25.5, 50, 2, 4, 0),</v>
      </c>
      <c r="BB30" t="str">
        <f t="shared" si="4"/>
        <v xml:space="preserve">(28, 0, 2, 1080, 200, 950, 160, 850, 380, 600, 30, 22), </v>
      </c>
      <c r="BC30" t="str">
        <f t="shared" si="5"/>
        <v>(28, 'ON-GRID'),</v>
      </c>
      <c r="BD30" t="str">
        <f t="shared" si="6"/>
        <v/>
      </c>
      <c r="BE30" t="str">
        <f t="shared" si="7"/>
        <v>(28, 'GRIDZERO'),</v>
      </c>
      <c r="BF30" t="str">
        <f t="shared" si="8"/>
        <v/>
      </c>
      <c r="BG30" t="str">
        <f t="shared" si="13"/>
        <v>(28, 'WIFI'),</v>
      </c>
      <c r="BH30" t="str">
        <f t="shared" si="14"/>
        <v>(28, 'RS485'),</v>
      </c>
      <c r="BI30" t="str">
        <f t="shared" si="15"/>
        <v/>
      </c>
      <c r="BJ30" t="str">
        <f t="shared" si="16"/>
        <v>(28, 'LED'),</v>
      </c>
      <c r="BK30" t="str">
        <f t="shared" si="17"/>
        <v/>
      </c>
      <c r="BL30" t="str">
        <f t="shared" si="18"/>
        <v/>
      </c>
      <c r="BM30" t="str">
        <f t="shared" si="10"/>
        <v>(28, 'THREE_PHASE_THREE_WIRE'),</v>
      </c>
      <c r="BN30" t="str">
        <f t="shared" si="11"/>
        <v>(28, 'THREE_PHASE_FOUR_WIRE'),</v>
      </c>
      <c r="BO30" t="str">
        <f t="shared" si="12"/>
        <v/>
      </c>
    </row>
    <row r="31" spans="1:67">
      <c r="A31" s="2" t="s">
        <v>304</v>
      </c>
      <c r="B31" s="3" t="s">
        <v>274</v>
      </c>
      <c r="C31" s="3">
        <v>262</v>
      </c>
      <c r="D31" s="3">
        <v>525</v>
      </c>
      <c r="E31" s="3">
        <v>470</v>
      </c>
      <c r="F31" s="3">
        <v>25</v>
      </c>
      <c r="G31" s="3" t="s">
        <v>275</v>
      </c>
      <c r="H31" s="3">
        <v>1</v>
      </c>
      <c r="I31" s="3">
        <v>1</v>
      </c>
      <c r="J31" s="3">
        <v>0</v>
      </c>
      <c r="K31" s="3">
        <v>1</v>
      </c>
      <c r="L31" s="3">
        <v>0</v>
      </c>
      <c r="M31" s="3">
        <v>17000</v>
      </c>
      <c r="N31" s="3">
        <v>18700</v>
      </c>
      <c r="O31" s="3">
        <v>2</v>
      </c>
      <c r="P31" s="3">
        <v>2</v>
      </c>
      <c r="Q31" s="3">
        <v>1080</v>
      </c>
      <c r="R31" s="3">
        <v>200</v>
      </c>
      <c r="S31" s="3">
        <v>950</v>
      </c>
      <c r="T31" s="3">
        <v>160</v>
      </c>
      <c r="U31" s="3">
        <v>850</v>
      </c>
      <c r="V31" s="3">
        <v>400</v>
      </c>
      <c r="W31" s="3">
        <v>600</v>
      </c>
      <c r="X31" s="3">
        <v>30</v>
      </c>
      <c r="Y31" s="3">
        <v>22</v>
      </c>
      <c r="Z31" s="3">
        <v>0</v>
      </c>
      <c r="AA31" s="3">
        <v>1</v>
      </c>
      <c r="AB31" s="3">
        <v>1</v>
      </c>
      <c r="AC31" s="3">
        <v>380</v>
      </c>
      <c r="AE31" s="4">
        <v>28.5</v>
      </c>
      <c r="AF31">
        <v>25.8</v>
      </c>
      <c r="AG31">
        <v>50</v>
      </c>
      <c r="AH31">
        <v>60</v>
      </c>
      <c r="AI31">
        <v>-25</v>
      </c>
      <c r="AJ31" t="s">
        <v>276</v>
      </c>
      <c r="AK31" t="s">
        <v>277</v>
      </c>
      <c r="AL31">
        <v>0</v>
      </c>
      <c r="AN31">
        <v>29</v>
      </c>
      <c r="AO31">
        <v>0</v>
      </c>
      <c r="AP31">
        <f t="shared" si="1"/>
        <v>4</v>
      </c>
      <c r="AR31">
        <v>1</v>
      </c>
      <c r="AS31">
        <v>0</v>
      </c>
      <c r="AT31">
        <v>1</v>
      </c>
      <c r="AU31">
        <v>0</v>
      </c>
      <c r="AW31">
        <v>0</v>
      </c>
      <c r="AY31" t="str">
        <f t="shared" si="2"/>
        <v>2</v>
      </c>
      <c r="BA31" s="13" t="str">
        <f t="shared" si="3"/>
        <v>('SUN2000-17KTL-M2', 2, 525, 470, 262, 25, 60, -25, 'CONVECÇÃO NATURAL', 'IP65', 'TRANSFORMERLESS', 17000, 18700, 380, 25.8, 28.5, 50, 2, 4, 0),</v>
      </c>
      <c r="BB31" t="str">
        <f t="shared" si="4"/>
        <v xml:space="preserve">(29, 0, 2, 1080, 200, 950, 160, 850, 400, 600, 30, 22), </v>
      </c>
      <c r="BC31" t="str">
        <f t="shared" si="5"/>
        <v>(29, 'ON-GRID'),</v>
      </c>
      <c r="BD31" t="str">
        <f t="shared" si="6"/>
        <v/>
      </c>
      <c r="BE31" t="str">
        <f t="shared" si="7"/>
        <v>(29, 'GRIDZERO'),</v>
      </c>
      <c r="BF31" t="str">
        <f t="shared" si="8"/>
        <v/>
      </c>
      <c r="BG31" t="str">
        <f t="shared" si="13"/>
        <v>(29, 'WIFI'),</v>
      </c>
      <c r="BH31" t="str">
        <f t="shared" si="14"/>
        <v>(29, 'RS485'),</v>
      </c>
      <c r="BI31" t="str">
        <f t="shared" si="15"/>
        <v/>
      </c>
      <c r="BJ31" t="str">
        <f t="shared" si="16"/>
        <v>(29, 'LED'),</v>
      </c>
      <c r="BK31" t="str">
        <f t="shared" si="17"/>
        <v/>
      </c>
      <c r="BL31" t="str">
        <f t="shared" si="18"/>
        <v/>
      </c>
      <c r="BM31" t="str">
        <f t="shared" si="10"/>
        <v>(29, 'THREE_PHASE_THREE_WIRE'),</v>
      </c>
      <c r="BN31" t="str">
        <f t="shared" si="11"/>
        <v>(29, 'THREE_PHASE_FOUR_WIRE'),</v>
      </c>
      <c r="BO31" t="str">
        <f t="shared" si="12"/>
        <v/>
      </c>
    </row>
    <row r="32" spans="1:67">
      <c r="A32" s="2" t="s">
        <v>305</v>
      </c>
      <c r="B32" s="3" t="s">
        <v>274</v>
      </c>
      <c r="C32" s="3">
        <v>262</v>
      </c>
      <c r="D32" s="3">
        <v>525</v>
      </c>
      <c r="E32" s="3">
        <v>470</v>
      </c>
      <c r="F32" s="3">
        <v>25</v>
      </c>
      <c r="G32" s="3" t="s">
        <v>275</v>
      </c>
      <c r="H32" s="3">
        <v>1</v>
      </c>
      <c r="I32" s="3">
        <v>1</v>
      </c>
      <c r="J32" s="3">
        <v>0</v>
      </c>
      <c r="K32" s="3">
        <v>1</v>
      </c>
      <c r="L32" s="3">
        <v>0</v>
      </c>
      <c r="M32" s="3">
        <v>20000</v>
      </c>
      <c r="N32" s="3">
        <v>22000</v>
      </c>
      <c r="O32" s="3">
        <v>2</v>
      </c>
      <c r="P32" s="3">
        <v>2</v>
      </c>
      <c r="Q32" s="3">
        <v>1080</v>
      </c>
      <c r="R32" s="3">
        <v>200</v>
      </c>
      <c r="S32" s="3">
        <v>950</v>
      </c>
      <c r="T32" s="3">
        <v>160</v>
      </c>
      <c r="U32" s="3">
        <v>850</v>
      </c>
      <c r="V32" s="3">
        <v>480</v>
      </c>
      <c r="W32" s="3">
        <v>600</v>
      </c>
      <c r="X32" s="3">
        <v>30</v>
      </c>
      <c r="Y32" s="3">
        <v>22</v>
      </c>
      <c r="Z32" s="3">
        <v>0</v>
      </c>
      <c r="AA32" s="3">
        <v>1</v>
      </c>
      <c r="AB32" s="3">
        <v>1</v>
      </c>
      <c r="AC32" s="3">
        <v>380</v>
      </c>
      <c r="AE32" s="4">
        <v>33.5</v>
      </c>
      <c r="AF32">
        <v>30.4</v>
      </c>
      <c r="AG32">
        <v>50</v>
      </c>
      <c r="AH32">
        <v>60</v>
      </c>
      <c r="AI32">
        <v>-25</v>
      </c>
      <c r="AJ32" t="s">
        <v>276</v>
      </c>
      <c r="AK32" t="s">
        <v>277</v>
      </c>
      <c r="AL32">
        <v>0</v>
      </c>
      <c r="AN32">
        <v>30</v>
      </c>
      <c r="AO32">
        <v>0</v>
      </c>
      <c r="AP32">
        <f t="shared" si="1"/>
        <v>4</v>
      </c>
      <c r="AR32">
        <v>1</v>
      </c>
      <c r="AS32">
        <v>0</v>
      </c>
      <c r="AT32">
        <v>1</v>
      </c>
      <c r="AU32">
        <v>0</v>
      </c>
      <c r="AW32">
        <v>0</v>
      </c>
      <c r="AY32" t="str">
        <f t="shared" si="2"/>
        <v>2</v>
      </c>
      <c r="BA32" s="13" t="str">
        <f t="shared" si="3"/>
        <v>('SUN2000-20KTL-M2', 2, 525, 470, 262, 25, 60, -25, 'CONVECÇÃO NATURAL', 'IP65', 'TRANSFORMERLESS', 20000, 22000, 380, 30.4, 33.5, 50, 2, 4, 0),</v>
      </c>
      <c r="BB32" t="str">
        <f t="shared" si="4"/>
        <v xml:space="preserve">(30, 0, 2, 1080, 200, 950, 160, 850, 480, 600, 30, 22), </v>
      </c>
      <c r="BC32" t="str">
        <f t="shared" si="5"/>
        <v>(30, 'ON-GRID'),</v>
      </c>
      <c r="BD32" t="str">
        <f t="shared" si="6"/>
        <v/>
      </c>
      <c r="BE32" t="str">
        <f t="shared" si="7"/>
        <v>(30, 'GRIDZERO'),</v>
      </c>
      <c r="BF32" t="str">
        <f t="shared" si="8"/>
        <v/>
      </c>
      <c r="BG32" t="str">
        <f t="shared" si="13"/>
        <v>(30, 'WIFI'),</v>
      </c>
      <c r="BH32" t="str">
        <f t="shared" si="14"/>
        <v>(30, 'RS485'),</v>
      </c>
      <c r="BI32" t="str">
        <f t="shared" si="15"/>
        <v/>
      </c>
      <c r="BJ32" t="str">
        <f t="shared" si="16"/>
        <v>(30, 'LED'),</v>
      </c>
      <c r="BK32" t="str">
        <f t="shared" si="17"/>
        <v/>
      </c>
      <c r="BL32" t="str">
        <f t="shared" si="18"/>
        <v/>
      </c>
      <c r="BM32" t="str">
        <f t="shared" si="10"/>
        <v>(30, 'THREE_PHASE_THREE_WIRE'),</v>
      </c>
      <c r="BN32" t="str">
        <f t="shared" si="11"/>
        <v>(30, 'THREE_PHASE_FOUR_WIRE'),</v>
      </c>
      <c r="BO32" t="str">
        <f t="shared" si="12"/>
        <v/>
      </c>
    </row>
    <row r="33" spans="1:67">
      <c r="A33" s="2" t="s">
        <v>306</v>
      </c>
      <c r="B33" s="3" t="s">
        <v>274</v>
      </c>
      <c r="C33" s="3">
        <v>270</v>
      </c>
      <c r="D33" s="3">
        <v>640</v>
      </c>
      <c r="E33" s="3">
        <v>530</v>
      </c>
      <c r="F33" s="3">
        <v>43</v>
      </c>
      <c r="G33" s="3" t="s">
        <v>275</v>
      </c>
      <c r="H33" s="3">
        <v>1</v>
      </c>
      <c r="I33" s="3">
        <v>1</v>
      </c>
      <c r="J33" s="3">
        <v>0</v>
      </c>
      <c r="K33" s="3">
        <v>1</v>
      </c>
      <c r="L33" s="3">
        <v>0</v>
      </c>
      <c r="M33" s="3">
        <v>20000</v>
      </c>
      <c r="N33" s="3">
        <v>22000</v>
      </c>
      <c r="O33" s="3">
        <v>2</v>
      </c>
      <c r="P33" s="3">
        <v>4</v>
      </c>
      <c r="Q33" s="3">
        <v>800</v>
      </c>
      <c r="R33" s="3">
        <v>200</v>
      </c>
      <c r="S33" s="3">
        <v>750</v>
      </c>
      <c r="T33" s="3">
        <v>200</v>
      </c>
      <c r="U33" s="3">
        <v>550</v>
      </c>
      <c r="V33" s="3">
        <v>300</v>
      </c>
      <c r="W33" s="3">
        <v>350</v>
      </c>
      <c r="X33" s="3">
        <v>40</v>
      </c>
      <c r="Y33" s="3">
        <v>26</v>
      </c>
      <c r="Z33" s="3">
        <v>0</v>
      </c>
      <c r="AA33" s="3">
        <v>0</v>
      </c>
      <c r="AB33" s="3">
        <v>1</v>
      </c>
      <c r="AC33" s="3">
        <v>220</v>
      </c>
      <c r="AE33" s="4">
        <v>58</v>
      </c>
      <c r="AF33">
        <v>52.5</v>
      </c>
      <c r="AG33">
        <v>50</v>
      </c>
      <c r="AH33">
        <v>60</v>
      </c>
      <c r="AI33">
        <v>-25</v>
      </c>
      <c r="AJ33" t="s">
        <v>307</v>
      </c>
      <c r="AK33" t="s">
        <v>277</v>
      </c>
      <c r="AL33">
        <v>0</v>
      </c>
      <c r="AN33">
        <v>31</v>
      </c>
      <c r="AO33">
        <v>0</v>
      </c>
      <c r="AP33">
        <f t="shared" si="1"/>
        <v>8</v>
      </c>
      <c r="AR33">
        <v>1</v>
      </c>
      <c r="AS33">
        <v>0</v>
      </c>
      <c r="AT33">
        <v>1</v>
      </c>
      <c r="AU33">
        <v>0</v>
      </c>
      <c r="AW33">
        <v>0</v>
      </c>
      <c r="AY33" t="str">
        <f t="shared" si="2"/>
        <v>2</v>
      </c>
      <c r="BA33" s="13" t="str">
        <f t="shared" si="3"/>
        <v>('SUN2000-20KTL-M3', 2, 640, 530, 270, 43, 60, -25, 'CONVECÇÃO NATURAL', 'IP66', 'TRANSFORMERLESS', 20000, 22000, 220, 52.5, 58, 50, 4, 8, 0),</v>
      </c>
      <c r="BB33" t="str">
        <f t="shared" si="4"/>
        <v xml:space="preserve">(31, 0, 2, 800, 200, 750, 200, 550, 300, 350, 40, 26), </v>
      </c>
      <c r="BC33" t="str">
        <f t="shared" si="5"/>
        <v>(31, 'ON-GRID'),</v>
      </c>
      <c r="BD33" t="str">
        <f t="shared" si="6"/>
        <v/>
      </c>
      <c r="BE33" t="str">
        <f t="shared" si="7"/>
        <v>(31, 'GRIDZERO'),</v>
      </c>
      <c r="BF33" t="str">
        <f t="shared" si="8"/>
        <v/>
      </c>
      <c r="BG33" t="str">
        <f t="shared" si="13"/>
        <v>(31, 'WIFI'),</v>
      </c>
      <c r="BH33" t="str">
        <f t="shared" si="14"/>
        <v>(31, 'RS485'),</v>
      </c>
      <c r="BI33" t="str">
        <f t="shared" si="15"/>
        <v/>
      </c>
      <c r="BJ33" t="str">
        <f t="shared" si="16"/>
        <v>(31, 'LED'),</v>
      </c>
      <c r="BK33" t="str">
        <f t="shared" si="17"/>
        <v/>
      </c>
      <c r="BL33" t="str">
        <f t="shared" si="18"/>
        <v/>
      </c>
      <c r="BM33" t="str">
        <f t="shared" si="10"/>
        <v/>
      </c>
      <c r="BN33" t="str">
        <f t="shared" si="11"/>
        <v>(31, 'THREE_PHASE_FOUR_WIRE'),</v>
      </c>
      <c r="BO33" t="str">
        <f t="shared" si="12"/>
        <v/>
      </c>
    </row>
    <row r="34" spans="1:67">
      <c r="A34" s="2" t="s">
        <v>308</v>
      </c>
      <c r="B34" s="3" t="s">
        <v>274</v>
      </c>
      <c r="C34" s="3">
        <v>270</v>
      </c>
      <c r="D34" s="3">
        <v>640</v>
      </c>
      <c r="E34" s="3">
        <v>530</v>
      </c>
      <c r="F34" s="3">
        <v>43</v>
      </c>
      <c r="G34" s="3" t="s">
        <v>275</v>
      </c>
      <c r="H34" s="3">
        <v>1</v>
      </c>
      <c r="I34" s="3">
        <v>1</v>
      </c>
      <c r="J34" s="3">
        <v>0</v>
      </c>
      <c r="K34" s="3">
        <v>1</v>
      </c>
      <c r="L34" s="3">
        <v>0</v>
      </c>
      <c r="M34" s="3">
        <v>29900</v>
      </c>
      <c r="N34" s="3">
        <v>29900</v>
      </c>
      <c r="O34" s="3">
        <v>2</v>
      </c>
      <c r="P34" s="3">
        <v>4</v>
      </c>
      <c r="Q34" s="3">
        <v>1100</v>
      </c>
      <c r="R34" s="3">
        <v>200</v>
      </c>
      <c r="S34" s="3">
        <v>1000</v>
      </c>
      <c r="T34" s="3">
        <v>200</v>
      </c>
      <c r="U34" s="3">
        <v>800</v>
      </c>
      <c r="V34" s="3">
        <v>500</v>
      </c>
      <c r="W34" s="3">
        <v>600</v>
      </c>
      <c r="X34" s="3">
        <v>40</v>
      </c>
      <c r="Y34" s="3">
        <v>26</v>
      </c>
      <c r="Z34" s="3">
        <v>0</v>
      </c>
      <c r="AA34" s="3">
        <v>0</v>
      </c>
      <c r="AB34" s="3">
        <v>1</v>
      </c>
      <c r="AC34" s="3">
        <v>380</v>
      </c>
      <c r="AE34" s="4">
        <v>43.2</v>
      </c>
      <c r="AF34">
        <v>43.2</v>
      </c>
      <c r="AG34">
        <v>50</v>
      </c>
      <c r="AH34">
        <v>60</v>
      </c>
      <c r="AI34">
        <v>-25</v>
      </c>
      <c r="AJ34" t="s">
        <v>307</v>
      </c>
      <c r="AK34" t="s">
        <v>277</v>
      </c>
      <c r="AL34">
        <v>0</v>
      </c>
      <c r="AN34">
        <v>32</v>
      </c>
      <c r="AO34">
        <v>0</v>
      </c>
      <c r="AP34">
        <f t="shared" si="1"/>
        <v>8</v>
      </c>
      <c r="AR34">
        <v>1</v>
      </c>
      <c r="AS34">
        <v>0</v>
      </c>
      <c r="AT34">
        <v>1</v>
      </c>
      <c r="AU34">
        <v>0</v>
      </c>
      <c r="AW34">
        <v>0</v>
      </c>
      <c r="AY34" t="str">
        <f t="shared" si="2"/>
        <v>2</v>
      </c>
      <c r="BA34" s="13" t="str">
        <f t="shared" si="3"/>
        <v>('SUN2000-29.9KTL-M3', 2, 640, 530, 270, 43, 60, -25, 'CONVECÇÃO NATURAL', 'IP66', 'TRANSFORMERLESS', 29900, 29900, 380, 43.2, 43.2, 50, 4, 8, 0),</v>
      </c>
      <c r="BB34" t="str">
        <f t="shared" si="4"/>
        <v xml:space="preserve">(32, 0, 2, 1100, 200, 1000, 200, 800, 500, 600, 40, 26), </v>
      </c>
      <c r="BC34" t="str">
        <f t="shared" si="5"/>
        <v>(32, 'ON-GRID'),</v>
      </c>
      <c r="BD34" t="str">
        <f t="shared" si="6"/>
        <v/>
      </c>
      <c r="BE34" t="str">
        <f t="shared" si="7"/>
        <v>(32, 'GRIDZERO'),</v>
      </c>
      <c r="BF34" t="str">
        <f t="shared" si="8"/>
        <v/>
      </c>
      <c r="BG34" t="str">
        <f t="shared" si="13"/>
        <v>(32, 'WIFI'),</v>
      </c>
      <c r="BH34" t="str">
        <f t="shared" si="14"/>
        <v>(32, 'RS485'),</v>
      </c>
      <c r="BI34" t="str">
        <f t="shared" si="15"/>
        <v/>
      </c>
      <c r="BJ34" t="str">
        <f t="shared" si="16"/>
        <v>(32, 'LED'),</v>
      </c>
      <c r="BK34" t="str">
        <f t="shared" si="17"/>
        <v/>
      </c>
      <c r="BL34" t="str">
        <f t="shared" si="18"/>
        <v/>
      </c>
      <c r="BM34" t="str">
        <f t="shared" si="10"/>
        <v/>
      </c>
      <c r="BN34" t="str">
        <f t="shared" si="11"/>
        <v>(32, 'THREE_PHASE_FOUR_WIRE'),</v>
      </c>
      <c r="BO34" t="str">
        <f t="shared" si="12"/>
        <v/>
      </c>
    </row>
    <row r="35" spans="1:67">
      <c r="A35" s="2" t="s">
        <v>309</v>
      </c>
      <c r="B35" s="3" t="s">
        <v>274</v>
      </c>
      <c r="C35" s="3">
        <v>270</v>
      </c>
      <c r="D35" s="3">
        <v>640</v>
      </c>
      <c r="E35" s="3">
        <v>530</v>
      </c>
      <c r="F35" s="3">
        <v>43</v>
      </c>
      <c r="G35" s="3" t="s">
        <v>275</v>
      </c>
      <c r="H35" s="3">
        <v>1</v>
      </c>
      <c r="I35" s="3">
        <v>1</v>
      </c>
      <c r="J35" s="3">
        <v>0</v>
      </c>
      <c r="K35" s="3">
        <v>1</v>
      </c>
      <c r="L35" s="3">
        <v>0</v>
      </c>
      <c r="M35" s="3">
        <v>30000</v>
      </c>
      <c r="N35" s="3">
        <v>33000</v>
      </c>
      <c r="O35" s="3">
        <v>2</v>
      </c>
      <c r="P35" s="3">
        <v>4</v>
      </c>
      <c r="Q35" s="3">
        <v>1100</v>
      </c>
      <c r="R35" s="3">
        <v>200</v>
      </c>
      <c r="S35" s="3">
        <v>1000</v>
      </c>
      <c r="T35" s="3">
        <v>200</v>
      </c>
      <c r="U35" s="3">
        <v>800</v>
      </c>
      <c r="V35" s="3">
        <v>500</v>
      </c>
      <c r="W35" s="3">
        <v>600</v>
      </c>
      <c r="X35" s="3">
        <v>40</v>
      </c>
      <c r="Y35" s="3">
        <v>26</v>
      </c>
      <c r="Z35" s="3">
        <v>0</v>
      </c>
      <c r="AA35" s="3">
        <v>0</v>
      </c>
      <c r="AB35" s="3">
        <v>1</v>
      </c>
      <c r="AC35" s="3">
        <v>380</v>
      </c>
      <c r="AE35" s="4">
        <v>50.4</v>
      </c>
      <c r="AF35">
        <v>45.6</v>
      </c>
      <c r="AG35">
        <v>50</v>
      </c>
      <c r="AH35">
        <v>60</v>
      </c>
      <c r="AI35">
        <v>-25</v>
      </c>
      <c r="AJ35" t="s">
        <v>307</v>
      </c>
      <c r="AK35" t="s">
        <v>277</v>
      </c>
      <c r="AL35">
        <v>0</v>
      </c>
      <c r="AN35">
        <v>33</v>
      </c>
      <c r="AO35">
        <v>0</v>
      </c>
      <c r="AP35">
        <f t="shared" si="1"/>
        <v>8</v>
      </c>
      <c r="AR35">
        <v>1</v>
      </c>
      <c r="AS35">
        <v>0</v>
      </c>
      <c r="AT35">
        <v>1</v>
      </c>
      <c r="AU35">
        <v>0</v>
      </c>
      <c r="AW35">
        <v>0</v>
      </c>
      <c r="AY35" t="str">
        <f t="shared" si="2"/>
        <v>2</v>
      </c>
      <c r="BA35" s="13" t="str">
        <f t="shared" si="3"/>
        <v>('SUN2000-30KTL-M3', 2, 640, 530, 270, 43, 60, -25, 'CONVECÇÃO NATURAL', 'IP66', 'TRANSFORMERLESS', 30000, 33000, 380, 45.6, 50.4, 50, 4, 8, 0),</v>
      </c>
      <c r="BB35" t="str">
        <f t="shared" si="4"/>
        <v xml:space="preserve">(33, 0, 2, 1100, 200, 1000, 200, 800, 500, 600, 40, 26), </v>
      </c>
      <c r="BC35" t="str">
        <f t="shared" si="5"/>
        <v>(33, 'ON-GRID'),</v>
      </c>
      <c r="BD35" t="str">
        <f t="shared" si="6"/>
        <v/>
      </c>
      <c r="BE35" t="str">
        <f t="shared" si="7"/>
        <v>(33, 'GRIDZERO'),</v>
      </c>
      <c r="BF35" t="str">
        <f t="shared" si="8"/>
        <v/>
      </c>
      <c r="BG35" t="str">
        <f t="shared" si="13"/>
        <v>(33, 'WIFI'),</v>
      </c>
      <c r="BH35" t="str">
        <f t="shared" si="14"/>
        <v>(33, 'RS485'),</v>
      </c>
      <c r="BI35" t="str">
        <f t="shared" si="15"/>
        <v/>
      </c>
      <c r="BJ35" t="str">
        <f t="shared" si="16"/>
        <v>(33, 'LED'),</v>
      </c>
      <c r="BK35" t="str">
        <f t="shared" si="17"/>
        <v/>
      </c>
      <c r="BL35" t="str">
        <f t="shared" si="18"/>
        <v/>
      </c>
      <c r="BM35" t="str">
        <f t="shared" si="10"/>
        <v/>
      </c>
      <c r="BN35" t="str">
        <f t="shared" si="11"/>
        <v>(33, 'THREE_PHASE_FOUR_WIRE'),</v>
      </c>
      <c r="BO35" t="str">
        <f t="shared" si="12"/>
        <v/>
      </c>
    </row>
    <row r="36" spans="1:67">
      <c r="A36" s="2" t="s">
        <v>310</v>
      </c>
      <c r="B36" s="3" t="s">
        <v>274</v>
      </c>
      <c r="C36" s="3">
        <v>270</v>
      </c>
      <c r="D36" s="3">
        <v>640</v>
      </c>
      <c r="E36" s="3">
        <v>530</v>
      </c>
      <c r="F36" s="3">
        <v>43</v>
      </c>
      <c r="G36" s="3" t="s">
        <v>275</v>
      </c>
      <c r="H36" s="3">
        <v>1</v>
      </c>
      <c r="I36" s="3">
        <v>1</v>
      </c>
      <c r="J36" s="3">
        <v>0</v>
      </c>
      <c r="K36" s="3">
        <v>1</v>
      </c>
      <c r="L36" s="3">
        <v>0</v>
      </c>
      <c r="M36" s="3">
        <v>36000</v>
      </c>
      <c r="N36" s="3">
        <v>40000</v>
      </c>
      <c r="O36" s="3">
        <v>2</v>
      </c>
      <c r="P36" s="3">
        <v>4</v>
      </c>
      <c r="Q36" s="3">
        <v>1100</v>
      </c>
      <c r="R36" s="3">
        <v>200</v>
      </c>
      <c r="S36" s="3">
        <v>1000</v>
      </c>
      <c r="T36" s="3">
        <v>200</v>
      </c>
      <c r="U36" s="3">
        <v>800</v>
      </c>
      <c r="V36" s="3">
        <v>520</v>
      </c>
      <c r="W36" s="3">
        <v>600</v>
      </c>
      <c r="X36" s="3">
        <v>40</v>
      </c>
      <c r="Y36" s="3">
        <v>26</v>
      </c>
      <c r="Z36" s="3">
        <v>0</v>
      </c>
      <c r="AA36" s="3">
        <v>0</v>
      </c>
      <c r="AB36" s="3">
        <v>1</v>
      </c>
      <c r="AC36" s="3">
        <v>380</v>
      </c>
      <c r="AE36" s="4">
        <v>61.1</v>
      </c>
      <c r="AF36">
        <v>54.7</v>
      </c>
      <c r="AG36">
        <v>50</v>
      </c>
      <c r="AH36">
        <v>60</v>
      </c>
      <c r="AI36">
        <v>-25</v>
      </c>
      <c r="AJ36" t="s">
        <v>307</v>
      </c>
      <c r="AK36" t="s">
        <v>277</v>
      </c>
      <c r="AL36">
        <v>0</v>
      </c>
      <c r="AN36">
        <v>34</v>
      </c>
      <c r="AO36">
        <v>0</v>
      </c>
      <c r="AP36">
        <f t="shared" si="1"/>
        <v>8</v>
      </c>
      <c r="AR36">
        <v>1</v>
      </c>
      <c r="AS36">
        <v>0</v>
      </c>
      <c r="AT36">
        <v>1</v>
      </c>
      <c r="AU36">
        <v>0</v>
      </c>
      <c r="AW36">
        <v>0</v>
      </c>
      <c r="AY36" t="str">
        <f t="shared" si="2"/>
        <v>2</v>
      </c>
      <c r="BA36" s="13" t="str">
        <f t="shared" ref="BA36:BA67" si="19">_xlfn.CONCAT("('",A36,"', ",AY36,", ",SUBSTITUTE(D36,",","."),", ",SUBSTITUTE(E36,",","."),", ",SUBSTITUTE(C36,",","."),", ",SUBSTITUTE(F36,",","."),", ",AH36,", ",AI36,", '",G36,"', '",AJ36,"', '",AK36,"', ",M36,", ",N36,", ",AC36,", ",SUBSTITUTE(AF36,",","."),", ",SUBSTITUTE(AE36,",","."),", ",AG36,", ",P36,", ",AP36,", ",AL36,"),")</f>
        <v>('SUN2000-36KTL-M3', 2, 640, 530, 270, 43, 60, -25, 'CONVECÇÃO NATURAL', 'IP66', 'TRANSFORMERLESS', 36000, 40000, 380, 54.7, 61.1, 50, 4, 8, 0),</v>
      </c>
      <c r="BB36" t="str">
        <f t="shared" si="4"/>
        <v xml:space="preserve">(34, 0, 2, 1100, 200, 1000, 200, 800, 520, 600, 40, 26), </v>
      </c>
      <c r="BC36" t="str">
        <f t="shared" si="5"/>
        <v>(34, 'ON-GRID'),</v>
      </c>
      <c r="BD36" t="str">
        <f t="shared" si="6"/>
        <v/>
      </c>
      <c r="BE36" t="str">
        <f t="shared" si="7"/>
        <v>(34, 'GRIDZERO'),</v>
      </c>
      <c r="BF36" t="str">
        <f t="shared" si="8"/>
        <v/>
      </c>
      <c r="BG36" t="str">
        <f t="shared" si="13"/>
        <v>(34, 'WIFI'),</v>
      </c>
      <c r="BH36" t="str">
        <f t="shared" si="14"/>
        <v>(34, 'RS485'),</v>
      </c>
      <c r="BI36" t="str">
        <f t="shared" si="15"/>
        <v/>
      </c>
      <c r="BJ36" t="str">
        <f t="shared" si="16"/>
        <v>(34, 'LED'),</v>
      </c>
      <c r="BK36" t="str">
        <f t="shared" si="17"/>
        <v/>
      </c>
      <c r="BL36" t="str">
        <f t="shared" si="18"/>
        <v/>
      </c>
      <c r="BM36" t="str">
        <f t="shared" si="10"/>
        <v/>
      </c>
      <c r="BN36" t="str">
        <f t="shared" si="11"/>
        <v>(34, 'THREE_PHASE_FOUR_WIRE'),</v>
      </c>
      <c r="BO36" t="str">
        <f t="shared" si="12"/>
        <v/>
      </c>
    </row>
    <row r="37" spans="1:67">
      <c r="A37" s="2" t="s">
        <v>311</v>
      </c>
      <c r="B37" s="3" t="s">
        <v>274</v>
      </c>
      <c r="C37" s="3">
        <v>270</v>
      </c>
      <c r="D37" s="3">
        <v>640</v>
      </c>
      <c r="E37" s="3">
        <v>530</v>
      </c>
      <c r="F37" s="3">
        <v>43</v>
      </c>
      <c r="G37" s="3" t="s">
        <v>275</v>
      </c>
      <c r="H37" s="3">
        <v>1</v>
      </c>
      <c r="I37" s="3">
        <v>1</v>
      </c>
      <c r="J37" s="3">
        <v>0</v>
      </c>
      <c r="K37" s="3">
        <v>1</v>
      </c>
      <c r="L37" s="3">
        <v>0</v>
      </c>
      <c r="M37" s="3">
        <v>40000</v>
      </c>
      <c r="N37" s="3">
        <v>44000</v>
      </c>
      <c r="O37" s="3">
        <v>2</v>
      </c>
      <c r="P37" s="3">
        <v>4</v>
      </c>
      <c r="Q37" s="3">
        <v>1100</v>
      </c>
      <c r="R37" s="3">
        <v>200</v>
      </c>
      <c r="S37" s="3">
        <v>1000</v>
      </c>
      <c r="T37" s="3">
        <v>200</v>
      </c>
      <c r="U37" s="3">
        <v>800</v>
      </c>
      <c r="V37" s="3">
        <v>540</v>
      </c>
      <c r="W37" s="3">
        <v>600</v>
      </c>
      <c r="X37" s="3">
        <v>40</v>
      </c>
      <c r="Y37" s="3">
        <v>26</v>
      </c>
      <c r="Z37" s="3">
        <v>0</v>
      </c>
      <c r="AA37" s="3">
        <v>0</v>
      </c>
      <c r="AB37" s="3">
        <v>1</v>
      </c>
      <c r="AC37" s="3">
        <v>380</v>
      </c>
      <c r="AE37" s="4">
        <v>67.2</v>
      </c>
      <c r="AF37">
        <v>60.8</v>
      </c>
      <c r="AG37">
        <v>50</v>
      </c>
      <c r="AH37">
        <v>60</v>
      </c>
      <c r="AI37">
        <v>-25</v>
      </c>
      <c r="AJ37" t="s">
        <v>307</v>
      </c>
      <c r="AK37" t="s">
        <v>277</v>
      </c>
      <c r="AL37">
        <v>0</v>
      </c>
      <c r="AN37">
        <v>35</v>
      </c>
      <c r="AO37">
        <v>0</v>
      </c>
      <c r="AP37">
        <f t="shared" si="1"/>
        <v>8</v>
      </c>
      <c r="AR37">
        <v>1</v>
      </c>
      <c r="AS37">
        <v>0</v>
      </c>
      <c r="AT37">
        <v>1</v>
      </c>
      <c r="AU37">
        <v>0</v>
      </c>
      <c r="AW37">
        <v>0</v>
      </c>
      <c r="AY37" t="str">
        <f t="shared" si="2"/>
        <v>2</v>
      </c>
      <c r="BA37" s="13" t="str">
        <f t="shared" si="19"/>
        <v>('SUN2000-40KTL-M3', 2, 640, 530, 270, 43, 60, -25, 'CONVECÇÃO NATURAL', 'IP66', 'TRANSFORMERLESS', 40000, 44000, 380, 60.8, 67.2, 50, 4, 8, 0),</v>
      </c>
      <c r="BB37" t="str">
        <f t="shared" si="4"/>
        <v xml:space="preserve">(35, 0, 2, 1100, 200, 1000, 200, 800, 540, 600, 40, 26), </v>
      </c>
      <c r="BC37" t="str">
        <f t="shared" si="5"/>
        <v>(35, 'ON-GRID'),</v>
      </c>
      <c r="BD37" t="str">
        <f t="shared" si="6"/>
        <v/>
      </c>
      <c r="BE37" t="str">
        <f t="shared" si="7"/>
        <v>(35, 'GRIDZERO'),</v>
      </c>
      <c r="BF37" t="str">
        <f t="shared" si="8"/>
        <v/>
      </c>
      <c r="BG37" t="str">
        <f t="shared" si="13"/>
        <v>(35, 'WIFI'),</v>
      </c>
      <c r="BH37" t="str">
        <f t="shared" si="14"/>
        <v>(35, 'RS485'),</v>
      </c>
      <c r="BI37" t="str">
        <f t="shared" si="15"/>
        <v/>
      </c>
      <c r="BJ37" t="str">
        <f t="shared" si="16"/>
        <v>(35, 'LED'),</v>
      </c>
      <c r="BK37" t="str">
        <f t="shared" si="17"/>
        <v/>
      </c>
      <c r="BL37" t="str">
        <f t="shared" si="18"/>
        <v/>
      </c>
      <c r="BM37" t="str">
        <f t="shared" si="10"/>
        <v/>
      </c>
      <c r="BN37" t="str">
        <f t="shared" si="11"/>
        <v>(35, 'THREE_PHASE_FOUR_WIRE'),</v>
      </c>
      <c r="BO37" t="str">
        <f t="shared" si="12"/>
        <v/>
      </c>
    </row>
    <row r="38" spans="1:67">
      <c r="A38" s="2" t="s">
        <v>312</v>
      </c>
      <c r="B38" s="3" t="s">
        <v>274</v>
      </c>
      <c r="C38" s="3">
        <v>300</v>
      </c>
      <c r="D38" s="3">
        <v>1075</v>
      </c>
      <c r="E38" s="3">
        <v>555</v>
      </c>
      <c r="F38" s="3">
        <v>74</v>
      </c>
      <c r="G38" s="3" t="s">
        <v>275</v>
      </c>
      <c r="H38" s="3">
        <v>0</v>
      </c>
      <c r="I38" s="3">
        <v>1</v>
      </c>
      <c r="J38" s="3">
        <v>0</v>
      </c>
      <c r="K38" s="3">
        <v>1</v>
      </c>
      <c r="L38" s="3">
        <v>1</v>
      </c>
      <c r="M38" s="3">
        <v>50000</v>
      </c>
      <c r="N38" s="3">
        <v>55000</v>
      </c>
      <c r="O38" s="3">
        <v>2</v>
      </c>
      <c r="P38" s="3">
        <v>6</v>
      </c>
      <c r="Q38" s="3">
        <v>1100</v>
      </c>
      <c r="R38" s="3">
        <v>200</v>
      </c>
      <c r="S38" s="3">
        <v>1000</v>
      </c>
      <c r="T38" s="3">
        <v>200</v>
      </c>
      <c r="U38" s="3">
        <v>800</v>
      </c>
      <c r="V38" s="3">
        <v>520</v>
      </c>
      <c r="W38" s="3">
        <v>-1</v>
      </c>
      <c r="X38" s="3">
        <v>30</v>
      </c>
      <c r="Y38" s="3">
        <v>22</v>
      </c>
      <c r="Z38" s="3">
        <v>0</v>
      </c>
      <c r="AA38" s="3">
        <v>1</v>
      </c>
      <c r="AB38" s="3">
        <v>1</v>
      </c>
      <c r="AC38" s="3">
        <v>380</v>
      </c>
      <c r="AE38" s="4">
        <v>83.6</v>
      </c>
      <c r="AF38">
        <v>76</v>
      </c>
      <c r="AG38">
        <v>50</v>
      </c>
      <c r="AH38">
        <v>60</v>
      </c>
      <c r="AI38">
        <v>-25</v>
      </c>
      <c r="AJ38" t="s">
        <v>276</v>
      </c>
      <c r="AK38" t="s">
        <v>277</v>
      </c>
      <c r="AL38">
        <v>0</v>
      </c>
      <c r="AN38">
        <v>36</v>
      </c>
      <c r="AO38">
        <v>0</v>
      </c>
      <c r="AP38">
        <f t="shared" si="1"/>
        <v>12</v>
      </c>
      <c r="AR38">
        <v>1</v>
      </c>
      <c r="AS38">
        <v>0</v>
      </c>
      <c r="AT38">
        <v>1</v>
      </c>
      <c r="AU38">
        <v>0</v>
      </c>
      <c r="AW38">
        <v>0</v>
      </c>
      <c r="AY38" t="str">
        <f t="shared" si="2"/>
        <v>2</v>
      </c>
      <c r="BA38" s="13" t="str">
        <f t="shared" si="19"/>
        <v>('SUN2000-50KTL-M0', 2, 1075, 555, 300, 74, 60, -25, 'CONVECÇÃO NATURAL', 'IP65', 'TRANSFORMERLESS', 50000, 55000, 380, 76, 83.6, 50, 6, 12, 0),</v>
      </c>
      <c r="BB38" t="str">
        <f t="shared" si="4"/>
        <v xml:space="preserve">(36, 0, 2, 1100, 200, 1000, 200, 800, 520, -1, 30, 22), </v>
      </c>
      <c r="BC38" t="str">
        <f t="shared" si="5"/>
        <v>(36, 'ON-GRID'),</v>
      </c>
      <c r="BD38" t="str">
        <f t="shared" si="6"/>
        <v/>
      </c>
      <c r="BE38" t="str">
        <f t="shared" si="7"/>
        <v>(36, 'GRIDZERO'),</v>
      </c>
      <c r="BF38" t="str">
        <f t="shared" si="8"/>
        <v/>
      </c>
      <c r="BG38" t="str">
        <f t="shared" si="13"/>
        <v/>
      </c>
      <c r="BH38" t="str">
        <f t="shared" si="14"/>
        <v>(36, 'RS485'),</v>
      </c>
      <c r="BI38" t="str">
        <f t="shared" si="15"/>
        <v/>
      </c>
      <c r="BJ38" t="str">
        <f t="shared" si="16"/>
        <v>(36, 'LED'),</v>
      </c>
      <c r="BK38" t="str">
        <f t="shared" si="17"/>
        <v>(36, 'USB'),</v>
      </c>
      <c r="BL38" t="str">
        <f t="shared" si="18"/>
        <v/>
      </c>
      <c r="BM38" t="str">
        <f t="shared" si="10"/>
        <v>(36, 'THREE_PHASE_THREE_WIRE'),</v>
      </c>
      <c r="BN38" t="str">
        <f t="shared" si="11"/>
        <v>(36, 'THREE_PHASE_FOUR_WIRE'),</v>
      </c>
      <c r="BO38" t="str">
        <f t="shared" si="12"/>
        <v/>
      </c>
    </row>
    <row r="39" spans="1:67">
      <c r="A39" s="2" t="s">
        <v>313</v>
      </c>
      <c r="B39" s="3" t="s">
        <v>274</v>
      </c>
      <c r="C39" s="3">
        <v>300</v>
      </c>
      <c r="D39" s="3">
        <v>1075</v>
      </c>
      <c r="E39" s="3">
        <v>555</v>
      </c>
      <c r="F39" s="3">
        <v>74</v>
      </c>
      <c r="G39" s="3" t="s">
        <v>275</v>
      </c>
      <c r="H39" s="3">
        <v>0</v>
      </c>
      <c r="I39" s="3">
        <v>1</v>
      </c>
      <c r="J39" s="3">
        <v>0</v>
      </c>
      <c r="K39" s="3">
        <v>1</v>
      </c>
      <c r="L39" s="3">
        <v>1</v>
      </c>
      <c r="M39" s="3">
        <v>60000</v>
      </c>
      <c r="N39" s="3">
        <v>66000</v>
      </c>
      <c r="O39" s="3">
        <v>2</v>
      </c>
      <c r="P39" s="3">
        <v>6</v>
      </c>
      <c r="Q39" s="3">
        <v>1100</v>
      </c>
      <c r="R39" s="3">
        <v>200</v>
      </c>
      <c r="S39" s="3">
        <v>1000</v>
      </c>
      <c r="T39" s="3">
        <v>200</v>
      </c>
      <c r="U39" s="3">
        <v>800</v>
      </c>
      <c r="V39" s="3">
        <v>520</v>
      </c>
      <c r="W39" s="3">
        <v>-1</v>
      </c>
      <c r="X39" s="3">
        <v>30</v>
      </c>
      <c r="Y39" s="3">
        <v>22</v>
      </c>
      <c r="Z39" s="3">
        <v>0</v>
      </c>
      <c r="AA39" s="3">
        <v>1</v>
      </c>
      <c r="AB39" s="3">
        <v>1</v>
      </c>
      <c r="AC39" s="3">
        <v>380</v>
      </c>
      <c r="AE39" s="4">
        <v>100</v>
      </c>
      <c r="AF39">
        <v>91.2</v>
      </c>
      <c r="AG39">
        <v>50</v>
      </c>
      <c r="AH39">
        <v>60</v>
      </c>
      <c r="AI39">
        <v>-25</v>
      </c>
      <c r="AJ39" t="s">
        <v>276</v>
      </c>
      <c r="AK39" t="s">
        <v>277</v>
      </c>
      <c r="AL39">
        <v>0</v>
      </c>
      <c r="AN39">
        <v>37</v>
      </c>
      <c r="AO39">
        <v>0</v>
      </c>
      <c r="AP39">
        <f t="shared" si="1"/>
        <v>12</v>
      </c>
      <c r="AR39">
        <v>1</v>
      </c>
      <c r="AS39">
        <v>0</v>
      </c>
      <c r="AT39">
        <v>1</v>
      </c>
      <c r="AU39">
        <v>0</v>
      </c>
      <c r="AW39">
        <v>0</v>
      </c>
      <c r="AY39" t="str">
        <f t="shared" si="2"/>
        <v>2</v>
      </c>
      <c r="BA39" s="13" t="str">
        <f t="shared" si="19"/>
        <v>('SUN2000-60KTL-M0', 2, 1075, 555, 300, 74, 60, -25, 'CONVECÇÃO NATURAL', 'IP65', 'TRANSFORMERLESS', 60000, 66000, 380, 91.2, 100, 50, 6, 12, 0),</v>
      </c>
      <c r="BB39" t="str">
        <f t="shared" si="4"/>
        <v xml:space="preserve">(37, 0, 2, 1100, 200, 1000, 200, 800, 520, -1, 30, 22), </v>
      </c>
      <c r="BC39" t="str">
        <f t="shared" si="5"/>
        <v>(37, 'ON-GRID'),</v>
      </c>
      <c r="BD39" t="str">
        <f t="shared" si="6"/>
        <v/>
      </c>
      <c r="BE39" t="str">
        <f t="shared" si="7"/>
        <v>(37, 'GRIDZERO'),</v>
      </c>
      <c r="BF39" t="str">
        <f t="shared" si="8"/>
        <v/>
      </c>
      <c r="BG39" t="str">
        <f t="shared" si="13"/>
        <v/>
      </c>
      <c r="BH39" t="str">
        <f t="shared" si="14"/>
        <v>(37, 'RS485'),</v>
      </c>
      <c r="BI39" t="str">
        <f t="shared" si="15"/>
        <v/>
      </c>
      <c r="BJ39" t="str">
        <f t="shared" si="16"/>
        <v>(37, 'LED'),</v>
      </c>
      <c r="BK39" t="str">
        <f t="shared" si="17"/>
        <v>(37, 'USB'),</v>
      </c>
      <c r="BL39" t="str">
        <f t="shared" si="18"/>
        <v/>
      </c>
      <c r="BM39" t="str">
        <f t="shared" si="10"/>
        <v>(37, 'THREE_PHASE_THREE_WIRE'),</v>
      </c>
      <c r="BN39" t="str">
        <f t="shared" si="11"/>
        <v>(37, 'THREE_PHASE_FOUR_WIRE'),</v>
      </c>
      <c r="BO39" t="str">
        <f t="shared" si="12"/>
        <v/>
      </c>
    </row>
    <row r="40" spans="1:67">
      <c r="A40" s="2" t="s">
        <v>314</v>
      </c>
      <c r="B40" s="3" t="s">
        <v>274</v>
      </c>
      <c r="C40" s="3">
        <v>300</v>
      </c>
      <c r="D40" s="3">
        <v>1075</v>
      </c>
      <c r="E40" s="3">
        <v>555</v>
      </c>
      <c r="F40" s="3">
        <v>72</v>
      </c>
      <c r="G40" s="3" t="s">
        <v>275</v>
      </c>
      <c r="H40" s="3">
        <v>0</v>
      </c>
      <c r="I40" s="3">
        <v>1</v>
      </c>
      <c r="J40" s="3">
        <v>0</v>
      </c>
      <c r="K40" s="3">
        <v>1</v>
      </c>
      <c r="L40" s="3">
        <v>1</v>
      </c>
      <c r="M40" s="3">
        <v>65000</v>
      </c>
      <c r="N40" s="3">
        <v>72000</v>
      </c>
      <c r="O40" s="3">
        <v>2</v>
      </c>
      <c r="P40" s="3">
        <v>6</v>
      </c>
      <c r="Q40" s="3">
        <v>1100</v>
      </c>
      <c r="R40" s="3">
        <v>200</v>
      </c>
      <c r="S40" s="3">
        <v>1000</v>
      </c>
      <c r="T40" s="3">
        <v>200</v>
      </c>
      <c r="U40" s="3">
        <v>850</v>
      </c>
      <c r="V40" s="3">
        <v>600</v>
      </c>
      <c r="W40" s="3">
        <v>-1</v>
      </c>
      <c r="X40" s="3">
        <v>30</v>
      </c>
      <c r="Y40" s="3">
        <v>22</v>
      </c>
      <c r="Z40" s="3">
        <v>0</v>
      </c>
      <c r="AA40" s="3">
        <v>1</v>
      </c>
      <c r="AB40" s="3">
        <v>1</v>
      </c>
      <c r="AC40" s="3">
        <v>480</v>
      </c>
      <c r="AE40" s="4">
        <v>86.7</v>
      </c>
      <c r="AF40">
        <v>78.2</v>
      </c>
      <c r="AG40">
        <v>50</v>
      </c>
      <c r="AH40">
        <v>60</v>
      </c>
      <c r="AI40">
        <v>-25</v>
      </c>
      <c r="AJ40" t="s">
        <v>276</v>
      </c>
      <c r="AK40" t="s">
        <v>277</v>
      </c>
      <c r="AL40">
        <v>0</v>
      </c>
      <c r="AN40">
        <v>38</v>
      </c>
      <c r="AO40">
        <v>0</v>
      </c>
      <c r="AP40">
        <f t="shared" si="1"/>
        <v>12</v>
      </c>
      <c r="AR40">
        <v>1</v>
      </c>
      <c r="AS40">
        <v>0</v>
      </c>
      <c r="AT40">
        <v>1</v>
      </c>
      <c r="AU40">
        <v>0</v>
      </c>
      <c r="AW40">
        <v>0</v>
      </c>
      <c r="AY40" t="str">
        <f t="shared" si="2"/>
        <v>2</v>
      </c>
      <c r="BA40" s="13" t="str">
        <f t="shared" si="19"/>
        <v>('SUN2000-65KTL-M0', 2, 1075, 555, 300, 72, 60, -25, 'CONVECÇÃO NATURAL', 'IP65', 'TRANSFORMERLESS', 65000, 72000, 480, 78.2, 86.7, 50, 6, 12, 0),</v>
      </c>
      <c r="BB40" t="str">
        <f t="shared" si="4"/>
        <v xml:space="preserve">(38, 0, 2, 1100, 200, 1000, 200, 850, 600, -1, 30, 22), </v>
      </c>
      <c r="BC40" t="str">
        <f t="shared" si="5"/>
        <v>(38, 'ON-GRID'),</v>
      </c>
      <c r="BD40" t="str">
        <f t="shared" si="6"/>
        <v/>
      </c>
      <c r="BE40" t="str">
        <f t="shared" si="7"/>
        <v>(38, 'GRIDZERO'),</v>
      </c>
      <c r="BF40" t="str">
        <f t="shared" si="8"/>
        <v/>
      </c>
      <c r="BG40" t="str">
        <f t="shared" si="13"/>
        <v/>
      </c>
      <c r="BH40" t="str">
        <f t="shared" si="14"/>
        <v>(38, 'RS485'),</v>
      </c>
      <c r="BI40" t="str">
        <f t="shared" si="15"/>
        <v/>
      </c>
      <c r="BJ40" t="str">
        <f t="shared" si="16"/>
        <v>(38, 'LED'),</v>
      </c>
      <c r="BK40" t="str">
        <f t="shared" si="17"/>
        <v>(38, 'USB'),</v>
      </c>
      <c r="BL40" t="str">
        <f t="shared" si="18"/>
        <v/>
      </c>
      <c r="BM40" t="str">
        <f t="shared" si="10"/>
        <v>(38, 'THREE_PHASE_THREE_WIRE'),</v>
      </c>
      <c r="BN40" t="str">
        <f t="shared" si="11"/>
        <v>(38, 'THREE_PHASE_FOUR_WIRE'),</v>
      </c>
      <c r="BO40" t="str">
        <f t="shared" si="12"/>
        <v/>
      </c>
    </row>
    <row r="41" spans="1:67">
      <c r="A41" s="2" t="s">
        <v>315</v>
      </c>
      <c r="B41" s="3" t="s">
        <v>274</v>
      </c>
      <c r="C41" s="3">
        <v>365</v>
      </c>
      <c r="D41" s="3">
        <v>1035</v>
      </c>
      <c r="E41" s="3">
        <v>700</v>
      </c>
      <c r="F41" s="3">
        <v>90</v>
      </c>
      <c r="G41" s="3" t="s">
        <v>316</v>
      </c>
      <c r="H41" s="3">
        <v>0</v>
      </c>
      <c r="I41" s="3">
        <v>1</v>
      </c>
      <c r="J41" s="3">
        <v>0</v>
      </c>
      <c r="K41" s="3">
        <v>1</v>
      </c>
      <c r="L41" s="3">
        <v>1</v>
      </c>
      <c r="M41" s="3">
        <v>75000</v>
      </c>
      <c r="N41" s="3">
        <v>75000</v>
      </c>
      <c r="O41" s="3">
        <v>2</v>
      </c>
      <c r="P41" s="3">
        <v>10</v>
      </c>
      <c r="Q41" s="3">
        <v>1100</v>
      </c>
      <c r="R41" s="3">
        <v>200</v>
      </c>
      <c r="S41" s="3">
        <v>1000</v>
      </c>
      <c r="T41" s="3">
        <v>200</v>
      </c>
      <c r="U41" s="3">
        <v>800</v>
      </c>
      <c r="V41" s="3">
        <v>540</v>
      </c>
      <c r="W41" s="3">
        <v>600</v>
      </c>
      <c r="X41" s="3">
        <v>40</v>
      </c>
      <c r="Y41" s="3">
        <v>26</v>
      </c>
      <c r="Z41" s="3">
        <v>0</v>
      </c>
      <c r="AA41" s="3">
        <v>1</v>
      </c>
      <c r="AB41" s="3">
        <v>1</v>
      </c>
      <c r="AC41" s="3">
        <v>380</v>
      </c>
      <c r="AE41" s="4">
        <v>113.6</v>
      </c>
      <c r="AF41" s="4">
        <v>113.6</v>
      </c>
      <c r="AG41">
        <v>50</v>
      </c>
      <c r="AH41">
        <v>60</v>
      </c>
      <c r="AI41">
        <v>-25</v>
      </c>
      <c r="AJ41" t="s">
        <v>307</v>
      </c>
      <c r="AK41" t="s">
        <v>277</v>
      </c>
      <c r="AL41">
        <v>0</v>
      </c>
      <c r="AN41">
        <v>39</v>
      </c>
      <c r="AO41">
        <v>0</v>
      </c>
      <c r="AP41">
        <f t="shared" si="1"/>
        <v>20</v>
      </c>
      <c r="AR41">
        <v>1</v>
      </c>
      <c r="AS41">
        <v>0</v>
      </c>
      <c r="AT41">
        <v>1</v>
      </c>
      <c r="AU41">
        <v>0</v>
      </c>
      <c r="AW41">
        <v>0</v>
      </c>
      <c r="AY41" t="str">
        <f t="shared" si="2"/>
        <v>2</v>
      </c>
      <c r="BA41" s="13" t="str">
        <f t="shared" si="19"/>
        <v>('SUN2000-75KTL-M1', 2, 1035, 700, 365, 90, 60, -25, 'COOLER', 'IP66', 'TRANSFORMERLESS', 75000, 75000, 380, 113.6, 113.6, 50, 10, 20, 0),</v>
      </c>
      <c r="BB41" t="str">
        <f t="shared" si="4"/>
        <v xml:space="preserve">(39, 0, 2, 1100, 200, 1000, 200, 800, 540, 600, 40, 26), </v>
      </c>
      <c r="BC41" t="str">
        <f t="shared" si="5"/>
        <v>(39, 'ON-GRID'),</v>
      </c>
      <c r="BD41" t="str">
        <f t="shared" si="6"/>
        <v/>
      </c>
      <c r="BE41" t="str">
        <f t="shared" si="7"/>
        <v>(39, 'GRIDZERO'),</v>
      </c>
      <c r="BF41" t="str">
        <f t="shared" si="8"/>
        <v/>
      </c>
      <c r="BG41" t="str">
        <f t="shared" si="13"/>
        <v/>
      </c>
      <c r="BH41" t="str">
        <f t="shared" si="14"/>
        <v>(39, 'RS485'),</v>
      </c>
      <c r="BI41" t="str">
        <f t="shared" si="15"/>
        <v/>
      </c>
      <c r="BJ41" t="str">
        <f t="shared" si="16"/>
        <v>(39, 'LED'),</v>
      </c>
      <c r="BK41" t="str">
        <f t="shared" si="17"/>
        <v>(39, 'USB'),</v>
      </c>
      <c r="BL41" t="str">
        <f t="shared" si="18"/>
        <v/>
      </c>
      <c r="BM41" t="str">
        <f t="shared" si="10"/>
        <v>(39, 'THREE_PHASE_THREE_WIRE'),</v>
      </c>
      <c r="BN41" t="str">
        <f t="shared" si="11"/>
        <v>(39, 'THREE_PHASE_FOUR_WIRE'),</v>
      </c>
      <c r="BO41" t="str">
        <f t="shared" si="12"/>
        <v/>
      </c>
    </row>
    <row r="42" spans="1:67">
      <c r="A42" s="2" t="s">
        <v>317</v>
      </c>
      <c r="B42" s="3" t="s">
        <v>274</v>
      </c>
      <c r="C42" s="3">
        <v>365</v>
      </c>
      <c r="D42" s="3">
        <v>1035</v>
      </c>
      <c r="E42" s="3">
        <v>700</v>
      </c>
      <c r="F42" s="3">
        <v>90</v>
      </c>
      <c r="G42" s="3" t="s">
        <v>316</v>
      </c>
      <c r="H42" s="3">
        <v>0</v>
      </c>
      <c r="I42" s="3">
        <v>1</v>
      </c>
      <c r="J42" s="3">
        <v>0</v>
      </c>
      <c r="K42" s="3">
        <v>1</v>
      </c>
      <c r="L42" s="3">
        <v>1</v>
      </c>
      <c r="M42" s="3">
        <v>100000</v>
      </c>
      <c r="N42" s="3">
        <v>110000</v>
      </c>
      <c r="O42" s="3">
        <v>2</v>
      </c>
      <c r="P42" s="3">
        <v>10</v>
      </c>
      <c r="Q42" s="3">
        <v>1100</v>
      </c>
      <c r="R42" s="3">
        <v>200</v>
      </c>
      <c r="S42" s="3">
        <v>1000</v>
      </c>
      <c r="T42" s="3">
        <v>200</v>
      </c>
      <c r="U42" s="3">
        <v>800</v>
      </c>
      <c r="V42" s="3">
        <v>540</v>
      </c>
      <c r="W42" s="3">
        <v>600</v>
      </c>
      <c r="X42" s="3">
        <v>40</v>
      </c>
      <c r="Y42" s="3">
        <v>26</v>
      </c>
      <c r="Z42" s="3">
        <v>0</v>
      </c>
      <c r="AA42" s="3">
        <v>1</v>
      </c>
      <c r="AB42" s="3">
        <v>1</v>
      </c>
      <c r="AC42" s="3">
        <v>380</v>
      </c>
      <c r="AE42" s="4">
        <v>168.8</v>
      </c>
      <c r="AF42" s="4">
        <v>152</v>
      </c>
      <c r="AG42">
        <v>50</v>
      </c>
      <c r="AH42">
        <v>60</v>
      </c>
      <c r="AI42">
        <v>-25</v>
      </c>
      <c r="AJ42" t="s">
        <v>307</v>
      </c>
      <c r="AK42" t="s">
        <v>277</v>
      </c>
      <c r="AL42">
        <v>0</v>
      </c>
      <c r="AN42">
        <v>40</v>
      </c>
      <c r="AO42">
        <v>0</v>
      </c>
      <c r="AP42">
        <f t="shared" si="1"/>
        <v>20</v>
      </c>
      <c r="AR42">
        <v>1</v>
      </c>
      <c r="AS42">
        <v>0</v>
      </c>
      <c r="AT42">
        <v>1</v>
      </c>
      <c r="AU42">
        <v>0</v>
      </c>
      <c r="AW42">
        <v>0</v>
      </c>
      <c r="AY42" t="str">
        <f t="shared" si="2"/>
        <v>2</v>
      </c>
      <c r="BA42" s="13" t="str">
        <f t="shared" si="19"/>
        <v>('SUN2000-100KTL-M0', 2, 1035, 700, 365, 90, 60, -25, 'COOLER', 'IP66', 'TRANSFORMERLESS', 100000, 110000, 380, 152, 168.8, 50, 10, 20, 0),</v>
      </c>
      <c r="BB42" t="str">
        <f t="shared" si="4"/>
        <v xml:space="preserve">(40, 0, 2, 1100, 200, 1000, 200, 800, 540, 600, 40, 26), </v>
      </c>
      <c r="BC42" t="str">
        <f t="shared" si="5"/>
        <v>(40, 'ON-GRID'),</v>
      </c>
      <c r="BD42" t="str">
        <f t="shared" si="6"/>
        <v/>
      </c>
      <c r="BE42" t="str">
        <f t="shared" si="7"/>
        <v>(40, 'GRIDZERO'),</v>
      </c>
      <c r="BF42" t="str">
        <f t="shared" si="8"/>
        <v/>
      </c>
      <c r="BG42" t="str">
        <f t="shared" si="13"/>
        <v/>
      </c>
      <c r="BH42" t="str">
        <f t="shared" si="14"/>
        <v>(40, 'RS485'),</v>
      </c>
      <c r="BI42" t="str">
        <f t="shared" si="15"/>
        <v/>
      </c>
      <c r="BJ42" t="str">
        <f t="shared" si="16"/>
        <v>(40, 'LED'),</v>
      </c>
      <c r="BK42" t="str">
        <f t="shared" si="17"/>
        <v>(40, 'USB'),</v>
      </c>
      <c r="BL42" t="str">
        <f t="shared" si="18"/>
        <v/>
      </c>
      <c r="BM42" t="str">
        <f t="shared" si="10"/>
        <v>(40, 'THREE_PHASE_THREE_WIRE'),</v>
      </c>
      <c r="BN42" t="str">
        <f t="shared" si="11"/>
        <v>(40, 'THREE_PHASE_FOUR_WIRE'),</v>
      </c>
      <c r="BO42" t="str">
        <f t="shared" si="12"/>
        <v/>
      </c>
    </row>
    <row r="43" spans="1:67">
      <c r="A43" s="2" t="s">
        <v>318</v>
      </c>
      <c r="B43" s="3" t="s">
        <v>274</v>
      </c>
      <c r="C43" s="3">
        <v>365</v>
      </c>
      <c r="D43" s="3">
        <v>1035</v>
      </c>
      <c r="E43" s="3">
        <v>700</v>
      </c>
      <c r="F43" s="3">
        <v>90</v>
      </c>
      <c r="G43" s="3" t="s">
        <v>316</v>
      </c>
      <c r="H43" s="3">
        <v>0</v>
      </c>
      <c r="I43" s="3">
        <v>1</v>
      </c>
      <c r="J43" s="3">
        <v>0</v>
      </c>
      <c r="K43" s="3">
        <v>1</v>
      </c>
      <c r="L43" s="3">
        <v>1</v>
      </c>
      <c r="M43" s="3">
        <v>110000</v>
      </c>
      <c r="N43" s="3">
        <v>121000</v>
      </c>
      <c r="O43" s="3">
        <v>2</v>
      </c>
      <c r="P43" s="3">
        <v>10</v>
      </c>
      <c r="Q43" s="3">
        <v>1100</v>
      </c>
      <c r="R43" s="3">
        <v>200</v>
      </c>
      <c r="S43" s="3">
        <v>1000</v>
      </c>
      <c r="T43" s="3">
        <v>200</v>
      </c>
      <c r="U43" s="3">
        <v>800</v>
      </c>
      <c r="V43" s="3">
        <v>540</v>
      </c>
      <c r="W43" s="3">
        <v>600</v>
      </c>
      <c r="X43" s="3">
        <v>40</v>
      </c>
      <c r="Y43" s="3">
        <v>26</v>
      </c>
      <c r="Z43" s="3">
        <v>0</v>
      </c>
      <c r="AA43" s="3">
        <v>1</v>
      </c>
      <c r="AB43" s="3">
        <v>1</v>
      </c>
      <c r="AC43" s="3">
        <v>380</v>
      </c>
      <c r="AE43" s="4">
        <v>185.7</v>
      </c>
      <c r="AF43" s="4">
        <v>167.2</v>
      </c>
      <c r="AG43">
        <v>50</v>
      </c>
      <c r="AH43">
        <v>60</v>
      </c>
      <c r="AI43">
        <v>-25</v>
      </c>
      <c r="AJ43" t="s">
        <v>307</v>
      </c>
      <c r="AK43" t="s">
        <v>277</v>
      </c>
      <c r="AL43">
        <v>0</v>
      </c>
      <c r="AN43">
        <v>41</v>
      </c>
      <c r="AO43">
        <v>0</v>
      </c>
      <c r="AP43">
        <f t="shared" si="1"/>
        <v>20</v>
      </c>
      <c r="AR43">
        <v>1</v>
      </c>
      <c r="AS43">
        <v>0</v>
      </c>
      <c r="AT43">
        <v>1</v>
      </c>
      <c r="AU43">
        <v>0</v>
      </c>
      <c r="AW43">
        <v>0</v>
      </c>
      <c r="AY43" t="str">
        <f t="shared" si="2"/>
        <v>2</v>
      </c>
      <c r="BA43" s="13" t="str">
        <f t="shared" si="19"/>
        <v>('SUN2000-110KTL-M0', 2, 1035, 700, 365, 90, 60, -25, 'COOLER', 'IP66', 'TRANSFORMERLESS', 110000, 121000, 380, 167.2, 185.7, 50, 10, 20, 0),</v>
      </c>
      <c r="BB43" t="str">
        <f t="shared" si="4"/>
        <v xml:space="preserve">(41, 0, 2, 1100, 200, 1000, 200, 800, 540, 600, 40, 26), </v>
      </c>
      <c r="BC43" t="str">
        <f t="shared" si="5"/>
        <v>(41, 'ON-GRID'),</v>
      </c>
      <c r="BD43" t="str">
        <f t="shared" si="6"/>
        <v/>
      </c>
      <c r="BE43" t="str">
        <f t="shared" si="7"/>
        <v>(41, 'GRIDZERO'),</v>
      </c>
      <c r="BF43" t="str">
        <f t="shared" si="8"/>
        <v/>
      </c>
      <c r="BG43" t="str">
        <f t="shared" si="13"/>
        <v/>
      </c>
      <c r="BH43" t="str">
        <f t="shared" si="14"/>
        <v>(41, 'RS485'),</v>
      </c>
      <c r="BI43" t="str">
        <f t="shared" si="15"/>
        <v/>
      </c>
      <c r="BJ43" t="str">
        <f t="shared" si="16"/>
        <v>(41, 'LED'),</v>
      </c>
      <c r="BK43" t="str">
        <f t="shared" si="17"/>
        <v>(41, 'USB'),</v>
      </c>
      <c r="BL43" t="str">
        <f t="shared" si="18"/>
        <v/>
      </c>
      <c r="BM43" t="str">
        <f t="shared" si="10"/>
        <v>(41, 'THREE_PHASE_THREE_WIRE'),</v>
      </c>
      <c r="BN43" t="str">
        <f t="shared" si="11"/>
        <v>(41, 'THREE_PHASE_FOUR_WIRE'),</v>
      </c>
      <c r="BO43" t="str">
        <f t="shared" si="12"/>
        <v/>
      </c>
    </row>
    <row r="44" spans="1:67">
      <c r="A44" s="2" t="s">
        <v>319</v>
      </c>
      <c r="B44" s="3" t="s">
        <v>274</v>
      </c>
      <c r="C44" s="3">
        <v>365</v>
      </c>
      <c r="D44" s="3">
        <v>1035</v>
      </c>
      <c r="E44" s="3">
        <v>700</v>
      </c>
      <c r="F44" s="3">
        <v>81</v>
      </c>
      <c r="G44" s="3" t="s">
        <v>316</v>
      </c>
      <c r="H44" s="3">
        <v>0</v>
      </c>
      <c r="I44" s="3">
        <v>1</v>
      </c>
      <c r="J44" s="3">
        <v>0</v>
      </c>
      <c r="K44" s="3">
        <v>1</v>
      </c>
      <c r="L44" s="3">
        <v>1</v>
      </c>
      <c r="M44" s="3">
        <v>125000</v>
      </c>
      <c r="N44" s="3">
        <v>137500</v>
      </c>
      <c r="O44" s="3">
        <v>2</v>
      </c>
      <c r="P44" s="3">
        <v>10</v>
      </c>
      <c r="Q44" s="3">
        <v>1100</v>
      </c>
      <c r="R44" s="3">
        <v>200</v>
      </c>
      <c r="S44" s="3">
        <v>1000</v>
      </c>
      <c r="T44" s="3">
        <v>200</v>
      </c>
      <c r="U44" s="3">
        <v>850</v>
      </c>
      <c r="V44" s="3">
        <v>625</v>
      </c>
      <c r="W44" s="3">
        <v>750</v>
      </c>
      <c r="X44" s="3">
        <v>40</v>
      </c>
      <c r="Y44" s="3">
        <v>26</v>
      </c>
      <c r="Z44" s="3">
        <v>0</v>
      </c>
      <c r="AA44" s="3">
        <v>1</v>
      </c>
      <c r="AB44" s="3">
        <v>0</v>
      </c>
      <c r="AC44" s="3">
        <v>480</v>
      </c>
      <c r="AE44" s="4">
        <v>160.4</v>
      </c>
      <c r="AF44" s="4">
        <v>144.4</v>
      </c>
      <c r="AG44">
        <v>50</v>
      </c>
      <c r="AH44">
        <v>60</v>
      </c>
      <c r="AI44">
        <v>-25</v>
      </c>
      <c r="AJ44" t="s">
        <v>307</v>
      </c>
      <c r="AK44" t="s">
        <v>277</v>
      </c>
      <c r="AL44">
        <v>0</v>
      </c>
      <c r="AN44">
        <v>42</v>
      </c>
      <c r="AO44">
        <v>0</v>
      </c>
      <c r="AP44">
        <f t="shared" si="1"/>
        <v>20</v>
      </c>
      <c r="AR44">
        <v>1</v>
      </c>
      <c r="AS44">
        <v>0</v>
      </c>
      <c r="AT44">
        <v>1</v>
      </c>
      <c r="AU44">
        <v>0</v>
      </c>
      <c r="AW44">
        <v>0</v>
      </c>
      <c r="AY44" t="str">
        <f t="shared" si="2"/>
        <v>2</v>
      </c>
      <c r="BA44" s="13" t="str">
        <f t="shared" si="19"/>
        <v>('SUN2000-125KTL-M0', 2, 1035, 700, 365, 81, 60, -25, 'COOLER', 'IP66', 'TRANSFORMERLESS', 125000, 137500, 480, 144.4, 160.4, 50, 10, 20, 0),</v>
      </c>
      <c r="BB44" t="str">
        <f t="shared" si="4"/>
        <v xml:space="preserve">(42, 0, 2, 1100, 200, 1000, 200, 850, 625, 750, 40, 26), </v>
      </c>
      <c r="BC44" t="str">
        <f t="shared" si="5"/>
        <v>(42, 'ON-GRID'),</v>
      </c>
      <c r="BD44" t="str">
        <f t="shared" si="6"/>
        <v/>
      </c>
      <c r="BE44" t="str">
        <f t="shared" si="7"/>
        <v>(42, 'GRIDZERO'),</v>
      </c>
      <c r="BF44" t="str">
        <f t="shared" si="8"/>
        <v/>
      </c>
      <c r="BG44" t="str">
        <f t="shared" si="13"/>
        <v/>
      </c>
      <c r="BH44" t="str">
        <f t="shared" si="14"/>
        <v>(42, 'RS485'),</v>
      </c>
      <c r="BI44" t="str">
        <f t="shared" si="15"/>
        <v/>
      </c>
      <c r="BJ44" t="str">
        <f t="shared" si="16"/>
        <v>(42, 'LED'),</v>
      </c>
      <c r="BK44" t="str">
        <f t="shared" si="17"/>
        <v>(42, 'USB'),</v>
      </c>
      <c r="BL44" t="str">
        <f t="shared" si="18"/>
        <v/>
      </c>
      <c r="BM44" t="str">
        <f t="shared" si="10"/>
        <v>(42, 'THREE_PHASE_THREE_WIRE'),</v>
      </c>
      <c r="BN44" t="str">
        <f t="shared" si="11"/>
        <v/>
      </c>
      <c r="BO44" t="str">
        <f t="shared" si="12"/>
        <v/>
      </c>
    </row>
    <row r="45" spans="1:67">
      <c r="A45" s="2" t="s">
        <v>320</v>
      </c>
      <c r="B45" s="3" t="s">
        <v>274</v>
      </c>
      <c r="C45" s="3">
        <v>365</v>
      </c>
      <c r="D45" s="3">
        <v>1035</v>
      </c>
      <c r="E45" s="3">
        <v>700</v>
      </c>
      <c r="F45" s="3">
        <v>90</v>
      </c>
      <c r="G45" s="3" t="s">
        <v>316</v>
      </c>
      <c r="H45" s="3">
        <v>0</v>
      </c>
      <c r="I45" s="3">
        <v>1</v>
      </c>
      <c r="J45" s="3">
        <v>0</v>
      </c>
      <c r="K45" s="3">
        <v>1</v>
      </c>
      <c r="L45" s="3">
        <v>1</v>
      </c>
      <c r="M45" s="3">
        <v>100000</v>
      </c>
      <c r="N45" s="3">
        <v>110000</v>
      </c>
      <c r="O45" s="3">
        <v>2</v>
      </c>
      <c r="P45" s="3">
        <v>10</v>
      </c>
      <c r="Q45" s="3">
        <v>1100</v>
      </c>
      <c r="R45" s="3">
        <v>200</v>
      </c>
      <c r="S45" s="3">
        <v>1000</v>
      </c>
      <c r="T45" s="3">
        <v>200</v>
      </c>
      <c r="U45" s="3">
        <v>800</v>
      </c>
      <c r="V45" s="3">
        <v>540</v>
      </c>
      <c r="W45" s="3">
        <v>570</v>
      </c>
      <c r="X45" s="3">
        <v>40</v>
      </c>
      <c r="Y45" s="3">
        <v>26</v>
      </c>
      <c r="Z45" s="3">
        <v>0</v>
      </c>
      <c r="AA45" s="3">
        <v>1</v>
      </c>
      <c r="AB45" s="3">
        <v>1</v>
      </c>
      <c r="AC45" s="3">
        <v>380</v>
      </c>
      <c r="AE45" s="4">
        <v>168.8</v>
      </c>
      <c r="AF45" s="4">
        <v>152</v>
      </c>
      <c r="AG45">
        <v>50</v>
      </c>
      <c r="AH45">
        <v>60</v>
      </c>
      <c r="AI45">
        <v>-25</v>
      </c>
      <c r="AJ45" t="s">
        <v>307</v>
      </c>
      <c r="AK45" t="s">
        <v>277</v>
      </c>
      <c r="AL45">
        <v>0</v>
      </c>
      <c r="AN45">
        <v>43</v>
      </c>
      <c r="AO45">
        <v>0</v>
      </c>
      <c r="AP45">
        <f t="shared" si="1"/>
        <v>20</v>
      </c>
      <c r="AR45">
        <v>1</v>
      </c>
      <c r="AS45">
        <v>0</v>
      </c>
      <c r="AT45">
        <v>1</v>
      </c>
      <c r="AU45">
        <v>0</v>
      </c>
      <c r="AW45">
        <v>0</v>
      </c>
      <c r="AY45" t="str">
        <f t="shared" si="2"/>
        <v>2</v>
      </c>
      <c r="BA45" s="13" t="str">
        <f t="shared" si="19"/>
        <v>('SUN2000-100KTL-M1', 2, 1035, 700, 365, 90, 60, -25, 'COOLER', 'IP66', 'TRANSFORMERLESS', 100000, 110000, 380, 152, 168.8, 50, 10, 20, 0),</v>
      </c>
      <c r="BB45" t="str">
        <f t="shared" si="4"/>
        <v xml:space="preserve">(43, 0, 2, 1100, 200, 1000, 200, 800, 540, 570, 40, 26), </v>
      </c>
      <c r="BC45" t="str">
        <f t="shared" si="5"/>
        <v>(43, 'ON-GRID'),</v>
      </c>
      <c r="BD45" t="str">
        <f t="shared" si="6"/>
        <v/>
      </c>
      <c r="BE45" t="str">
        <f t="shared" si="7"/>
        <v>(43, 'GRIDZERO'),</v>
      </c>
      <c r="BF45" t="str">
        <f t="shared" si="8"/>
        <v/>
      </c>
      <c r="BG45" t="str">
        <f t="shared" si="13"/>
        <v/>
      </c>
      <c r="BH45" t="str">
        <f t="shared" si="14"/>
        <v>(43, 'RS485'),</v>
      </c>
      <c r="BI45" t="str">
        <f t="shared" si="15"/>
        <v/>
      </c>
      <c r="BJ45" t="str">
        <f t="shared" si="16"/>
        <v>(43, 'LED'),</v>
      </c>
      <c r="BK45" t="str">
        <f t="shared" si="17"/>
        <v>(43, 'USB'),</v>
      </c>
      <c r="BL45" t="str">
        <f t="shared" si="18"/>
        <v/>
      </c>
      <c r="BM45" t="str">
        <f t="shared" si="10"/>
        <v>(43, 'THREE_PHASE_THREE_WIRE'),</v>
      </c>
      <c r="BN45" t="str">
        <f t="shared" si="11"/>
        <v>(43, 'THREE_PHASE_FOUR_WIRE'),</v>
      </c>
      <c r="BO45" t="str">
        <f t="shared" si="12"/>
        <v/>
      </c>
    </row>
    <row r="46" spans="1:67">
      <c r="A46" s="2" t="s">
        <v>321</v>
      </c>
      <c r="B46" s="3" t="s">
        <v>274</v>
      </c>
      <c r="C46" s="3">
        <v>310</v>
      </c>
      <c r="D46" s="3">
        <v>1075</v>
      </c>
      <c r="E46" s="3">
        <v>605</v>
      </c>
      <c r="F46" s="3">
        <v>76</v>
      </c>
      <c r="G46" s="3" t="s">
        <v>275</v>
      </c>
      <c r="H46" s="3">
        <v>0</v>
      </c>
      <c r="I46" s="3">
        <v>1</v>
      </c>
      <c r="J46" s="3">
        <v>0</v>
      </c>
      <c r="K46" s="3">
        <v>1</v>
      </c>
      <c r="L46" s="3">
        <v>1</v>
      </c>
      <c r="M46" s="3">
        <v>90000</v>
      </c>
      <c r="N46" s="3">
        <v>100000</v>
      </c>
      <c r="O46" s="3">
        <v>2</v>
      </c>
      <c r="P46" s="3">
        <v>6</v>
      </c>
      <c r="Q46" s="3">
        <v>1500</v>
      </c>
      <c r="R46" s="3">
        <v>650</v>
      </c>
      <c r="S46" s="3">
        <v>1500</v>
      </c>
      <c r="T46" s="3">
        <v>600</v>
      </c>
      <c r="U46" s="3">
        <v>1300</v>
      </c>
      <c r="V46" s="3">
        <v>880</v>
      </c>
      <c r="W46" s="3">
        <v>1080</v>
      </c>
      <c r="X46" s="3">
        <v>33</v>
      </c>
      <c r="Y46" s="3">
        <v>22</v>
      </c>
      <c r="Z46" s="3">
        <v>0</v>
      </c>
      <c r="AA46" s="3">
        <v>1</v>
      </c>
      <c r="AB46" s="3">
        <v>0</v>
      </c>
      <c r="AC46" s="3">
        <v>800</v>
      </c>
      <c r="AE46" s="4">
        <v>72.900000000000006</v>
      </c>
      <c r="AF46">
        <v>65</v>
      </c>
      <c r="AG46">
        <v>50</v>
      </c>
      <c r="AH46">
        <v>60</v>
      </c>
      <c r="AI46">
        <v>-25</v>
      </c>
      <c r="AJ46" t="s">
        <v>276</v>
      </c>
      <c r="AK46" t="s">
        <v>277</v>
      </c>
      <c r="AL46">
        <v>0</v>
      </c>
      <c r="AN46">
        <v>44</v>
      </c>
      <c r="AO46">
        <v>0</v>
      </c>
      <c r="AP46">
        <f t="shared" si="1"/>
        <v>12</v>
      </c>
      <c r="AR46">
        <v>1</v>
      </c>
      <c r="AS46">
        <v>0</v>
      </c>
      <c r="AT46">
        <v>1</v>
      </c>
      <c r="AU46">
        <v>0</v>
      </c>
      <c r="AW46">
        <v>0</v>
      </c>
      <c r="AY46" t="str">
        <f t="shared" si="2"/>
        <v>2</v>
      </c>
      <c r="BA46" s="13" t="str">
        <f t="shared" si="19"/>
        <v>('SUN2000-90KTL-H0', 2, 1075, 605, 310, 76, 60, -25, 'CONVECÇÃO NATURAL', 'IP65', 'TRANSFORMERLESS', 90000, 100000, 800, 65, 72.9, 50, 6, 12, 0),</v>
      </c>
      <c r="BB46" t="str">
        <f t="shared" si="4"/>
        <v xml:space="preserve">(44, 0, 2, 1500, 650, 1500, 600, 1300, 880, 1080, 33, 22), </v>
      </c>
      <c r="BC46" t="str">
        <f t="shared" si="5"/>
        <v>(44, 'ON-GRID'),</v>
      </c>
      <c r="BD46" t="str">
        <f t="shared" si="6"/>
        <v/>
      </c>
      <c r="BE46" t="str">
        <f t="shared" si="7"/>
        <v>(44, 'GRIDZERO'),</v>
      </c>
      <c r="BF46" t="str">
        <f t="shared" si="8"/>
        <v/>
      </c>
      <c r="BG46" t="str">
        <f t="shared" si="13"/>
        <v/>
      </c>
      <c r="BH46" t="str">
        <f t="shared" si="14"/>
        <v>(44, 'RS485'),</v>
      </c>
      <c r="BI46" t="str">
        <f t="shared" si="15"/>
        <v/>
      </c>
      <c r="BJ46" t="str">
        <f t="shared" si="16"/>
        <v>(44, 'LED'),</v>
      </c>
      <c r="BK46" t="str">
        <f t="shared" si="17"/>
        <v>(44, 'USB'),</v>
      </c>
      <c r="BL46" t="str">
        <f t="shared" si="18"/>
        <v/>
      </c>
      <c r="BM46" t="str">
        <f t="shared" si="10"/>
        <v>(44, 'THREE_PHASE_THREE_WIRE'),</v>
      </c>
      <c r="BN46" t="str">
        <f t="shared" si="11"/>
        <v/>
      </c>
      <c r="BO46" t="str">
        <f t="shared" si="12"/>
        <v/>
      </c>
    </row>
    <row r="47" spans="1:67">
      <c r="A47" s="2" t="s">
        <v>322</v>
      </c>
      <c r="B47" s="3" t="s">
        <v>274</v>
      </c>
      <c r="C47" s="3">
        <v>310</v>
      </c>
      <c r="D47" s="3">
        <v>1075</v>
      </c>
      <c r="E47" s="3">
        <v>605</v>
      </c>
      <c r="F47" s="3">
        <v>76</v>
      </c>
      <c r="G47" s="3" t="s">
        <v>275</v>
      </c>
      <c r="H47" s="3">
        <v>0</v>
      </c>
      <c r="I47" s="3">
        <v>1</v>
      </c>
      <c r="J47" s="3">
        <v>0</v>
      </c>
      <c r="K47" s="3">
        <v>1</v>
      </c>
      <c r="L47" s="3">
        <v>1</v>
      </c>
      <c r="M47" s="3">
        <v>90000</v>
      </c>
      <c r="N47" s="3">
        <v>100000</v>
      </c>
      <c r="O47" s="3">
        <v>2</v>
      </c>
      <c r="P47" s="3">
        <v>6</v>
      </c>
      <c r="Q47" s="3">
        <v>1500</v>
      </c>
      <c r="R47" s="3">
        <v>650</v>
      </c>
      <c r="S47" s="3">
        <v>1500</v>
      </c>
      <c r="T47" s="3">
        <v>600</v>
      </c>
      <c r="U47" s="3">
        <v>1300</v>
      </c>
      <c r="V47" s="3">
        <v>880</v>
      </c>
      <c r="W47" s="3">
        <v>1080</v>
      </c>
      <c r="X47" s="3">
        <v>33</v>
      </c>
      <c r="Y47" s="3">
        <v>22</v>
      </c>
      <c r="Z47" s="3">
        <v>0</v>
      </c>
      <c r="AA47" s="3">
        <v>1</v>
      </c>
      <c r="AB47" s="3">
        <v>0</v>
      </c>
      <c r="AC47" s="3">
        <v>800</v>
      </c>
      <c r="AE47" s="4">
        <v>72.900000000000006</v>
      </c>
      <c r="AF47">
        <v>65</v>
      </c>
      <c r="AG47">
        <v>50</v>
      </c>
      <c r="AH47">
        <v>60</v>
      </c>
      <c r="AI47">
        <v>-25</v>
      </c>
      <c r="AJ47" t="s">
        <v>276</v>
      </c>
      <c r="AK47" t="s">
        <v>277</v>
      </c>
      <c r="AL47">
        <v>0</v>
      </c>
      <c r="AN47">
        <v>45</v>
      </c>
      <c r="AO47">
        <v>0</v>
      </c>
      <c r="AP47">
        <f t="shared" si="1"/>
        <v>12</v>
      </c>
      <c r="AR47">
        <v>1</v>
      </c>
      <c r="AS47">
        <v>0</v>
      </c>
      <c r="AT47">
        <v>1</v>
      </c>
      <c r="AU47">
        <v>0</v>
      </c>
      <c r="AW47">
        <v>0</v>
      </c>
      <c r="AY47" t="str">
        <f t="shared" si="2"/>
        <v>2</v>
      </c>
      <c r="BA47" s="13" t="str">
        <f t="shared" si="19"/>
        <v>('SUN2000-90KTL-H1', 2, 1075, 605, 310, 76, 60, -25, 'CONVECÇÃO NATURAL', 'IP65', 'TRANSFORMERLESS', 90000, 100000, 800, 65, 72.9, 50, 6, 12, 0),</v>
      </c>
      <c r="BB47" t="str">
        <f t="shared" si="4"/>
        <v xml:space="preserve">(45, 0, 2, 1500, 650, 1500, 600, 1300, 880, 1080, 33, 22), </v>
      </c>
      <c r="BC47" t="str">
        <f t="shared" si="5"/>
        <v>(45, 'ON-GRID'),</v>
      </c>
      <c r="BD47" t="str">
        <f t="shared" si="6"/>
        <v/>
      </c>
      <c r="BE47" t="str">
        <f t="shared" si="7"/>
        <v>(45, 'GRIDZERO'),</v>
      </c>
      <c r="BF47" t="str">
        <f t="shared" si="8"/>
        <v/>
      </c>
      <c r="BG47" t="str">
        <f t="shared" si="13"/>
        <v/>
      </c>
      <c r="BH47" t="str">
        <f t="shared" si="14"/>
        <v>(45, 'RS485'),</v>
      </c>
      <c r="BI47" t="str">
        <f t="shared" si="15"/>
        <v/>
      </c>
      <c r="BJ47" t="str">
        <f t="shared" si="16"/>
        <v>(45, 'LED'),</v>
      </c>
      <c r="BK47" t="str">
        <f t="shared" si="17"/>
        <v>(45, 'USB'),</v>
      </c>
      <c r="BL47" t="str">
        <f t="shared" si="18"/>
        <v/>
      </c>
      <c r="BM47" t="str">
        <f t="shared" si="10"/>
        <v>(45, 'THREE_PHASE_THREE_WIRE'),</v>
      </c>
      <c r="BN47" t="str">
        <f t="shared" si="11"/>
        <v/>
      </c>
      <c r="BO47" t="str">
        <f t="shared" si="12"/>
        <v/>
      </c>
    </row>
    <row r="48" spans="1:67">
      <c r="A48" s="2" t="s">
        <v>323</v>
      </c>
      <c r="B48" s="3" t="s">
        <v>274</v>
      </c>
      <c r="C48" s="3">
        <v>310</v>
      </c>
      <c r="D48" s="3">
        <v>1075</v>
      </c>
      <c r="E48" s="3">
        <v>605</v>
      </c>
      <c r="F48" s="3">
        <v>76</v>
      </c>
      <c r="G48" s="3" t="s">
        <v>275</v>
      </c>
      <c r="H48" s="3">
        <v>0</v>
      </c>
      <c r="I48" s="3">
        <v>1</v>
      </c>
      <c r="J48" s="3">
        <v>0</v>
      </c>
      <c r="K48" s="3">
        <v>1</v>
      </c>
      <c r="L48" s="3">
        <v>1</v>
      </c>
      <c r="M48" s="3">
        <v>90000</v>
      </c>
      <c r="N48" s="3">
        <v>100000</v>
      </c>
      <c r="O48" s="3">
        <v>2</v>
      </c>
      <c r="P48" s="3">
        <v>6</v>
      </c>
      <c r="Q48" s="3">
        <v>1500</v>
      </c>
      <c r="R48" s="3">
        <v>650</v>
      </c>
      <c r="S48" s="3">
        <v>1500</v>
      </c>
      <c r="T48" s="3">
        <v>600</v>
      </c>
      <c r="U48" s="3">
        <v>1300</v>
      </c>
      <c r="V48" s="3">
        <v>880</v>
      </c>
      <c r="W48" s="3">
        <v>1080</v>
      </c>
      <c r="X48" s="3">
        <v>33</v>
      </c>
      <c r="Y48" s="3">
        <v>22</v>
      </c>
      <c r="Z48" s="3">
        <v>0</v>
      </c>
      <c r="AA48" s="3">
        <v>1</v>
      </c>
      <c r="AB48" s="3">
        <v>0</v>
      </c>
      <c r="AC48" s="3">
        <v>800</v>
      </c>
      <c r="AE48" s="4">
        <v>72.900000000000006</v>
      </c>
      <c r="AF48">
        <v>65</v>
      </c>
      <c r="AG48">
        <v>50</v>
      </c>
      <c r="AH48">
        <v>60</v>
      </c>
      <c r="AI48">
        <v>-25</v>
      </c>
      <c r="AJ48" t="s">
        <v>276</v>
      </c>
      <c r="AK48" t="s">
        <v>277</v>
      </c>
      <c r="AL48">
        <v>0</v>
      </c>
      <c r="AN48">
        <v>46</v>
      </c>
      <c r="AO48">
        <v>0</v>
      </c>
      <c r="AP48">
        <f t="shared" si="1"/>
        <v>12</v>
      </c>
      <c r="AR48">
        <v>1</v>
      </c>
      <c r="AS48">
        <v>0</v>
      </c>
      <c r="AT48">
        <v>1</v>
      </c>
      <c r="AU48">
        <v>0</v>
      </c>
      <c r="AW48">
        <v>0</v>
      </c>
      <c r="AY48" t="str">
        <f t="shared" si="2"/>
        <v>2</v>
      </c>
      <c r="BA48" s="13" t="str">
        <f t="shared" si="19"/>
        <v>('SUN2000-90KTL-H2', 2, 1075, 605, 310, 76, 60, -25, 'CONVECÇÃO NATURAL', 'IP65', 'TRANSFORMERLESS', 90000, 100000, 800, 65, 72.9, 50, 6, 12, 0),</v>
      </c>
      <c r="BB48" t="str">
        <f t="shared" si="4"/>
        <v xml:space="preserve">(46, 0, 2, 1500, 650, 1500, 600, 1300, 880, 1080, 33, 22), </v>
      </c>
      <c r="BC48" t="str">
        <f t="shared" si="5"/>
        <v>(46, 'ON-GRID'),</v>
      </c>
      <c r="BD48" t="str">
        <f t="shared" si="6"/>
        <v/>
      </c>
      <c r="BE48" t="str">
        <f t="shared" si="7"/>
        <v>(46, 'GRIDZERO'),</v>
      </c>
      <c r="BF48" t="str">
        <f t="shared" si="8"/>
        <v/>
      </c>
      <c r="BG48" t="str">
        <f t="shared" si="13"/>
        <v/>
      </c>
      <c r="BH48" t="str">
        <f t="shared" si="14"/>
        <v>(46, 'RS485'),</v>
      </c>
      <c r="BI48" t="str">
        <f t="shared" si="15"/>
        <v/>
      </c>
      <c r="BJ48" t="str">
        <f t="shared" si="16"/>
        <v>(46, 'LED'),</v>
      </c>
      <c r="BK48" t="str">
        <f t="shared" si="17"/>
        <v>(46, 'USB'),</v>
      </c>
      <c r="BL48" t="str">
        <f t="shared" si="18"/>
        <v/>
      </c>
      <c r="BM48" t="str">
        <f t="shared" si="10"/>
        <v>(46, 'THREE_PHASE_THREE_WIRE'),</v>
      </c>
      <c r="BN48" t="str">
        <f t="shared" si="11"/>
        <v/>
      </c>
      <c r="BO48" t="str">
        <f t="shared" si="12"/>
        <v/>
      </c>
    </row>
    <row r="49" spans="1:67">
      <c r="A49" s="2" t="s">
        <v>324</v>
      </c>
      <c r="B49" s="3" t="s">
        <v>274</v>
      </c>
      <c r="C49" s="3">
        <v>310</v>
      </c>
      <c r="D49" s="3">
        <v>1075</v>
      </c>
      <c r="E49" s="3">
        <v>605</v>
      </c>
      <c r="F49" s="3">
        <v>76</v>
      </c>
      <c r="G49" s="3" t="s">
        <v>275</v>
      </c>
      <c r="H49" s="3">
        <v>0</v>
      </c>
      <c r="I49" s="3">
        <v>1</v>
      </c>
      <c r="J49" s="3">
        <v>0</v>
      </c>
      <c r="K49" s="3">
        <v>1</v>
      </c>
      <c r="L49" s="3">
        <v>1</v>
      </c>
      <c r="M49" s="3">
        <v>100000</v>
      </c>
      <c r="N49" s="3">
        <v>110000</v>
      </c>
      <c r="O49" s="3">
        <v>2</v>
      </c>
      <c r="P49" s="3">
        <v>6</v>
      </c>
      <c r="Q49" s="3">
        <v>1500</v>
      </c>
      <c r="R49" s="3">
        <v>650</v>
      </c>
      <c r="S49" s="3">
        <v>1500</v>
      </c>
      <c r="T49" s="3">
        <v>600</v>
      </c>
      <c r="U49" s="3">
        <v>1300</v>
      </c>
      <c r="V49" s="3">
        <v>880</v>
      </c>
      <c r="W49" s="3">
        <v>1080</v>
      </c>
      <c r="X49" s="3">
        <v>33</v>
      </c>
      <c r="Y49" s="3">
        <v>22</v>
      </c>
      <c r="Z49" s="3">
        <v>0</v>
      </c>
      <c r="AA49" s="3">
        <v>1</v>
      </c>
      <c r="AB49" s="3">
        <v>0</v>
      </c>
      <c r="AC49" s="3">
        <v>800</v>
      </c>
      <c r="AE49" s="4">
        <v>80.2</v>
      </c>
      <c r="AF49">
        <v>72.2</v>
      </c>
      <c r="AG49">
        <v>50</v>
      </c>
      <c r="AH49">
        <v>60</v>
      </c>
      <c r="AI49">
        <v>-25</v>
      </c>
      <c r="AJ49" t="s">
        <v>276</v>
      </c>
      <c r="AK49" t="s">
        <v>277</v>
      </c>
      <c r="AL49">
        <v>0</v>
      </c>
      <c r="AN49">
        <v>47</v>
      </c>
      <c r="AO49">
        <v>0</v>
      </c>
      <c r="AP49">
        <f t="shared" si="1"/>
        <v>12</v>
      </c>
      <c r="AR49">
        <v>1</v>
      </c>
      <c r="AS49">
        <v>0</v>
      </c>
      <c r="AT49">
        <v>1</v>
      </c>
      <c r="AU49">
        <v>0</v>
      </c>
      <c r="AW49">
        <v>0</v>
      </c>
      <c r="AY49" t="str">
        <f t="shared" si="2"/>
        <v>2</v>
      </c>
      <c r="BA49" s="13" t="str">
        <f t="shared" si="19"/>
        <v>('SUN2000-100KTL-H0', 2, 1075, 605, 310, 76, 60, -25, 'CONVECÇÃO NATURAL', 'IP65', 'TRANSFORMERLESS', 100000, 110000, 800, 72.2, 80.2, 50, 6, 12, 0),</v>
      </c>
      <c r="BB49" t="str">
        <f t="shared" si="4"/>
        <v xml:space="preserve">(47, 0, 2, 1500, 650, 1500, 600, 1300, 880, 1080, 33, 22), </v>
      </c>
      <c r="BC49" t="str">
        <f t="shared" si="5"/>
        <v>(47, 'ON-GRID'),</v>
      </c>
      <c r="BD49" t="str">
        <f t="shared" si="6"/>
        <v/>
      </c>
      <c r="BE49" t="str">
        <f t="shared" si="7"/>
        <v>(47, 'GRIDZERO'),</v>
      </c>
      <c r="BF49" t="str">
        <f t="shared" si="8"/>
        <v/>
      </c>
      <c r="BG49" t="str">
        <f t="shared" si="13"/>
        <v/>
      </c>
      <c r="BH49" t="str">
        <f t="shared" si="14"/>
        <v>(47, 'RS485'),</v>
      </c>
      <c r="BI49" t="str">
        <f t="shared" si="15"/>
        <v/>
      </c>
      <c r="BJ49" t="str">
        <f t="shared" si="16"/>
        <v>(47, 'LED'),</v>
      </c>
      <c r="BK49" t="str">
        <f t="shared" si="17"/>
        <v>(47, 'USB'),</v>
      </c>
      <c r="BL49" t="str">
        <f t="shared" si="18"/>
        <v/>
      </c>
      <c r="BM49" t="str">
        <f t="shared" si="10"/>
        <v>(47, 'THREE_PHASE_THREE_WIRE'),</v>
      </c>
      <c r="BN49" t="str">
        <f t="shared" si="11"/>
        <v/>
      </c>
      <c r="BO49" t="str">
        <f t="shared" si="12"/>
        <v/>
      </c>
    </row>
    <row r="50" spans="1:67">
      <c r="A50" s="2" t="s">
        <v>325</v>
      </c>
      <c r="B50" s="3" t="s">
        <v>274</v>
      </c>
      <c r="C50" s="3">
        <v>310</v>
      </c>
      <c r="D50" s="3">
        <v>1075</v>
      </c>
      <c r="E50" s="3">
        <v>605</v>
      </c>
      <c r="F50" s="3">
        <v>76</v>
      </c>
      <c r="G50" s="3" t="s">
        <v>275</v>
      </c>
      <c r="H50" s="3">
        <v>0</v>
      </c>
      <c r="I50" s="3">
        <v>1</v>
      </c>
      <c r="J50" s="3">
        <v>0</v>
      </c>
      <c r="K50" s="3">
        <v>1</v>
      </c>
      <c r="L50" s="3">
        <v>1</v>
      </c>
      <c r="M50" s="3">
        <v>100000</v>
      </c>
      <c r="N50" s="3">
        <v>105000</v>
      </c>
      <c r="O50" s="3">
        <v>2</v>
      </c>
      <c r="P50" s="3">
        <v>6</v>
      </c>
      <c r="Q50" s="3">
        <v>1500</v>
      </c>
      <c r="R50" s="3">
        <v>650</v>
      </c>
      <c r="S50" s="3">
        <v>1500</v>
      </c>
      <c r="T50" s="3">
        <v>600</v>
      </c>
      <c r="U50" s="3">
        <v>1300</v>
      </c>
      <c r="V50" s="3">
        <v>880</v>
      </c>
      <c r="W50" s="3">
        <v>1080</v>
      </c>
      <c r="X50" s="3">
        <v>33</v>
      </c>
      <c r="Y50" s="3">
        <v>22</v>
      </c>
      <c r="Z50" s="3">
        <v>0</v>
      </c>
      <c r="AA50" s="3">
        <v>1</v>
      </c>
      <c r="AB50" s="3">
        <v>0</v>
      </c>
      <c r="AC50" s="3">
        <v>800</v>
      </c>
      <c r="AE50" s="4">
        <v>80.2</v>
      </c>
      <c r="AF50">
        <v>72.2</v>
      </c>
      <c r="AG50">
        <v>50</v>
      </c>
      <c r="AH50">
        <v>60</v>
      </c>
      <c r="AI50">
        <v>-25</v>
      </c>
      <c r="AJ50" t="s">
        <v>276</v>
      </c>
      <c r="AK50" t="s">
        <v>277</v>
      </c>
      <c r="AL50">
        <v>0</v>
      </c>
      <c r="AN50">
        <v>48</v>
      </c>
      <c r="AO50">
        <v>0</v>
      </c>
      <c r="AP50">
        <f t="shared" si="1"/>
        <v>12</v>
      </c>
      <c r="AR50">
        <v>1</v>
      </c>
      <c r="AS50">
        <v>0</v>
      </c>
      <c r="AT50">
        <v>1</v>
      </c>
      <c r="AU50">
        <v>0</v>
      </c>
      <c r="AW50">
        <v>0</v>
      </c>
      <c r="AY50" t="str">
        <f t="shared" si="2"/>
        <v>2</v>
      </c>
      <c r="BA50" s="13" t="str">
        <f t="shared" si="19"/>
        <v>('SUN2000-100KTL-H1', 2, 1075, 605, 310, 76, 60, -25, 'CONVECÇÃO NATURAL', 'IP65', 'TRANSFORMERLESS', 100000, 105000, 800, 72.2, 80.2, 50, 6, 12, 0),</v>
      </c>
      <c r="BB50" t="str">
        <f t="shared" si="4"/>
        <v xml:space="preserve">(48, 0, 2, 1500, 650, 1500, 600, 1300, 880, 1080, 33, 22), </v>
      </c>
      <c r="BC50" t="str">
        <f t="shared" si="5"/>
        <v>(48, 'ON-GRID'),</v>
      </c>
      <c r="BD50" t="str">
        <f t="shared" si="6"/>
        <v/>
      </c>
      <c r="BE50" t="str">
        <f t="shared" si="7"/>
        <v>(48, 'GRIDZERO'),</v>
      </c>
      <c r="BF50" t="str">
        <f t="shared" si="8"/>
        <v/>
      </c>
      <c r="BG50" t="str">
        <f t="shared" si="13"/>
        <v/>
      </c>
      <c r="BH50" t="str">
        <f t="shared" si="14"/>
        <v>(48, 'RS485'),</v>
      </c>
      <c r="BI50" t="str">
        <f t="shared" si="15"/>
        <v/>
      </c>
      <c r="BJ50" t="str">
        <f t="shared" si="16"/>
        <v>(48, 'LED'),</v>
      </c>
      <c r="BK50" t="str">
        <f t="shared" si="17"/>
        <v>(48, 'USB'),</v>
      </c>
      <c r="BL50" t="str">
        <f t="shared" si="18"/>
        <v/>
      </c>
      <c r="BM50" t="str">
        <f t="shared" si="10"/>
        <v>(48, 'THREE_PHASE_THREE_WIRE'),</v>
      </c>
      <c r="BN50" t="str">
        <f t="shared" si="11"/>
        <v/>
      </c>
      <c r="BO50" t="str">
        <f t="shared" si="12"/>
        <v/>
      </c>
    </row>
    <row r="51" spans="1:67">
      <c r="A51" s="2" t="s">
        <v>326</v>
      </c>
      <c r="B51" s="3" t="s">
        <v>274</v>
      </c>
      <c r="C51" s="3">
        <v>310</v>
      </c>
      <c r="D51" s="3">
        <v>1075</v>
      </c>
      <c r="E51" s="3">
        <v>605</v>
      </c>
      <c r="F51" s="3">
        <v>79</v>
      </c>
      <c r="G51" s="3" t="s">
        <v>275</v>
      </c>
      <c r="H51" s="3">
        <v>0</v>
      </c>
      <c r="I51" s="3">
        <v>1</v>
      </c>
      <c r="J51" s="3">
        <v>0</v>
      </c>
      <c r="K51" s="3">
        <v>1</v>
      </c>
      <c r="L51" s="3">
        <v>1</v>
      </c>
      <c r="M51" s="3">
        <v>100000</v>
      </c>
      <c r="N51" s="3">
        <v>110000</v>
      </c>
      <c r="O51" s="3">
        <v>2</v>
      </c>
      <c r="P51" s="3">
        <v>6</v>
      </c>
      <c r="Q51" s="3">
        <v>1500</v>
      </c>
      <c r="R51" s="3">
        <v>650</v>
      </c>
      <c r="S51" s="3">
        <v>1500</v>
      </c>
      <c r="T51" s="3">
        <v>600</v>
      </c>
      <c r="U51" s="3">
        <v>1300</v>
      </c>
      <c r="V51" s="3">
        <v>880</v>
      </c>
      <c r="W51" s="3">
        <v>1080</v>
      </c>
      <c r="X51" s="3">
        <v>33</v>
      </c>
      <c r="Y51" s="3">
        <v>22</v>
      </c>
      <c r="Z51" s="3">
        <v>0</v>
      </c>
      <c r="AA51" s="3">
        <v>1</v>
      </c>
      <c r="AB51" s="3">
        <v>0</v>
      </c>
      <c r="AC51" s="3">
        <v>800</v>
      </c>
      <c r="AE51" s="4">
        <v>80.2</v>
      </c>
      <c r="AF51">
        <v>72.2</v>
      </c>
      <c r="AG51">
        <v>50</v>
      </c>
      <c r="AH51">
        <v>60</v>
      </c>
      <c r="AI51">
        <v>-25</v>
      </c>
      <c r="AJ51" t="s">
        <v>276</v>
      </c>
      <c r="AK51" t="s">
        <v>277</v>
      </c>
      <c r="AL51">
        <v>0</v>
      </c>
      <c r="AN51">
        <v>49</v>
      </c>
      <c r="AO51">
        <v>0</v>
      </c>
      <c r="AP51">
        <f t="shared" si="1"/>
        <v>12</v>
      </c>
      <c r="AR51">
        <v>1</v>
      </c>
      <c r="AS51">
        <v>0</v>
      </c>
      <c r="AT51">
        <v>1</v>
      </c>
      <c r="AU51">
        <v>0</v>
      </c>
      <c r="AW51">
        <v>0</v>
      </c>
      <c r="AY51" t="str">
        <f t="shared" si="2"/>
        <v>2</v>
      </c>
      <c r="BA51" s="13" t="str">
        <f t="shared" si="19"/>
        <v>('SUN2000-100KTL-H2', 2, 1075, 605, 310, 79, 60, -25, 'CONVECÇÃO NATURAL', 'IP65', 'TRANSFORMERLESS', 100000, 110000, 800, 72.2, 80.2, 50, 6, 12, 0),</v>
      </c>
      <c r="BB51" t="str">
        <f t="shared" si="4"/>
        <v xml:space="preserve">(49, 0, 2, 1500, 650, 1500, 600, 1300, 880, 1080, 33, 22), </v>
      </c>
      <c r="BC51" t="str">
        <f t="shared" si="5"/>
        <v>(49, 'ON-GRID'),</v>
      </c>
      <c r="BD51" t="str">
        <f t="shared" si="6"/>
        <v/>
      </c>
      <c r="BE51" t="str">
        <f t="shared" si="7"/>
        <v>(49, 'GRIDZERO'),</v>
      </c>
      <c r="BF51" t="str">
        <f t="shared" si="8"/>
        <v/>
      </c>
      <c r="BG51" t="str">
        <f t="shared" si="13"/>
        <v/>
      </c>
      <c r="BH51" t="str">
        <f t="shared" si="14"/>
        <v>(49, 'RS485'),</v>
      </c>
      <c r="BI51" t="str">
        <f t="shared" si="15"/>
        <v/>
      </c>
      <c r="BJ51" t="str">
        <f t="shared" si="16"/>
        <v>(49, 'LED'),</v>
      </c>
      <c r="BK51" t="str">
        <f t="shared" si="17"/>
        <v>(49, 'USB'),</v>
      </c>
      <c r="BL51" t="str">
        <f t="shared" si="18"/>
        <v/>
      </c>
      <c r="BM51" t="str">
        <f t="shared" si="10"/>
        <v>(49, 'THREE_PHASE_THREE_WIRE'),</v>
      </c>
      <c r="BN51" t="str">
        <f t="shared" si="11"/>
        <v/>
      </c>
      <c r="BO51" t="str">
        <f t="shared" si="12"/>
        <v/>
      </c>
    </row>
    <row r="52" spans="1:67">
      <c r="A52" s="2" t="s">
        <v>327</v>
      </c>
      <c r="B52" s="3" t="s">
        <v>274</v>
      </c>
      <c r="C52" s="3">
        <v>310</v>
      </c>
      <c r="D52" s="3">
        <v>1075</v>
      </c>
      <c r="E52" s="3">
        <v>605</v>
      </c>
      <c r="F52" s="3">
        <v>79</v>
      </c>
      <c r="G52" s="3" t="s">
        <v>275</v>
      </c>
      <c r="H52" s="3">
        <v>0</v>
      </c>
      <c r="I52" s="3">
        <v>1</v>
      </c>
      <c r="J52" s="3">
        <v>0</v>
      </c>
      <c r="K52" s="3">
        <v>1</v>
      </c>
      <c r="L52" s="3">
        <v>1</v>
      </c>
      <c r="M52" s="3">
        <v>105000</v>
      </c>
      <c r="N52" s="3">
        <v>116000</v>
      </c>
      <c r="O52" s="3">
        <v>2</v>
      </c>
      <c r="P52" s="3">
        <v>6</v>
      </c>
      <c r="Q52" s="3">
        <v>1500</v>
      </c>
      <c r="R52" s="3">
        <v>650</v>
      </c>
      <c r="S52" s="3">
        <v>1500</v>
      </c>
      <c r="T52" s="3">
        <v>600</v>
      </c>
      <c r="U52" s="3">
        <v>1300</v>
      </c>
      <c r="V52" s="3">
        <v>880</v>
      </c>
      <c r="W52" s="3">
        <v>1080</v>
      </c>
      <c r="X52" s="3">
        <v>33</v>
      </c>
      <c r="Y52" s="3">
        <v>22</v>
      </c>
      <c r="Z52" s="3">
        <v>0</v>
      </c>
      <c r="AA52" s="3">
        <v>1</v>
      </c>
      <c r="AB52" s="3">
        <v>0</v>
      </c>
      <c r="AC52" s="3">
        <v>800</v>
      </c>
      <c r="AE52" s="4">
        <v>84.6</v>
      </c>
      <c r="AF52">
        <v>75.8</v>
      </c>
      <c r="AG52">
        <v>50</v>
      </c>
      <c r="AH52">
        <v>60</v>
      </c>
      <c r="AI52">
        <v>-25</v>
      </c>
      <c r="AJ52" t="s">
        <v>276</v>
      </c>
      <c r="AK52" t="s">
        <v>277</v>
      </c>
      <c r="AL52">
        <v>0</v>
      </c>
      <c r="AN52">
        <v>50</v>
      </c>
      <c r="AO52">
        <v>0</v>
      </c>
      <c r="AP52">
        <f t="shared" si="1"/>
        <v>12</v>
      </c>
      <c r="AR52">
        <v>1</v>
      </c>
      <c r="AS52">
        <v>0</v>
      </c>
      <c r="AT52">
        <v>1</v>
      </c>
      <c r="AU52">
        <v>0</v>
      </c>
      <c r="AW52">
        <v>0</v>
      </c>
      <c r="AY52" t="str">
        <f t="shared" si="2"/>
        <v>2</v>
      </c>
      <c r="BA52" s="13" t="str">
        <f t="shared" si="19"/>
        <v>('SUN2000-105KTL-H1', 2, 1075, 605, 310, 79, 60, -25, 'CONVECÇÃO NATURAL', 'IP65', 'TRANSFORMERLESS', 105000, 116000, 800, 75.8, 84.6, 50, 6, 12, 0),</v>
      </c>
      <c r="BB52" t="str">
        <f t="shared" si="4"/>
        <v xml:space="preserve">(50, 0, 2, 1500, 650, 1500, 600, 1300, 880, 1080, 33, 22), </v>
      </c>
      <c r="BC52" t="str">
        <f t="shared" si="5"/>
        <v>(50, 'ON-GRID'),</v>
      </c>
      <c r="BD52" t="str">
        <f t="shared" si="6"/>
        <v/>
      </c>
      <c r="BE52" t="str">
        <f t="shared" si="7"/>
        <v>(50, 'GRIDZERO'),</v>
      </c>
      <c r="BF52" t="str">
        <f t="shared" si="8"/>
        <v/>
      </c>
      <c r="BG52" t="str">
        <f t="shared" si="13"/>
        <v/>
      </c>
      <c r="BH52" t="str">
        <f t="shared" si="14"/>
        <v>(50, 'RS485'),</v>
      </c>
      <c r="BI52" t="str">
        <f t="shared" si="15"/>
        <v/>
      </c>
      <c r="BJ52" t="str">
        <f t="shared" si="16"/>
        <v>(50, 'LED'),</v>
      </c>
      <c r="BK52" t="str">
        <f t="shared" si="17"/>
        <v>(50, 'USB'),</v>
      </c>
      <c r="BL52" t="str">
        <f t="shared" si="18"/>
        <v/>
      </c>
      <c r="BM52" t="str">
        <f t="shared" si="10"/>
        <v>(50, 'THREE_PHASE_THREE_WIRE'),</v>
      </c>
      <c r="BN52" t="str">
        <f t="shared" si="11"/>
        <v/>
      </c>
      <c r="BO52" t="str">
        <f t="shared" si="12"/>
        <v/>
      </c>
    </row>
    <row r="53" spans="1:67">
      <c r="A53" s="2" t="s">
        <v>328</v>
      </c>
      <c r="B53" s="3" t="s">
        <v>274</v>
      </c>
      <c r="C53" s="3">
        <v>365</v>
      </c>
      <c r="D53" s="3">
        <v>1035</v>
      </c>
      <c r="E53" s="3">
        <v>700</v>
      </c>
      <c r="F53" s="3">
        <v>84</v>
      </c>
      <c r="G53" s="3" t="s">
        <v>316</v>
      </c>
      <c r="H53" s="3">
        <v>0</v>
      </c>
      <c r="I53" s="3">
        <v>1</v>
      </c>
      <c r="J53" s="3">
        <v>0</v>
      </c>
      <c r="K53" s="3">
        <v>1</v>
      </c>
      <c r="L53" s="3">
        <v>1</v>
      </c>
      <c r="M53" s="3">
        <v>196000</v>
      </c>
      <c r="N53" s="3">
        <v>216000</v>
      </c>
      <c r="O53" s="3">
        <v>2</v>
      </c>
      <c r="P53" s="3">
        <v>9</v>
      </c>
      <c r="Q53" s="3">
        <v>1500</v>
      </c>
      <c r="R53" s="3">
        <v>550</v>
      </c>
      <c r="S53" s="3">
        <v>1500</v>
      </c>
      <c r="T53" s="3">
        <v>500</v>
      </c>
      <c r="U53" s="3">
        <v>-1</v>
      </c>
      <c r="V53" s="3">
        <v>-1</v>
      </c>
      <c r="W53" s="3">
        <v>1080</v>
      </c>
      <c r="X53" s="3">
        <v>50</v>
      </c>
      <c r="Y53" s="3">
        <v>30</v>
      </c>
      <c r="Z53" s="3">
        <v>0</v>
      </c>
      <c r="AA53" s="3">
        <v>1</v>
      </c>
      <c r="AB53" s="3">
        <v>0</v>
      </c>
      <c r="AC53" s="3">
        <v>800</v>
      </c>
      <c r="AE53" s="4">
        <v>155.9</v>
      </c>
      <c r="AF53">
        <v>141.5</v>
      </c>
      <c r="AG53">
        <v>50</v>
      </c>
      <c r="AH53">
        <v>60</v>
      </c>
      <c r="AI53">
        <v>-25</v>
      </c>
      <c r="AJ53" t="s">
        <v>307</v>
      </c>
      <c r="AK53" t="s">
        <v>277</v>
      </c>
      <c r="AL53">
        <v>0</v>
      </c>
      <c r="AN53">
        <v>51</v>
      </c>
      <c r="AO53">
        <v>0</v>
      </c>
      <c r="AP53">
        <f t="shared" si="1"/>
        <v>18</v>
      </c>
      <c r="AR53">
        <v>1</v>
      </c>
      <c r="AS53">
        <v>0</v>
      </c>
      <c r="AT53">
        <v>1</v>
      </c>
      <c r="AU53">
        <v>0</v>
      </c>
      <c r="AW53">
        <v>0</v>
      </c>
      <c r="AY53" t="str">
        <f t="shared" si="2"/>
        <v>2</v>
      </c>
      <c r="BA53" s="13" t="str">
        <f t="shared" si="19"/>
        <v>('SUN2000-196KTL-H0', 2, 1035, 700, 365, 84, 60, -25, 'COOLER', 'IP66', 'TRANSFORMERLESS', 196000, 216000, 800, 141.5, 155.9, 50, 9, 18, 0),</v>
      </c>
      <c r="BB53" t="str">
        <f t="shared" si="4"/>
        <v xml:space="preserve">(51, 0, 2, 1500, 550, 1500, 500, -1, -1, 1080, 50, 30), </v>
      </c>
      <c r="BC53" t="str">
        <f t="shared" si="5"/>
        <v>(51, 'ON-GRID'),</v>
      </c>
      <c r="BD53" t="str">
        <f t="shared" si="6"/>
        <v/>
      </c>
      <c r="BE53" t="str">
        <f t="shared" si="7"/>
        <v>(51, 'GRIDZERO'),</v>
      </c>
      <c r="BF53" t="str">
        <f t="shared" si="8"/>
        <v/>
      </c>
      <c r="BG53" t="str">
        <f t="shared" si="13"/>
        <v/>
      </c>
      <c r="BH53" t="str">
        <f t="shared" si="14"/>
        <v>(51, 'RS485'),</v>
      </c>
      <c r="BI53" t="str">
        <f t="shared" si="15"/>
        <v/>
      </c>
      <c r="BJ53" t="str">
        <f t="shared" si="16"/>
        <v>(51, 'LED'),</v>
      </c>
      <c r="BK53" t="str">
        <f t="shared" si="17"/>
        <v>(51, 'USB'),</v>
      </c>
      <c r="BL53" t="str">
        <f t="shared" si="18"/>
        <v/>
      </c>
      <c r="BM53" t="str">
        <f t="shared" si="10"/>
        <v>(51, 'THREE_PHASE_THREE_WIRE'),</v>
      </c>
      <c r="BN53" t="str">
        <f t="shared" si="11"/>
        <v/>
      </c>
      <c r="BO53" t="str">
        <f t="shared" si="12"/>
        <v/>
      </c>
    </row>
    <row r="54" spans="1:67">
      <c r="A54" s="2" t="s">
        <v>329</v>
      </c>
      <c r="B54" s="3" t="s">
        <v>274</v>
      </c>
      <c r="C54" s="3">
        <v>365</v>
      </c>
      <c r="D54" s="3">
        <v>1035</v>
      </c>
      <c r="E54" s="3">
        <v>700</v>
      </c>
      <c r="F54" s="3">
        <v>86</v>
      </c>
      <c r="G54" s="3" t="s">
        <v>316</v>
      </c>
      <c r="H54" s="3">
        <v>0</v>
      </c>
      <c r="I54" s="3">
        <v>1</v>
      </c>
      <c r="J54" s="3">
        <v>0</v>
      </c>
      <c r="K54" s="3">
        <v>1</v>
      </c>
      <c r="L54" s="3">
        <v>1</v>
      </c>
      <c r="M54" s="3">
        <v>185000</v>
      </c>
      <c r="N54" s="3">
        <v>215000</v>
      </c>
      <c r="O54" s="3">
        <v>2</v>
      </c>
      <c r="P54" s="3">
        <v>9</v>
      </c>
      <c r="Q54" s="3">
        <v>1500</v>
      </c>
      <c r="R54" s="3">
        <v>550</v>
      </c>
      <c r="S54" s="3">
        <v>1500</v>
      </c>
      <c r="T54" s="3">
        <v>500</v>
      </c>
      <c r="U54" s="3">
        <v>-1</v>
      </c>
      <c r="V54" s="3">
        <v>-1</v>
      </c>
      <c r="W54" s="3">
        <v>1080</v>
      </c>
      <c r="X54" s="3">
        <v>50</v>
      </c>
      <c r="Y54" s="3">
        <v>30</v>
      </c>
      <c r="Z54" s="3">
        <v>0</v>
      </c>
      <c r="AA54" s="3">
        <v>1</v>
      </c>
      <c r="AB54" s="3">
        <v>0</v>
      </c>
      <c r="AC54" s="3">
        <v>800</v>
      </c>
      <c r="AE54" s="4">
        <v>155.19999999999999</v>
      </c>
      <c r="AF54">
        <v>133.6</v>
      </c>
      <c r="AG54">
        <v>50</v>
      </c>
      <c r="AH54">
        <v>60</v>
      </c>
      <c r="AI54">
        <v>-25</v>
      </c>
      <c r="AJ54" t="s">
        <v>307</v>
      </c>
      <c r="AK54" t="s">
        <v>277</v>
      </c>
      <c r="AL54">
        <v>0</v>
      </c>
      <c r="AN54">
        <v>52</v>
      </c>
      <c r="AO54">
        <v>0</v>
      </c>
      <c r="AP54">
        <f t="shared" si="1"/>
        <v>18</v>
      </c>
      <c r="AR54">
        <v>1</v>
      </c>
      <c r="AS54">
        <v>0</v>
      </c>
      <c r="AT54">
        <v>1</v>
      </c>
      <c r="AU54">
        <v>0</v>
      </c>
      <c r="AW54">
        <v>0</v>
      </c>
      <c r="AY54" t="str">
        <f t="shared" si="2"/>
        <v>2</v>
      </c>
      <c r="BA54" s="13" t="str">
        <f t="shared" si="19"/>
        <v>('SUN2000-200KTL-H2', 2, 1035, 700, 365, 86, 60, -25, 'COOLER', 'IP66', 'TRANSFORMERLESS', 185000, 215000, 800, 133.6, 155.2, 50, 9, 18, 0),</v>
      </c>
      <c r="BB54" t="str">
        <f t="shared" si="4"/>
        <v xml:space="preserve">(52, 0, 2, 1500, 550, 1500, 500, -1, -1, 1080, 50, 30), </v>
      </c>
      <c r="BC54" t="str">
        <f t="shared" si="5"/>
        <v>(52, 'ON-GRID'),</v>
      </c>
      <c r="BD54" t="str">
        <f t="shared" si="6"/>
        <v/>
      </c>
      <c r="BE54" t="str">
        <f t="shared" si="7"/>
        <v>(52, 'GRIDZERO'),</v>
      </c>
      <c r="BF54" t="str">
        <f t="shared" si="8"/>
        <v/>
      </c>
      <c r="BG54" t="str">
        <f t="shared" si="13"/>
        <v/>
      </c>
      <c r="BH54" t="str">
        <f t="shared" si="14"/>
        <v>(52, 'RS485'),</v>
      </c>
      <c r="BI54" t="str">
        <f t="shared" si="15"/>
        <v/>
      </c>
      <c r="BJ54" t="str">
        <f t="shared" si="16"/>
        <v>(52, 'LED'),</v>
      </c>
      <c r="BK54" t="str">
        <f t="shared" si="17"/>
        <v>(52, 'USB'),</v>
      </c>
      <c r="BL54" t="str">
        <f t="shared" si="18"/>
        <v/>
      </c>
      <c r="BM54" t="str">
        <f t="shared" si="10"/>
        <v>(52, 'THREE_PHASE_THREE_WIRE'),</v>
      </c>
      <c r="BN54" t="str">
        <f t="shared" si="11"/>
        <v/>
      </c>
      <c r="BO54" t="str">
        <f t="shared" si="12"/>
        <v/>
      </c>
    </row>
    <row r="55" spans="1:67">
      <c r="A55" s="2" t="s">
        <v>330</v>
      </c>
      <c r="B55" s="3" t="s">
        <v>274</v>
      </c>
      <c r="C55" s="3">
        <v>365</v>
      </c>
      <c r="D55" s="3">
        <v>1035</v>
      </c>
      <c r="E55" s="3">
        <v>700</v>
      </c>
      <c r="F55" s="3">
        <v>86</v>
      </c>
      <c r="G55" s="3" t="s">
        <v>316</v>
      </c>
      <c r="H55" s="3">
        <v>0</v>
      </c>
      <c r="I55" s="3">
        <v>1</v>
      </c>
      <c r="J55" s="3">
        <v>0</v>
      </c>
      <c r="K55" s="3">
        <v>1</v>
      </c>
      <c r="L55" s="3">
        <v>1</v>
      </c>
      <c r="M55" s="3">
        <v>200000</v>
      </c>
      <c r="N55" s="3">
        <v>215000</v>
      </c>
      <c r="O55" s="3">
        <v>2</v>
      </c>
      <c r="P55" s="3">
        <v>9</v>
      </c>
      <c r="Q55" s="3">
        <v>1500</v>
      </c>
      <c r="R55" s="3">
        <v>550</v>
      </c>
      <c r="S55" s="3">
        <v>1500</v>
      </c>
      <c r="T55" s="3">
        <v>500</v>
      </c>
      <c r="U55" s="3">
        <v>-1</v>
      </c>
      <c r="V55" s="3">
        <v>-1</v>
      </c>
      <c r="W55" s="3">
        <v>1080</v>
      </c>
      <c r="X55" s="3">
        <v>50</v>
      </c>
      <c r="Y55" s="3">
        <v>30</v>
      </c>
      <c r="Z55" s="3">
        <v>0</v>
      </c>
      <c r="AA55" s="3">
        <v>1</v>
      </c>
      <c r="AB55" s="3">
        <v>0</v>
      </c>
      <c r="AC55" s="3">
        <v>800</v>
      </c>
      <c r="AE55" s="4">
        <v>155.19999999999999</v>
      </c>
      <c r="AF55">
        <v>144.4</v>
      </c>
      <c r="AG55">
        <v>50</v>
      </c>
      <c r="AH55">
        <v>60</v>
      </c>
      <c r="AI55">
        <v>-25</v>
      </c>
      <c r="AJ55" t="s">
        <v>307</v>
      </c>
      <c r="AK55" t="s">
        <v>277</v>
      </c>
      <c r="AL55">
        <v>0</v>
      </c>
      <c r="AN55">
        <v>53</v>
      </c>
      <c r="AO55">
        <v>0</v>
      </c>
      <c r="AP55">
        <f t="shared" si="1"/>
        <v>18</v>
      </c>
      <c r="AR55">
        <v>1</v>
      </c>
      <c r="AS55">
        <v>0</v>
      </c>
      <c r="AT55">
        <v>1</v>
      </c>
      <c r="AU55">
        <v>0</v>
      </c>
      <c r="AW55">
        <v>0</v>
      </c>
      <c r="AY55" t="str">
        <f t="shared" si="2"/>
        <v>2</v>
      </c>
      <c r="BA55" s="13" t="str">
        <f t="shared" si="19"/>
        <v>('SUN2000-215KTL-H0', 2, 1035, 700, 365, 86, 60, -25, 'COOLER', 'IP66', 'TRANSFORMERLESS', 200000, 215000, 800, 144.4, 155.2, 50, 9, 18, 0),</v>
      </c>
      <c r="BB55" t="str">
        <f t="shared" si="4"/>
        <v xml:space="preserve">(53, 0, 2, 1500, 550, 1500, 500, -1, -1, 1080, 50, 30), </v>
      </c>
      <c r="BC55" t="str">
        <f t="shared" si="5"/>
        <v>(53, 'ON-GRID'),</v>
      </c>
      <c r="BD55" t="str">
        <f t="shared" si="6"/>
        <v/>
      </c>
      <c r="BE55" t="str">
        <f t="shared" si="7"/>
        <v>(53, 'GRIDZERO'),</v>
      </c>
      <c r="BF55" t="str">
        <f t="shared" si="8"/>
        <v/>
      </c>
      <c r="BG55" t="str">
        <f t="shared" si="13"/>
        <v/>
      </c>
      <c r="BH55" t="str">
        <f t="shared" si="14"/>
        <v>(53, 'RS485'),</v>
      </c>
      <c r="BI55" t="str">
        <f t="shared" si="15"/>
        <v/>
      </c>
      <c r="BJ55" t="str">
        <f t="shared" si="16"/>
        <v>(53, 'LED'),</v>
      </c>
      <c r="BK55" t="str">
        <f t="shared" si="17"/>
        <v>(53, 'USB'),</v>
      </c>
      <c r="BL55" t="str">
        <f t="shared" si="18"/>
        <v/>
      </c>
      <c r="BM55" t="str">
        <f t="shared" si="10"/>
        <v>(53, 'THREE_PHASE_THREE_WIRE'),</v>
      </c>
      <c r="BN55" t="str">
        <f t="shared" si="11"/>
        <v/>
      </c>
      <c r="BO55" t="str">
        <f t="shared" si="12"/>
        <v/>
      </c>
    </row>
    <row r="56" spans="1:67">
      <c r="A56" s="2" t="s">
        <v>331</v>
      </c>
      <c r="B56" s="3" t="s">
        <v>332</v>
      </c>
      <c r="C56" s="3">
        <v>113</v>
      </c>
      <c r="D56" s="3">
        <v>295</v>
      </c>
      <c r="E56" s="3">
        <v>230</v>
      </c>
      <c r="F56" s="3">
        <v>5.8</v>
      </c>
      <c r="G56" s="3" t="s">
        <v>275</v>
      </c>
      <c r="H56" s="3">
        <v>1</v>
      </c>
      <c r="I56" s="3">
        <v>1</v>
      </c>
      <c r="J56" s="3">
        <v>1</v>
      </c>
      <c r="K56" s="3">
        <v>1</v>
      </c>
      <c r="L56" s="3">
        <v>0</v>
      </c>
      <c r="M56" s="3">
        <v>700</v>
      </c>
      <c r="N56" s="3">
        <v>770</v>
      </c>
      <c r="O56" s="3">
        <v>1</v>
      </c>
      <c r="P56" s="3">
        <v>1</v>
      </c>
      <c r="Q56" s="3">
        <v>500</v>
      </c>
      <c r="R56" s="3">
        <v>40</v>
      </c>
      <c r="S56" s="3">
        <v>450</v>
      </c>
      <c r="T56" s="3">
        <v>40</v>
      </c>
      <c r="U56" s="3">
        <v>-1</v>
      </c>
      <c r="V56" s="3">
        <v>-1</v>
      </c>
      <c r="W56" s="3">
        <v>360</v>
      </c>
      <c r="X56" s="3">
        <v>15.6</v>
      </c>
      <c r="Y56" s="3">
        <v>12.5</v>
      </c>
      <c r="Z56" s="3">
        <v>1</v>
      </c>
      <c r="AA56" s="3">
        <v>0</v>
      </c>
      <c r="AB56" s="3">
        <v>0</v>
      </c>
      <c r="AC56" s="3">
        <v>220</v>
      </c>
      <c r="AE56" s="4">
        <v>3.5</v>
      </c>
      <c r="AF56">
        <v>3</v>
      </c>
      <c r="AG56">
        <v>50</v>
      </c>
      <c r="AH56">
        <v>60</v>
      </c>
      <c r="AI56">
        <v>-25</v>
      </c>
      <c r="AJ56" t="s">
        <v>276</v>
      </c>
      <c r="AK56" t="s">
        <v>277</v>
      </c>
      <c r="AL56">
        <v>0</v>
      </c>
      <c r="AN56">
        <v>54</v>
      </c>
      <c r="AO56">
        <v>0</v>
      </c>
      <c r="AP56">
        <f t="shared" si="1"/>
        <v>1</v>
      </c>
      <c r="AR56">
        <v>1</v>
      </c>
      <c r="AS56">
        <v>0</v>
      </c>
      <c r="AT56">
        <v>0</v>
      </c>
      <c r="AU56">
        <v>0</v>
      </c>
      <c r="AW56">
        <v>0</v>
      </c>
      <c r="AY56" t="str">
        <f t="shared" si="2"/>
        <v>4</v>
      </c>
      <c r="BA56" s="13" t="str">
        <f t="shared" si="19"/>
        <v>('GW700-XS', 4, 295, 230, 113, 5.8, 60, -25, 'CONVECÇÃO NATURAL', 'IP65', 'TRANSFORMERLESS', 700, 770, 220, 3, 3.5, 50, 1, 1, 0),</v>
      </c>
      <c r="BB56" t="str">
        <f t="shared" si="4"/>
        <v xml:space="preserve">(54, 0, 1, 500, 40, 450, 40, -1, -1, 360, 15.6, 12.5), </v>
      </c>
      <c r="BC56" t="str">
        <f t="shared" si="5"/>
        <v>(54, 'ON-GRID'),</v>
      </c>
      <c r="BD56" t="str">
        <f t="shared" si="6"/>
        <v/>
      </c>
      <c r="BE56" t="str">
        <f t="shared" si="7"/>
        <v/>
      </c>
      <c r="BF56" t="str">
        <f t="shared" si="8"/>
        <v/>
      </c>
      <c r="BG56" t="str">
        <f t="shared" si="13"/>
        <v>(54, 'WIFI'),</v>
      </c>
      <c r="BH56" t="str">
        <f t="shared" si="14"/>
        <v>(54, 'RS485'),</v>
      </c>
      <c r="BI56" t="str">
        <f t="shared" si="15"/>
        <v>(54, 'DISPLAY'),</v>
      </c>
      <c r="BJ56" t="str">
        <f t="shared" si="16"/>
        <v>(54, 'LED'),</v>
      </c>
      <c r="BK56" t="str">
        <f t="shared" si="17"/>
        <v/>
      </c>
      <c r="BL56" t="str">
        <f t="shared" si="18"/>
        <v/>
      </c>
      <c r="BM56" t="str">
        <f t="shared" si="10"/>
        <v/>
      </c>
      <c r="BN56" t="str">
        <f t="shared" si="11"/>
        <v/>
      </c>
      <c r="BO56" t="str">
        <f t="shared" si="12"/>
        <v>(54, 'SINGLE_PHASE'),</v>
      </c>
    </row>
    <row r="57" spans="1:67">
      <c r="A57" s="2" t="s">
        <v>333</v>
      </c>
      <c r="B57" s="3" t="s">
        <v>332</v>
      </c>
      <c r="C57" s="3">
        <v>113</v>
      </c>
      <c r="D57" s="3">
        <v>295</v>
      </c>
      <c r="E57" s="3">
        <v>230</v>
      </c>
      <c r="F57" s="3">
        <v>5.8</v>
      </c>
      <c r="G57" s="3" t="s">
        <v>275</v>
      </c>
      <c r="H57" s="3">
        <v>1</v>
      </c>
      <c r="I57" s="3">
        <v>1</v>
      </c>
      <c r="J57" s="3">
        <v>1</v>
      </c>
      <c r="K57" s="3">
        <v>1</v>
      </c>
      <c r="L57" s="3">
        <v>0</v>
      </c>
      <c r="M57" s="3">
        <v>1000</v>
      </c>
      <c r="N57" s="3">
        <v>1100</v>
      </c>
      <c r="O57" s="3">
        <v>1</v>
      </c>
      <c r="P57" s="3">
        <v>1</v>
      </c>
      <c r="Q57" s="3">
        <v>500</v>
      </c>
      <c r="R57" s="3">
        <v>40</v>
      </c>
      <c r="S57" s="3">
        <v>450</v>
      </c>
      <c r="T57" s="3">
        <v>40</v>
      </c>
      <c r="U57" s="3">
        <v>-1</v>
      </c>
      <c r="V57" s="3">
        <v>-1</v>
      </c>
      <c r="W57" s="3">
        <v>360</v>
      </c>
      <c r="X57" s="3">
        <v>15.6</v>
      </c>
      <c r="Y57" s="3">
        <v>12.5</v>
      </c>
      <c r="Z57" s="3">
        <v>1</v>
      </c>
      <c r="AA57" s="3">
        <v>0</v>
      </c>
      <c r="AB57" s="3">
        <v>0</v>
      </c>
      <c r="AC57" s="3">
        <v>220</v>
      </c>
      <c r="AE57" s="4">
        <v>4.8</v>
      </c>
      <c r="AF57">
        <v>4.3</v>
      </c>
      <c r="AG57">
        <v>50</v>
      </c>
      <c r="AH57">
        <v>60</v>
      </c>
      <c r="AI57">
        <v>-25</v>
      </c>
      <c r="AJ57" t="s">
        <v>276</v>
      </c>
      <c r="AK57" t="s">
        <v>277</v>
      </c>
      <c r="AL57">
        <v>0</v>
      </c>
      <c r="AN57">
        <v>55</v>
      </c>
      <c r="AO57">
        <v>0</v>
      </c>
      <c r="AP57">
        <f t="shared" si="1"/>
        <v>1</v>
      </c>
      <c r="AR57">
        <v>1</v>
      </c>
      <c r="AS57">
        <v>0</v>
      </c>
      <c r="AT57">
        <v>0</v>
      </c>
      <c r="AU57">
        <v>0</v>
      </c>
      <c r="AW57">
        <v>0</v>
      </c>
      <c r="AY57" t="str">
        <f t="shared" si="2"/>
        <v>4</v>
      </c>
      <c r="BA57" s="13" t="str">
        <f t="shared" si="19"/>
        <v>('GW1000-XS', 4, 295, 230, 113, 5.8, 60, -25, 'CONVECÇÃO NATURAL', 'IP65', 'TRANSFORMERLESS', 1000, 1100, 220, 4.3, 4.8, 50, 1, 1, 0),</v>
      </c>
      <c r="BB57" t="str">
        <f t="shared" si="4"/>
        <v xml:space="preserve">(55, 0, 1, 500, 40, 450, 40, -1, -1, 360, 15.6, 12.5), </v>
      </c>
      <c r="BC57" t="str">
        <f t="shared" si="5"/>
        <v>(55, 'ON-GRID'),</v>
      </c>
      <c r="BD57" t="str">
        <f t="shared" si="6"/>
        <v/>
      </c>
      <c r="BE57" t="str">
        <f t="shared" si="7"/>
        <v/>
      </c>
      <c r="BF57" t="str">
        <f t="shared" si="8"/>
        <v/>
      </c>
      <c r="BG57" t="str">
        <f t="shared" si="13"/>
        <v>(55, 'WIFI'),</v>
      </c>
      <c r="BH57" t="str">
        <f t="shared" si="14"/>
        <v>(55, 'RS485'),</v>
      </c>
      <c r="BI57" t="str">
        <f t="shared" si="15"/>
        <v>(55, 'DISPLAY'),</v>
      </c>
      <c r="BJ57" t="str">
        <f t="shared" si="16"/>
        <v>(55, 'LED'),</v>
      </c>
      <c r="BK57" t="str">
        <f t="shared" si="17"/>
        <v/>
      </c>
      <c r="BL57" t="str">
        <f t="shared" si="18"/>
        <v/>
      </c>
      <c r="BM57" t="str">
        <f t="shared" si="10"/>
        <v/>
      </c>
      <c r="BN57" t="str">
        <f t="shared" si="11"/>
        <v/>
      </c>
      <c r="BO57" t="str">
        <f t="shared" si="12"/>
        <v>(55, 'SINGLE_PHASE'),</v>
      </c>
    </row>
    <row r="58" spans="1:67">
      <c r="A58" s="2" t="s">
        <v>334</v>
      </c>
      <c r="B58" s="3" t="s">
        <v>332</v>
      </c>
      <c r="C58" s="3">
        <v>113</v>
      </c>
      <c r="D58" s="3">
        <v>295</v>
      </c>
      <c r="E58" s="3">
        <v>230</v>
      </c>
      <c r="F58" s="3">
        <v>5.8</v>
      </c>
      <c r="G58" s="3" t="s">
        <v>275</v>
      </c>
      <c r="H58" s="3">
        <v>1</v>
      </c>
      <c r="I58" s="3">
        <v>1</v>
      </c>
      <c r="J58" s="3">
        <v>1</v>
      </c>
      <c r="K58" s="3">
        <v>1</v>
      </c>
      <c r="L58" s="3">
        <v>0</v>
      </c>
      <c r="M58" s="3">
        <v>1500</v>
      </c>
      <c r="N58" s="3">
        <v>1650</v>
      </c>
      <c r="O58" s="3">
        <v>1</v>
      </c>
      <c r="P58" s="3">
        <v>1</v>
      </c>
      <c r="Q58" s="3">
        <v>500</v>
      </c>
      <c r="R58" s="3">
        <v>50</v>
      </c>
      <c r="S58" s="3">
        <v>450</v>
      </c>
      <c r="T58" s="3">
        <v>50</v>
      </c>
      <c r="U58" s="3">
        <v>-1</v>
      </c>
      <c r="V58" s="3">
        <v>-1</v>
      </c>
      <c r="W58" s="3">
        <v>360</v>
      </c>
      <c r="X58" s="3">
        <v>15.6</v>
      </c>
      <c r="Y58" s="3">
        <v>12.5</v>
      </c>
      <c r="Z58" s="3">
        <v>1</v>
      </c>
      <c r="AA58" s="3">
        <v>0</v>
      </c>
      <c r="AB58" s="3">
        <v>0</v>
      </c>
      <c r="AC58" s="3">
        <v>220</v>
      </c>
      <c r="AE58" s="4">
        <v>7.2</v>
      </c>
      <c r="AF58">
        <v>6.5</v>
      </c>
      <c r="AG58">
        <v>50</v>
      </c>
      <c r="AH58">
        <v>60</v>
      </c>
      <c r="AI58">
        <v>-25</v>
      </c>
      <c r="AJ58" t="s">
        <v>276</v>
      </c>
      <c r="AK58" t="s">
        <v>277</v>
      </c>
      <c r="AL58">
        <v>0</v>
      </c>
      <c r="AN58">
        <v>56</v>
      </c>
      <c r="AO58">
        <v>0</v>
      </c>
      <c r="AP58">
        <f t="shared" si="1"/>
        <v>1</v>
      </c>
      <c r="AR58">
        <v>1</v>
      </c>
      <c r="AS58">
        <v>0</v>
      </c>
      <c r="AT58">
        <v>0</v>
      </c>
      <c r="AU58">
        <v>0</v>
      </c>
      <c r="AW58">
        <v>0</v>
      </c>
      <c r="AY58" t="str">
        <f t="shared" si="2"/>
        <v>4</v>
      </c>
      <c r="BA58" s="13" t="str">
        <f t="shared" si="19"/>
        <v>('GW1500-XS', 4, 295, 230, 113, 5.8, 60, -25, 'CONVECÇÃO NATURAL', 'IP65', 'TRANSFORMERLESS', 1500, 1650, 220, 6.5, 7.2, 50, 1, 1, 0),</v>
      </c>
      <c r="BB58" t="str">
        <f t="shared" si="4"/>
        <v xml:space="preserve">(56, 0, 1, 500, 50, 450, 50, -1, -1, 360, 15.6, 12.5), </v>
      </c>
      <c r="BC58" t="str">
        <f t="shared" si="5"/>
        <v>(56, 'ON-GRID'),</v>
      </c>
      <c r="BD58" t="str">
        <f t="shared" si="6"/>
        <v/>
      </c>
      <c r="BE58" t="str">
        <f t="shared" si="7"/>
        <v/>
      </c>
      <c r="BF58" t="str">
        <f t="shared" si="8"/>
        <v/>
      </c>
      <c r="BG58" t="str">
        <f t="shared" si="13"/>
        <v>(56, 'WIFI'),</v>
      </c>
      <c r="BH58" t="str">
        <f t="shared" si="14"/>
        <v>(56, 'RS485'),</v>
      </c>
      <c r="BI58" t="str">
        <f t="shared" si="15"/>
        <v>(56, 'DISPLAY'),</v>
      </c>
      <c r="BJ58" t="str">
        <f t="shared" si="16"/>
        <v>(56, 'LED'),</v>
      </c>
      <c r="BK58" t="str">
        <f t="shared" si="17"/>
        <v/>
      </c>
      <c r="BL58" t="str">
        <f t="shared" si="18"/>
        <v/>
      </c>
      <c r="BM58" t="str">
        <f t="shared" si="10"/>
        <v/>
      </c>
      <c r="BN58" t="str">
        <f t="shared" si="11"/>
        <v/>
      </c>
      <c r="BO58" t="str">
        <f t="shared" si="12"/>
        <v>(56, 'SINGLE_PHASE'),</v>
      </c>
    </row>
    <row r="59" spans="1:67">
      <c r="A59" s="2" t="s">
        <v>335</v>
      </c>
      <c r="B59" s="3" t="s">
        <v>332</v>
      </c>
      <c r="C59" s="3">
        <v>113</v>
      </c>
      <c r="D59" s="3">
        <v>295</v>
      </c>
      <c r="E59" s="3">
        <v>230</v>
      </c>
      <c r="F59" s="3">
        <v>5.8</v>
      </c>
      <c r="G59" s="3" t="s">
        <v>275</v>
      </c>
      <c r="H59" s="3">
        <v>1</v>
      </c>
      <c r="I59" s="3">
        <v>1</v>
      </c>
      <c r="J59" s="3">
        <v>1</v>
      </c>
      <c r="K59" s="3">
        <v>1</v>
      </c>
      <c r="L59" s="3">
        <v>0</v>
      </c>
      <c r="M59" s="3">
        <v>2000</v>
      </c>
      <c r="N59" s="3">
        <v>2200</v>
      </c>
      <c r="O59" s="3">
        <v>1</v>
      </c>
      <c r="P59" s="3">
        <v>1</v>
      </c>
      <c r="Q59" s="3">
        <v>500</v>
      </c>
      <c r="R59" s="3">
        <v>50</v>
      </c>
      <c r="S59" s="3">
        <v>450</v>
      </c>
      <c r="T59" s="3">
        <v>50</v>
      </c>
      <c r="U59" s="3">
        <v>-1</v>
      </c>
      <c r="V59" s="3">
        <v>-1</v>
      </c>
      <c r="W59" s="3">
        <v>360</v>
      </c>
      <c r="X59" s="3">
        <v>15.6</v>
      </c>
      <c r="Y59" s="3">
        <v>12.5</v>
      </c>
      <c r="Z59" s="3">
        <v>1</v>
      </c>
      <c r="AA59" s="3">
        <v>0</v>
      </c>
      <c r="AB59" s="3">
        <v>0</v>
      </c>
      <c r="AC59" s="3">
        <v>220</v>
      </c>
      <c r="AE59" s="4">
        <v>9.6</v>
      </c>
      <c r="AF59">
        <v>8.6999999999999993</v>
      </c>
      <c r="AG59">
        <v>50</v>
      </c>
      <c r="AH59">
        <v>60</v>
      </c>
      <c r="AI59">
        <v>-25</v>
      </c>
      <c r="AJ59" t="s">
        <v>276</v>
      </c>
      <c r="AK59" t="s">
        <v>277</v>
      </c>
      <c r="AL59">
        <v>0</v>
      </c>
      <c r="AN59">
        <v>57</v>
      </c>
      <c r="AO59">
        <v>0</v>
      </c>
      <c r="AP59">
        <f t="shared" si="1"/>
        <v>1</v>
      </c>
      <c r="AR59">
        <v>1</v>
      </c>
      <c r="AS59">
        <v>0</v>
      </c>
      <c r="AT59">
        <v>0</v>
      </c>
      <c r="AU59">
        <v>0</v>
      </c>
      <c r="AW59">
        <v>0</v>
      </c>
      <c r="AY59" t="str">
        <f t="shared" si="2"/>
        <v>4</v>
      </c>
      <c r="BA59" s="13" t="str">
        <f t="shared" si="19"/>
        <v>('GW2000-XS', 4, 295, 230, 113, 5.8, 60, -25, 'CONVECÇÃO NATURAL', 'IP65', 'TRANSFORMERLESS', 2000, 2200, 220, 8.7, 9.6, 50, 1, 1, 0),</v>
      </c>
      <c r="BB59" t="str">
        <f t="shared" si="4"/>
        <v xml:space="preserve">(57, 0, 1, 500, 50, 450, 50, -1, -1, 360, 15.6, 12.5), </v>
      </c>
      <c r="BC59" t="str">
        <f t="shared" si="5"/>
        <v>(57, 'ON-GRID'),</v>
      </c>
      <c r="BD59" t="str">
        <f t="shared" si="6"/>
        <v/>
      </c>
      <c r="BE59" t="str">
        <f t="shared" si="7"/>
        <v/>
      </c>
      <c r="BF59" t="str">
        <f t="shared" si="8"/>
        <v/>
      </c>
      <c r="BG59" t="str">
        <f t="shared" si="13"/>
        <v>(57, 'WIFI'),</v>
      </c>
      <c r="BH59" t="str">
        <f t="shared" si="14"/>
        <v>(57, 'RS485'),</v>
      </c>
      <c r="BI59" t="str">
        <f t="shared" si="15"/>
        <v>(57, 'DISPLAY'),</v>
      </c>
      <c r="BJ59" t="str">
        <f t="shared" si="16"/>
        <v>(57, 'LED'),</v>
      </c>
      <c r="BK59" t="str">
        <f t="shared" si="17"/>
        <v/>
      </c>
      <c r="BL59" t="str">
        <f t="shared" si="18"/>
        <v/>
      </c>
      <c r="BM59" t="str">
        <f t="shared" si="10"/>
        <v/>
      </c>
      <c r="BN59" t="str">
        <f t="shared" si="11"/>
        <v/>
      </c>
      <c r="BO59" t="str">
        <f t="shared" si="12"/>
        <v>(57, 'SINGLE_PHASE'),</v>
      </c>
    </row>
    <row r="60" spans="1:67">
      <c r="A60" s="2" t="s">
        <v>336</v>
      </c>
      <c r="B60" s="3" t="s">
        <v>332</v>
      </c>
      <c r="C60" s="3">
        <v>113</v>
      </c>
      <c r="D60" s="3">
        <v>295</v>
      </c>
      <c r="E60" s="3">
        <v>230</v>
      </c>
      <c r="F60" s="3">
        <v>5.8</v>
      </c>
      <c r="G60" s="3" t="s">
        <v>275</v>
      </c>
      <c r="H60" s="3">
        <v>1</v>
      </c>
      <c r="I60" s="3">
        <v>1</v>
      </c>
      <c r="J60" s="3">
        <v>1</v>
      </c>
      <c r="K60" s="3">
        <v>1</v>
      </c>
      <c r="L60" s="3">
        <v>0</v>
      </c>
      <c r="M60" s="3">
        <v>2500</v>
      </c>
      <c r="N60" s="3">
        <v>2750</v>
      </c>
      <c r="O60" s="3">
        <v>1</v>
      </c>
      <c r="P60" s="3">
        <v>1</v>
      </c>
      <c r="Q60" s="3">
        <v>500</v>
      </c>
      <c r="R60" s="3">
        <v>50</v>
      </c>
      <c r="S60" s="3">
        <v>450</v>
      </c>
      <c r="T60" s="3">
        <v>50</v>
      </c>
      <c r="U60" s="3">
        <v>-1</v>
      </c>
      <c r="V60" s="3">
        <v>-1</v>
      </c>
      <c r="W60" s="3">
        <v>360</v>
      </c>
      <c r="X60" s="3">
        <v>15.6</v>
      </c>
      <c r="Y60" s="3">
        <v>12.5</v>
      </c>
      <c r="Z60" s="3">
        <v>1</v>
      </c>
      <c r="AA60" s="3">
        <v>0</v>
      </c>
      <c r="AB60" s="3">
        <v>0</v>
      </c>
      <c r="AC60" s="3">
        <v>220</v>
      </c>
      <c r="AE60" s="4">
        <v>12</v>
      </c>
      <c r="AF60">
        <v>10.9</v>
      </c>
      <c r="AG60">
        <v>50</v>
      </c>
      <c r="AH60">
        <v>60</v>
      </c>
      <c r="AI60">
        <v>-25</v>
      </c>
      <c r="AJ60" t="s">
        <v>276</v>
      </c>
      <c r="AK60" t="s">
        <v>277</v>
      </c>
      <c r="AL60">
        <v>0</v>
      </c>
      <c r="AN60">
        <v>58</v>
      </c>
      <c r="AO60">
        <v>0</v>
      </c>
      <c r="AP60">
        <f t="shared" si="1"/>
        <v>1</v>
      </c>
      <c r="AR60">
        <v>1</v>
      </c>
      <c r="AS60">
        <v>0</v>
      </c>
      <c r="AT60">
        <v>0</v>
      </c>
      <c r="AU60">
        <v>0</v>
      </c>
      <c r="AW60">
        <v>0</v>
      </c>
      <c r="AY60" t="str">
        <f t="shared" si="2"/>
        <v>4</v>
      </c>
      <c r="BA60" s="13" t="str">
        <f t="shared" si="19"/>
        <v>('GW2500-XS', 4, 295, 230, 113, 5.8, 60, -25, 'CONVECÇÃO NATURAL', 'IP65', 'TRANSFORMERLESS', 2500, 2750, 220, 10.9, 12, 50, 1, 1, 0),</v>
      </c>
      <c r="BB60" t="str">
        <f t="shared" si="4"/>
        <v xml:space="preserve">(58, 0, 1, 500, 50, 450, 50, -1, -1, 360, 15.6, 12.5), </v>
      </c>
      <c r="BC60" t="str">
        <f t="shared" si="5"/>
        <v>(58, 'ON-GRID'),</v>
      </c>
      <c r="BD60" t="str">
        <f t="shared" si="6"/>
        <v/>
      </c>
      <c r="BE60" t="str">
        <f t="shared" si="7"/>
        <v/>
      </c>
      <c r="BF60" t="str">
        <f t="shared" si="8"/>
        <v/>
      </c>
      <c r="BG60" t="str">
        <f t="shared" si="13"/>
        <v>(58, 'WIFI'),</v>
      </c>
      <c r="BH60" t="str">
        <f t="shared" si="14"/>
        <v>(58, 'RS485'),</v>
      </c>
      <c r="BI60" t="str">
        <f t="shared" si="15"/>
        <v>(58, 'DISPLAY'),</v>
      </c>
      <c r="BJ60" t="str">
        <f t="shared" si="16"/>
        <v>(58, 'LED'),</v>
      </c>
      <c r="BK60" t="str">
        <f t="shared" si="17"/>
        <v/>
      </c>
      <c r="BL60" t="str">
        <f t="shared" si="18"/>
        <v/>
      </c>
      <c r="BM60" t="str">
        <f t="shared" si="10"/>
        <v/>
      </c>
      <c r="BN60" t="str">
        <f t="shared" si="11"/>
        <v/>
      </c>
      <c r="BO60" t="str">
        <f t="shared" si="12"/>
        <v>(58, 'SINGLE_PHASE'),</v>
      </c>
    </row>
    <row r="61" spans="1:67">
      <c r="A61" s="2" t="s">
        <v>337</v>
      </c>
      <c r="B61" s="3" t="s">
        <v>332</v>
      </c>
      <c r="C61" s="3">
        <v>113</v>
      </c>
      <c r="D61" s="3">
        <v>295</v>
      </c>
      <c r="E61" s="3">
        <v>230</v>
      </c>
      <c r="F61" s="3">
        <v>5.8</v>
      </c>
      <c r="G61" s="3" t="s">
        <v>275</v>
      </c>
      <c r="H61" s="3">
        <v>1</v>
      </c>
      <c r="I61" s="3">
        <v>1</v>
      </c>
      <c r="J61" s="3">
        <v>1</v>
      </c>
      <c r="K61" s="3">
        <v>1</v>
      </c>
      <c r="L61" s="3">
        <v>0</v>
      </c>
      <c r="M61" s="3">
        <v>3000</v>
      </c>
      <c r="N61" s="3">
        <v>3300</v>
      </c>
      <c r="O61" s="3">
        <v>1</v>
      </c>
      <c r="P61" s="3">
        <v>1</v>
      </c>
      <c r="Q61" s="3">
        <v>500</v>
      </c>
      <c r="R61" s="3">
        <v>50</v>
      </c>
      <c r="S61" s="3">
        <v>450</v>
      </c>
      <c r="T61" s="3">
        <v>50</v>
      </c>
      <c r="U61" s="3">
        <v>-1</v>
      </c>
      <c r="V61" s="3">
        <v>-1</v>
      </c>
      <c r="W61" s="3">
        <v>360</v>
      </c>
      <c r="X61" s="3">
        <v>15.6</v>
      </c>
      <c r="Y61" s="3">
        <v>12.5</v>
      </c>
      <c r="Z61" s="3">
        <v>1</v>
      </c>
      <c r="AA61" s="3">
        <v>0</v>
      </c>
      <c r="AB61" s="3">
        <v>0</v>
      </c>
      <c r="AC61" s="3">
        <v>220</v>
      </c>
      <c r="AE61" s="4">
        <v>14.3</v>
      </c>
      <c r="AF61">
        <v>13</v>
      </c>
      <c r="AG61">
        <v>50</v>
      </c>
      <c r="AH61">
        <v>60</v>
      </c>
      <c r="AI61">
        <v>-25</v>
      </c>
      <c r="AJ61" t="s">
        <v>276</v>
      </c>
      <c r="AK61" t="s">
        <v>277</v>
      </c>
      <c r="AL61">
        <v>0</v>
      </c>
      <c r="AN61">
        <v>59</v>
      </c>
      <c r="AO61">
        <v>0</v>
      </c>
      <c r="AP61">
        <f t="shared" si="1"/>
        <v>1</v>
      </c>
      <c r="AR61">
        <v>1</v>
      </c>
      <c r="AS61">
        <v>0</v>
      </c>
      <c r="AT61">
        <v>0</v>
      </c>
      <c r="AU61">
        <v>0</v>
      </c>
      <c r="AW61">
        <v>0</v>
      </c>
      <c r="AY61" t="str">
        <f t="shared" si="2"/>
        <v>4</v>
      </c>
      <c r="BA61" s="13" t="str">
        <f t="shared" si="19"/>
        <v>('GW3000-XS', 4, 295, 230, 113, 5.8, 60, -25, 'CONVECÇÃO NATURAL', 'IP65', 'TRANSFORMERLESS', 3000, 3300, 220, 13, 14.3, 50, 1, 1, 0),</v>
      </c>
      <c r="BB61" t="str">
        <f t="shared" si="4"/>
        <v xml:space="preserve">(59, 0, 1, 500, 50, 450, 50, -1, -1, 360, 15.6, 12.5), </v>
      </c>
      <c r="BC61" t="str">
        <f t="shared" si="5"/>
        <v>(59, 'ON-GRID'),</v>
      </c>
      <c r="BD61" t="str">
        <f t="shared" si="6"/>
        <v/>
      </c>
      <c r="BE61" t="str">
        <f t="shared" si="7"/>
        <v/>
      </c>
      <c r="BF61" t="str">
        <f t="shared" si="8"/>
        <v/>
      </c>
      <c r="BG61" t="str">
        <f t="shared" si="13"/>
        <v>(59, 'WIFI'),</v>
      </c>
      <c r="BH61" t="str">
        <f t="shared" si="14"/>
        <v>(59, 'RS485'),</v>
      </c>
      <c r="BI61" t="str">
        <f t="shared" si="15"/>
        <v>(59, 'DISPLAY'),</v>
      </c>
      <c r="BJ61" t="str">
        <f t="shared" si="16"/>
        <v>(59, 'LED'),</v>
      </c>
      <c r="BK61" t="str">
        <f t="shared" si="17"/>
        <v/>
      </c>
      <c r="BL61" t="str">
        <f t="shared" si="18"/>
        <v/>
      </c>
      <c r="BM61" t="str">
        <f t="shared" si="10"/>
        <v/>
      </c>
      <c r="BN61" t="str">
        <f t="shared" si="11"/>
        <v/>
      </c>
      <c r="BO61" t="str">
        <f t="shared" si="12"/>
        <v>(59, 'SINGLE_PHASE'),</v>
      </c>
    </row>
    <row r="62" spans="1:67">
      <c r="A62" s="2" t="s">
        <v>338</v>
      </c>
      <c r="B62" s="3" t="s">
        <v>332</v>
      </c>
      <c r="C62" s="3">
        <v>113</v>
      </c>
      <c r="D62" s="3">
        <v>295</v>
      </c>
      <c r="E62" s="3">
        <v>230</v>
      </c>
      <c r="F62" s="3">
        <v>5.8</v>
      </c>
      <c r="G62" s="3" t="s">
        <v>275</v>
      </c>
      <c r="H62" s="3">
        <v>1</v>
      </c>
      <c r="I62" s="3">
        <v>1</v>
      </c>
      <c r="J62" s="3">
        <v>1</v>
      </c>
      <c r="K62" s="3">
        <v>1</v>
      </c>
      <c r="L62" s="3">
        <v>0</v>
      </c>
      <c r="M62" s="3">
        <v>3300</v>
      </c>
      <c r="N62" s="3">
        <v>3300</v>
      </c>
      <c r="O62" s="3">
        <v>1</v>
      </c>
      <c r="P62" s="3">
        <v>1</v>
      </c>
      <c r="Q62" s="3">
        <v>500</v>
      </c>
      <c r="R62" s="3">
        <v>50</v>
      </c>
      <c r="S62" s="3">
        <v>450</v>
      </c>
      <c r="T62" s="3">
        <v>50</v>
      </c>
      <c r="U62" s="3">
        <v>-1</v>
      </c>
      <c r="V62" s="3">
        <v>-1</v>
      </c>
      <c r="W62" s="3">
        <v>360</v>
      </c>
      <c r="X62" s="3">
        <v>15.6</v>
      </c>
      <c r="Y62" s="3">
        <v>12.5</v>
      </c>
      <c r="Z62" s="3">
        <v>1</v>
      </c>
      <c r="AA62" s="3">
        <v>0</v>
      </c>
      <c r="AB62" s="3">
        <v>0</v>
      </c>
      <c r="AC62" s="3">
        <v>220</v>
      </c>
      <c r="AE62" s="4">
        <v>14.3</v>
      </c>
      <c r="AF62">
        <v>14.3</v>
      </c>
      <c r="AG62">
        <v>50</v>
      </c>
      <c r="AH62">
        <v>60</v>
      </c>
      <c r="AI62">
        <v>-25</v>
      </c>
      <c r="AJ62" t="s">
        <v>276</v>
      </c>
      <c r="AK62" t="s">
        <v>277</v>
      </c>
      <c r="AL62">
        <v>0</v>
      </c>
      <c r="AN62">
        <v>60</v>
      </c>
      <c r="AO62">
        <v>0</v>
      </c>
      <c r="AP62">
        <f t="shared" si="1"/>
        <v>1</v>
      </c>
      <c r="AR62">
        <v>1</v>
      </c>
      <c r="AS62">
        <v>0</v>
      </c>
      <c r="AT62">
        <v>0</v>
      </c>
      <c r="AU62">
        <v>0</v>
      </c>
      <c r="AW62">
        <v>0</v>
      </c>
      <c r="AY62" t="str">
        <f t="shared" si="2"/>
        <v>4</v>
      </c>
      <c r="BA62" s="13" t="str">
        <f t="shared" si="19"/>
        <v>('GW3300-XS', 4, 295, 230, 113, 5.8, 60, -25, 'CONVECÇÃO NATURAL', 'IP65', 'TRANSFORMERLESS', 3300, 3300, 220, 14.3, 14.3, 50, 1, 1, 0),</v>
      </c>
      <c r="BB62" t="str">
        <f t="shared" si="4"/>
        <v xml:space="preserve">(60, 0, 1, 500, 50, 450, 50, -1, -1, 360, 15.6, 12.5), </v>
      </c>
      <c r="BC62" t="str">
        <f t="shared" si="5"/>
        <v>(60, 'ON-GRID'),</v>
      </c>
      <c r="BD62" t="str">
        <f t="shared" si="6"/>
        <v/>
      </c>
      <c r="BE62" t="str">
        <f t="shared" si="7"/>
        <v/>
      </c>
      <c r="BF62" t="str">
        <f t="shared" si="8"/>
        <v/>
      </c>
      <c r="BG62" t="str">
        <f t="shared" si="13"/>
        <v>(60, 'WIFI'),</v>
      </c>
      <c r="BH62" t="str">
        <f t="shared" si="14"/>
        <v>(60, 'RS485'),</v>
      </c>
      <c r="BI62" t="str">
        <f t="shared" si="15"/>
        <v>(60, 'DISPLAY'),</v>
      </c>
      <c r="BJ62" t="str">
        <f t="shared" si="16"/>
        <v>(60, 'LED'),</v>
      </c>
      <c r="BK62" t="str">
        <f t="shared" si="17"/>
        <v/>
      </c>
      <c r="BL62" t="str">
        <f t="shared" si="18"/>
        <v/>
      </c>
      <c r="BM62" t="str">
        <f t="shared" si="10"/>
        <v/>
      </c>
      <c r="BN62" t="str">
        <f t="shared" si="11"/>
        <v/>
      </c>
      <c r="BO62" t="str">
        <f t="shared" si="12"/>
        <v>(60, 'SINGLE_PHASE'),</v>
      </c>
    </row>
    <row r="63" spans="1:67">
      <c r="A63" s="2" t="s">
        <v>339</v>
      </c>
      <c r="B63" s="3" t="s">
        <v>332</v>
      </c>
      <c r="C63" s="3">
        <v>113</v>
      </c>
      <c r="D63" s="3">
        <v>295</v>
      </c>
      <c r="E63" s="3">
        <v>230</v>
      </c>
      <c r="F63" s="3">
        <v>5.8</v>
      </c>
      <c r="G63" s="3" t="s">
        <v>275</v>
      </c>
      <c r="H63" s="3">
        <v>1</v>
      </c>
      <c r="I63" s="3">
        <v>1</v>
      </c>
      <c r="J63" s="3">
        <v>1</v>
      </c>
      <c r="K63" s="3">
        <v>1</v>
      </c>
      <c r="L63" s="3">
        <v>0</v>
      </c>
      <c r="M63" s="3">
        <v>2500</v>
      </c>
      <c r="N63" s="3">
        <v>2750</v>
      </c>
      <c r="O63" s="3">
        <v>1</v>
      </c>
      <c r="P63" s="3">
        <v>1</v>
      </c>
      <c r="Q63" s="3">
        <v>600</v>
      </c>
      <c r="R63" s="3">
        <v>50</v>
      </c>
      <c r="S63" s="3">
        <v>550</v>
      </c>
      <c r="T63" s="3">
        <v>50</v>
      </c>
      <c r="U63" s="3">
        <v>-1</v>
      </c>
      <c r="V63" s="3">
        <v>-1</v>
      </c>
      <c r="W63" s="3">
        <v>360</v>
      </c>
      <c r="X63" s="3">
        <v>16.3</v>
      </c>
      <c r="Y63" s="3">
        <v>13</v>
      </c>
      <c r="Z63" s="3">
        <v>1</v>
      </c>
      <c r="AA63" s="3">
        <v>0</v>
      </c>
      <c r="AB63" s="3">
        <v>0</v>
      </c>
      <c r="AC63" s="3">
        <v>220</v>
      </c>
      <c r="AE63" s="4">
        <v>12</v>
      </c>
      <c r="AF63">
        <v>11.4</v>
      </c>
      <c r="AG63">
        <v>50</v>
      </c>
      <c r="AH63">
        <v>60</v>
      </c>
      <c r="AI63">
        <v>-25</v>
      </c>
      <c r="AJ63" t="s">
        <v>276</v>
      </c>
      <c r="AK63" t="s">
        <v>277</v>
      </c>
      <c r="AL63">
        <v>0</v>
      </c>
      <c r="AN63">
        <v>61</v>
      </c>
      <c r="AO63">
        <v>0</v>
      </c>
      <c r="AP63">
        <f t="shared" si="1"/>
        <v>1</v>
      </c>
      <c r="AR63">
        <v>1</v>
      </c>
      <c r="AS63">
        <v>0</v>
      </c>
      <c r="AT63">
        <v>0</v>
      </c>
      <c r="AU63">
        <v>0</v>
      </c>
      <c r="AW63">
        <v>0</v>
      </c>
      <c r="AY63" t="str">
        <f t="shared" si="2"/>
        <v>4</v>
      </c>
      <c r="BA63" s="13" t="str">
        <f t="shared" si="19"/>
        <v>('GW2500N-XS', 4, 295, 230, 113, 5.8, 60, -25, 'CONVECÇÃO NATURAL', 'IP65', 'TRANSFORMERLESS', 2500, 2750, 220, 11.4, 12, 50, 1, 1, 0),</v>
      </c>
      <c r="BB63" t="str">
        <f t="shared" si="4"/>
        <v xml:space="preserve">(61, 0, 1, 600, 50, 550, 50, -1, -1, 360, 16.3, 13), </v>
      </c>
      <c r="BC63" t="str">
        <f t="shared" si="5"/>
        <v>(61, 'ON-GRID'),</v>
      </c>
      <c r="BD63" t="str">
        <f t="shared" si="6"/>
        <v/>
      </c>
      <c r="BE63" t="str">
        <f t="shared" si="7"/>
        <v/>
      </c>
      <c r="BF63" t="str">
        <f t="shared" si="8"/>
        <v/>
      </c>
      <c r="BG63" t="str">
        <f t="shared" si="13"/>
        <v>(61, 'WIFI'),</v>
      </c>
      <c r="BH63" t="str">
        <f t="shared" si="14"/>
        <v>(61, 'RS485'),</v>
      </c>
      <c r="BI63" t="str">
        <f t="shared" si="15"/>
        <v>(61, 'DISPLAY'),</v>
      </c>
      <c r="BJ63" t="str">
        <f t="shared" si="16"/>
        <v>(61, 'LED'),</v>
      </c>
      <c r="BK63" t="str">
        <f t="shared" si="17"/>
        <v/>
      </c>
      <c r="BL63" t="str">
        <f t="shared" si="18"/>
        <v/>
      </c>
      <c r="BM63" t="str">
        <f t="shared" si="10"/>
        <v/>
      </c>
      <c r="BN63" t="str">
        <f t="shared" si="11"/>
        <v/>
      </c>
      <c r="BO63" t="str">
        <f t="shared" si="12"/>
        <v>(61, 'SINGLE_PHASE'),</v>
      </c>
    </row>
    <row r="64" spans="1:67">
      <c r="A64" s="2" t="s">
        <v>340</v>
      </c>
      <c r="B64" s="3" t="s">
        <v>332</v>
      </c>
      <c r="C64" s="3">
        <v>113</v>
      </c>
      <c r="D64" s="3">
        <v>295</v>
      </c>
      <c r="E64" s="3">
        <v>230</v>
      </c>
      <c r="F64" s="3">
        <v>5.8</v>
      </c>
      <c r="G64" s="3" t="s">
        <v>275</v>
      </c>
      <c r="H64" s="3">
        <v>1</v>
      </c>
      <c r="I64" s="3">
        <v>1</v>
      </c>
      <c r="J64" s="3">
        <v>1</v>
      </c>
      <c r="K64" s="3">
        <v>1</v>
      </c>
      <c r="L64" s="3">
        <v>0</v>
      </c>
      <c r="M64" s="3">
        <v>3000</v>
      </c>
      <c r="N64" s="3">
        <v>3300</v>
      </c>
      <c r="O64" s="3">
        <v>1</v>
      </c>
      <c r="P64" s="3">
        <v>1</v>
      </c>
      <c r="Q64" s="3">
        <v>600</v>
      </c>
      <c r="R64" s="3">
        <v>50</v>
      </c>
      <c r="S64" s="3">
        <v>550</v>
      </c>
      <c r="T64" s="3">
        <v>50</v>
      </c>
      <c r="U64" s="3">
        <v>-1</v>
      </c>
      <c r="V64" s="3">
        <v>-1</v>
      </c>
      <c r="W64" s="3">
        <v>360</v>
      </c>
      <c r="X64" s="3">
        <v>16.3</v>
      </c>
      <c r="Y64" s="3">
        <v>13</v>
      </c>
      <c r="Z64" s="3">
        <v>1</v>
      </c>
      <c r="AA64" s="3">
        <v>0</v>
      </c>
      <c r="AB64" s="3">
        <v>0</v>
      </c>
      <c r="AC64" s="3">
        <v>220</v>
      </c>
      <c r="AE64" s="4">
        <v>14.3</v>
      </c>
      <c r="AF64">
        <v>13.6</v>
      </c>
      <c r="AG64">
        <v>50</v>
      </c>
      <c r="AH64">
        <v>60</v>
      </c>
      <c r="AI64">
        <v>-25</v>
      </c>
      <c r="AJ64" t="s">
        <v>276</v>
      </c>
      <c r="AK64" t="s">
        <v>277</v>
      </c>
      <c r="AL64">
        <v>0</v>
      </c>
      <c r="AN64">
        <v>62</v>
      </c>
      <c r="AO64">
        <v>0</v>
      </c>
      <c r="AP64">
        <f t="shared" si="1"/>
        <v>1</v>
      </c>
      <c r="AR64">
        <v>1</v>
      </c>
      <c r="AS64">
        <v>0</v>
      </c>
      <c r="AT64">
        <v>0</v>
      </c>
      <c r="AU64">
        <v>0</v>
      </c>
      <c r="AW64">
        <v>0</v>
      </c>
      <c r="AY64" t="str">
        <f t="shared" si="2"/>
        <v>4</v>
      </c>
      <c r="BA64" s="13" t="str">
        <f t="shared" si="19"/>
        <v>('GW3000N-XS', 4, 295, 230, 113, 5.8, 60, -25, 'CONVECÇÃO NATURAL', 'IP65', 'TRANSFORMERLESS', 3000, 3300, 220, 13.6, 14.3, 50, 1, 1, 0),</v>
      </c>
      <c r="BB64" t="str">
        <f t="shared" si="4"/>
        <v xml:space="preserve">(62, 0, 1, 600, 50, 550, 50, -1, -1, 360, 16.3, 13), </v>
      </c>
      <c r="BC64" t="str">
        <f t="shared" si="5"/>
        <v>(62, 'ON-GRID'),</v>
      </c>
      <c r="BD64" t="str">
        <f t="shared" si="6"/>
        <v/>
      </c>
      <c r="BE64" t="str">
        <f t="shared" si="7"/>
        <v/>
      </c>
      <c r="BF64" t="str">
        <f t="shared" si="8"/>
        <v/>
      </c>
      <c r="BG64" t="str">
        <f t="shared" si="13"/>
        <v>(62, 'WIFI'),</v>
      </c>
      <c r="BH64" t="str">
        <f t="shared" si="14"/>
        <v>(62, 'RS485'),</v>
      </c>
      <c r="BI64" t="str">
        <f t="shared" si="15"/>
        <v>(62, 'DISPLAY'),</v>
      </c>
      <c r="BJ64" t="str">
        <f t="shared" si="16"/>
        <v>(62, 'LED'),</v>
      </c>
      <c r="BK64" t="str">
        <f t="shared" si="17"/>
        <v/>
      </c>
      <c r="BL64" t="str">
        <f t="shared" si="18"/>
        <v/>
      </c>
      <c r="BM64" t="str">
        <f t="shared" si="10"/>
        <v/>
      </c>
      <c r="BN64" t="str">
        <f t="shared" si="11"/>
        <v/>
      </c>
      <c r="BO64" t="str">
        <f t="shared" si="12"/>
        <v>(62, 'SINGLE_PHASE'),</v>
      </c>
    </row>
    <row r="65" spans="1:67">
      <c r="A65" s="2" t="s">
        <v>341</v>
      </c>
      <c r="B65" s="3" t="s">
        <v>332</v>
      </c>
      <c r="C65" s="3">
        <v>175</v>
      </c>
      <c r="D65" s="3">
        <v>415</v>
      </c>
      <c r="E65" s="3">
        <v>511</v>
      </c>
      <c r="F65" s="3">
        <v>22.5</v>
      </c>
      <c r="G65" s="3" t="s">
        <v>275</v>
      </c>
      <c r="H65" s="3">
        <v>1</v>
      </c>
      <c r="I65" s="3">
        <v>1</v>
      </c>
      <c r="J65" s="3">
        <v>1</v>
      </c>
      <c r="K65" s="3">
        <v>1</v>
      </c>
      <c r="L65" s="3">
        <v>0</v>
      </c>
      <c r="M65" s="3">
        <v>5000</v>
      </c>
      <c r="N65" s="3">
        <v>5500</v>
      </c>
      <c r="O65" s="3">
        <v>1</v>
      </c>
      <c r="P65" s="3">
        <v>3</v>
      </c>
      <c r="Q65" s="3">
        <v>600</v>
      </c>
      <c r="R65" s="3">
        <v>120</v>
      </c>
      <c r="S65" s="3">
        <v>550</v>
      </c>
      <c r="T65" s="3">
        <v>80</v>
      </c>
      <c r="U65" s="3">
        <v>-1</v>
      </c>
      <c r="V65" s="3">
        <v>-1</v>
      </c>
      <c r="W65" s="3">
        <v>360</v>
      </c>
      <c r="X65" s="3">
        <v>15</v>
      </c>
      <c r="Y65" s="3">
        <v>12.5</v>
      </c>
      <c r="Z65" s="3">
        <v>1</v>
      </c>
      <c r="AA65" s="3">
        <v>0</v>
      </c>
      <c r="AB65" s="3">
        <v>0</v>
      </c>
      <c r="AC65" s="3">
        <v>220</v>
      </c>
      <c r="AE65" s="4">
        <v>25</v>
      </c>
      <c r="AF65" s="4">
        <v>25</v>
      </c>
      <c r="AG65">
        <v>50</v>
      </c>
      <c r="AH65">
        <v>60</v>
      </c>
      <c r="AI65">
        <v>-25</v>
      </c>
      <c r="AJ65" t="s">
        <v>276</v>
      </c>
      <c r="AK65" t="s">
        <v>277</v>
      </c>
      <c r="AL65">
        <v>0</v>
      </c>
      <c r="AN65">
        <v>63</v>
      </c>
      <c r="AO65">
        <v>0</v>
      </c>
      <c r="AP65">
        <f t="shared" si="1"/>
        <v>3</v>
      </c>
      <c r="AR65">
        <v>1</v>
      </c>
      <c r="AS65">
        <v>0</v>
      </c>
      <c r="AT65">
        <v>0</v>
      </c>
      <c r="AU65">
        <v>0</v>
      </c>
      <c r="AW65">
        <v>0</v>
      </c>
      <c r="AY65" t="str">
        <f t="shared" si="2"/>
        <v>4</v>
      </c>
      <c r="BA65" s="13" t="str">
        <f t="shared" si="19"/>
        <v>('GW5000-MS', 4, 415, 511, 175, 22.5, 60, -25, 'CONVECÇÃO NATURAL', 'IP65', 'TRANSFORMERLESS', 5000, 5500, 220, 25, 25, 50, 3, 3, 0),</v>
      </c>
      <c r="BB65" t="str">
        <f t="shared" si="4"/>
        <v xml:space="preserve">(63, 0, 1, 600, 120, 550, 80, -1, -1, 360, 15, 12.5), </v>
      </c>
      <c r="BC65" t="str">
        <f t="shared" si="5"/>
        <v>(63, 'ON-GRID'),</v>
      </c>
      <c r="BD65" t="str">
        <f t="shared" si="6"/>
        <v/>
      </c>
      <c r="BE65" t="str">
        <f t="shared" si="7"/>
        <v/>
      </c>
      <c r="BF65" t="str">
        <f t="shared" si="8"/>
        <v/>
      </c>
      <c r="BG65" t="str">
        <f t="shared" si="13"/>
        <v>(63, 'WIFI'),</v>
      </c>
      <c r="BH65" t="str">
        <f t="shared" si="14"/>
        <v>(63, 'RS485'),</v>
      </c>
      <c r="BI65" t="str">
        <f t="shared" si="15"/>
        <v>(63, 'DISPLAY'),</v>
      </c>
      <c r="BJ65" t="str">
        <f t="shared" si="16"/>
        <v>(63, 'LED'),</v>
      </c>
      <c r="BK65" t="str">
        <f t="shared" si="17"/>
        <v/>
      </c>
      <c r="BL65" t="str">
        <f t="shared" si="18"/>
        <v/>
      </c>
      <c r="BM65" t="str">
        <f t="shared" si="10"/>
        <v/>
      </c>
      <c r="BN65" t="str">
        <f t="shared" si="11"/>
        <v/>
      </c>
      <c r="BO65" t="str">
        <f t="shared" si="12"/>
        <v>(63, 'SINGLE_PHASE'),</v>
      </c>
    </row>
    <row r="66" spans="1:67">
      <c r="A66" s="2" t="s">
        <v>342</v>
      </c>
      <c r="B66" s="3" t="s">
        <v>332</v>
      </c>
      <c r="C66" s="3">
        <v>175</v>
      </c>
      <c r="D66" s="3">
        <v>415</v>
      </c>
      <c r="E66" s="3">
        <v>511</v>
      </c>
      <c r="F66" s="3">
        <v>22.5</v>
      </c>
      <c r="G66" s="3" t="s">
        <v>275</v>
      </c>
      <c r="H66" s="3">
        <v>1</v>
      </c>
      <c r="I66" s="3">
        <v>1</v>
      </c>
      <c r="J66" s="3">
        <v>1</v>
      </c>
      <c r="K66" s="3">
        <v>1</v>
      </c>
      <c r="L66" s="3">
        <v>0</v>
      </c>
      <c r="M66" s="3">
        <v>6000</v>
      </c>
      <c r="N66" s="3">
        <v>6600</v>
      </c>
      <c r="O66" s="3">
        <v>1</v>
      </c>
      <c r="P66" s="3">
        <v>3</v>
      </c>
      <c r="Q66" s="3">
        <v>600</v>
      </c>
      <c r="R66" s="3">
        <v>120</v>
      </c>
      <c r="S66" s="3">
        <v>550</v>
      </c>
      <c r="T66" s="3">
        <v>80</v>
      </c>
      <c r="U66" s="3">
        <v>-1</v>
      </c>
      <c r="V66" s="3">
        <v>-1</v>
      </c>
      <c r="W66" s="3">
        <v>360</v>
      </c>
      <c r="X66" s="3">
        <v>15</v>
      </c>
      <c r="Y66" s="3">
        <v>12.5</v>
      </c>
      <c r="Z66" s="3">
        <v>1</v>
      </c>
      <c r="AA66" s="3">
        <v>0</v>
      </c>
      <c r="AB66" s="3">
        <v>0</v>
      </c>
      <c r="AC66" s="3">
        <v>220</v>
      </c>
      <c r="AE66" s="4">
        <v>30</v>
      </c>
      <c r="AF66" s="4">
        <v>30</v>
      </c>
      <c r="AG66">
        <v>50</v>
      </c>
      <c r="AH66">
        <v>60</v>
      </c>
      <c r="AI66">
        <v>-25</v>
      </c>
      <c r="AJ66" t="s">
        <v>276</v>
      </c>
      <c r="AK66" t="s">
        <v>277</v>
      </c>
      <c r="AL66">
        <v>0</v>
      </c>
      <c r="AN66">
        <v>64</v>
      </c>
      <c r="AO66">
        <v>0</v>
      </c>
      <c r="AP66">
        <f t="shared" si="1"/>
        <v>3</v>
      </c>
      <c r="AR66">
        <v>1</v>
      </c>
      <c r="AS66">
        <v>0</v>
      </c>
      <c r="AT66">
        <v>0</v>
      </c>
      <c r="AU66">
        <v>0</v>
      </c>
      <c r="AW66">
        <v>0</v>
      </c>
      <c r="AY66" t="str">
        <f t="shared" si="2"/>
        <v>4</v>
      </c>
      <c r="BA66" s="13" t="str">
        <f t="shared" si="19"/>
        <v>('GW6000-MS', 4, 415, 511, 175, 22.5, 60, -25, 'CONVECÇÃO NATURAL', 'IP65', 'TRANSFORMERLESS', 6000, 6600, 220, 30, 30, 50, 3, 3, 0),</v>
      </c>
      <c r="BB66" t="str">
        <f t="shared" si="4"/>
        <v xml:space="preserve">(64, 0, 1, 600, 120, 550, 80, -1, -1, 360, 15, 12.5), </v>
      </c>
      <c r="BC66" t="str">
        <f t="shared" si="5"/>
        <v>(64, 'ON-GRID'),</v>
      </c>
      <c r="BD66" t="str">
        <f t="shared" si="6"/>
        <v/>
      </c>
      <c r="BE66" t="str">
        <f t="shared" si="7"/>
        <v/>
      </c>
      <c r="BF66" t="str">
        <f t="shared" si="8"/>
        <v/>
      </c>
      <c r="BG66" t="str">
        <f t="shared" si="13"/>
        <v>(64, 'WIFI'),</v>
      </c>
      <c r="BH66" t="str">
        <f t="shared" si="14"/>
        <v>(64, 'RS485'),</v>
      </c>
      <c r="BI66" t="str">
        <f t="shared" si="15"/>
        <v>(64, 'DISPLAY'),</v>
      </c>
      <c r="BJ66" t="str">
        <f t="shared" si="16"/>
        <v>(64, 'LED'),</v>
      </c>
      <c r="BK66" t="str">
        <f t="shared" si="17"/>
        <v/>
      </c>
      <c r="BL66" t="str">
        <f t="shared" si="18"/>
        <v/>
      </c>
      <c r="BM66" t="str">
        <f t="shared" si="10"/>
        <v/>
      </c>
      <c r="BN66" t="str">
        <f t="shared" si="11"/>
        <v/>
      </c>
      <c r="BO66" t="str">
        <f t="shared" si="12"/>
        <v>(64, 'SINGLE_PHASE'),</v>
      </c>
    </row>
    <row r="67" spans="1:67">
      <c r="A67" s="2" t="s">
        <v>343</v>
      </c>
      <c r="B67" s="3" t="s">
        <v>332</v>
      </c>
      <c r="C67" s="3">
        <v>175</v>
      </c>
      <c r="D67" s="3">
        <v>415</v>
      </c>
      <c r="E67" s="3">
        <v>511</v>
      </c>
      <c r="F67" s="3">
        <v>22.5</v>
      </c>
      <c r="G67" s="3" t="s">
        <v>275</v>
      </c>
      <c r="H67" s="3">
        <v>1</v>
      </c>
      <c r="I67" s="3">
        <v>1</v>
      </c>
      <c r="J67" s="3">
        <v>1</v>
      </c>
      <c r="K67" s="3">
        <v>1</v>
      </c>
      <c r="L67" s="3">
        <v>0</v>
      </c>
      <c r="M67" s="3">
        <v>7000</v>
      </c>
      <c r="N67" s="3">
        <v>7700</v>
      </c>
      <c r="O67" s="3">
        <v>1</v>
      </c>
      <c r="P67" s="3">
        <v>3</v>
      </c>
      <c r="Q67" s="3">
        <v>600</v>
      </c>
      <c r="R67" s="3">
        <v>120</v>
      </c>
      <c r="S67" s="3">
        <v>550</v>
      </c>
      <c r="T67" s="3">
        <v>80</v>
      </c>
      <c r="U67" s="3">
        <v>-1</v>
      </c>
      <c r="V67" s="3">
        <v>-1</v>
      </c>
      <c r="W67" s="3">
        <v>360</v>
      </c>
      <c r="X67" s="3">
        <v>15</v>
      </c>
      <c r="Y67" s="3">
        <v>12.5</v>
      </c>
      <c r="Z67" s="3">
        <v>1</v>
      </c>
      <c r="AA67" s="3">
        <v>0</v>
      </c>
      <c r="AB67" s="3">
        <v>0</v>
      </c>
      <c r="AC67" s="3">
        <v>220</v>
      </c>
      <c r="AE67" s="4">
        <v>35</v>
      </c>
      <c r="AF67" s="4">
        <v>35</v>
      </c>
      <c r="AG67">
        <v>50</v>
      </c>
      <c r="AH67">
        <v>60</v>
      </c>
      <c r="AI67">
        <v>-25</v>
      </c>
      <c r="AJ67" t="s">
        <v>276</v>
      </c>
      <c r="AK67" t="s">
        <v>277</v>
      </c>
      <c r="AL67">
        <v>0</v>
      </c>
      <c r="AN67">
        <v>65</v>
      </c>
      <c r="AO67">
        <v>0</v>
      </c>
      <c r="AP67">
        <f t="shared" si="1"/>
        <v>3</v>
      </c>
      <c r="AR67">
        <v>1</v>
      </c>
      <c r="AS67">
        <v>0</v>
      </c>
      <c r="AT67">
        <v>0</v>
      </c>
      <c r="AU67">
        <v>0</v>
      </c>
      <c r="AW67">
        <v>0</v>
      </c>
      <c r="AY67" t="str">
        <f t="shared" si="2"/>
        <v>4</v>
      </c>
      <c r="BA67" s="13" t="str">
        <f t="shared" si="19"/>
        <v>('GW7000-MS', 4, 415, 511, 175, 22.5, 60, -25, 'CONVECÇÃO NATURAL', 'IP65', 'TRANSFORMERLESS', 7000, 7700, 220, 35, 35, 50, 3, 3, 0),</v>
      </c>
      <c r="BB67" t="str">
        <f t="shared" si="4"/>
        <v xml:space="preserve">(65, 0, 1, 600, 120, 550, 80, -1, -1, 360, 15, 12.5), </v>
      </c>
      <c r="BC67" t="str">
        <f t="shared" si="5"/>
        <v>(65, 'ON-GRID'),</v>
      </c>
      <c r="BD67" t="str">
        <f t="shared" si="6"/>
        <v/>
      </c>
      <c r="BE67" t="str">
        <f t="shared" si="7"/>
        <v/>
      </c>
      <c r="BF67" t="str">
        <f t="shared" si="8"/>
        <v/>
      </c>
      <c r="BG67" t="str">
        <f t="shared" si="13"/>
        <v>(65, 'WIFI'),</v>
      </c>
      <c r="BH67" t="str">
        <f t="shared" si="14"/>
        <v>(65, 'RS485'),</v>
      </c>
      <c r="BI67" t="str">
        <f t="shared" si="15"/>
        <v>(65, 'DISPLAY'),</v>
      </c>
      <c r="BJ67" t="str">
        <f t="shared" si="16"/>
        <v>(65, 'LED'),</v>
      </c>
      <c r="BK67" t="str">
        <f t="shared" si="17"/>
        <v/>
      </c>
      <c r="BL67" t="str">
        <f t="shared" si="18"/>
        <v/>
      </c>
      <c r="BM67" t="str">
        <f t="shared" si="10"/>
        <v/>
      </c>
      <c r="BN67" t="str">
        <f t="shared" si="11"/>
        <v/>
      </c>
      <c r="BO67" t="str">
        <f t="shared" si="12"/>
        <v>(65, 'SINGLE_PHASE'),</v>
      </c>
    </row>
    <row r="68" spans="1:67">
      <c r="A68" s="2" t="s">
        <v>344</v>
      </c>
      <c r="B68" s="3" t="s">
        <v>332</v>
      </c>
      <c r="C68" s="3">
        <v>175</v>
      </c>
      <c r="D68" s="3">
        <v>415</v>
      </c>
      <c r="E68" s="3">
        <v>511</v>
      </c>
      <c r="F68" s="3">
        <v>22.5</v>
      </c>
      <c r="G68" s="3" t="s">
        <v>275</v>
      </c>
      <c r="H68" s="3">
        <v>1</v>
      </c>
      <c r="I68" s="3">
        <v>1</v>
      </c>
      <c r="J68" s="3">
        <v>1</v>
      </c>
      <c r="K68" s="3">
        <v>1</v>
      </c>
      <c r="L68" s="3">
        <v>0</v>
      </c>
      <c r="M68" s="3">
        <v>8500</v>
      </c>
      <c r="N68" s="3">
        <v>9350</v>
      </c>
      <c r="O68" s="3">
        <v>1</v>
      </c>
      <c r="P68" s="3">
        <v>3</v>
      </c>
      <c r="Q68" s="3">
        <v>600</v>
      </c>
      <c r="R68" s="3">
        <v>120</v>
      </c>
      <c r="S68" s="3">
        <v>550</v>
      </c>
      <c r="T68" s="3">
        <v>80</v>
      </c>
      <c r="U68" s="3">
        <v>-1</v>
      </c>
      <c r="V68" s="3">
        <v>-1</v>
      </c>
      <c r="W68" s="3">
        <v>360</v>
      </c>
      <c r="X68" s="3">
        <v>15</v>
      </c>
      <c r="Y68" s="3">
        <v>12.5</v>
      </c>
      <c r="Z68" s="3">
        <v>1</v>
      </c>
      <c r="AA68" s="3">
        <v>0</v>
      </c>
      <c r="AB68" s="3">
        <v>0</v>
      </c>
      <c r="AC68" s="3">
        <v>220</v>
      </c>
      <c r="AE68" s="4">
        <v>42.5</v>
      </c>
      <c r="AF68" s="4">
        <v>42.5</v>
      </c>
      <c r="AG68">
        <v>50</v>
      </c>
      <c r="AH68">
        <v>60</v>
      </c>
      <c r="AI68">
        <v>-25</v>
      </c>
      <c r="AJ68" t="s">
        <v>276</v>
      </c>
      <c r="AK68" t="s">
        <v>277</v>
      </c>
      <c r="AL68">
        <v>0</v>
      </c>
      <c r="AN68">
        <v>66</v>
      </c>
      <c r="AO68">
        <v>0</v>
      </c>
      <c r="AP68">
        <f t="shared" ref="AP68:AP119" si="20">O68*P68</f>
        <v>3</v>
      </c>
      <c r="AR68">
        <v>1</v>
      </c>
      <c r="AS68">
        <v>0</v>
      </c>
      <c r="AT68">
        <v>0</v>
      </c>
      <c r="AU68">
        <v>0</v>
      </c>
      <c r="AW68">
        <v>0</v>
      </c>
      <c r="AY68" t="str">
        <f t="shared" ref="AY68:AY119" si="21">IF(B68="WEG","1",IF(B68="HUAWEI","2",IF(B68="FOX ESS","3",IF(B68="GOODWE","4",IF(B68="PHB","5",IF(B68="ASTRONERGY","6",IF(B68="BYD","7",IF(B68="HUASUN","8",IF(B68="JA SOLAR","9",IF(B68="JINKO","10",IF(B68="LONGI","11",IF(B68="RISEN","12",IF(B68="SUNOVA","13",IF(B68="TALESUN","14",IF(B68="TRINA SOLAR","15","NÃO CADASTRADO")))))))))))))))</f>
        <v>4</v>
      </c>
      <c r="BA68" s="13" t="str">
        <f t="shared" ref="BA68:BA99" si="22">_xlfn.CONCAT("('",A68,"', ",AY68,", ",SUBSTITUTE(D68,",","."),", ",SUBSTITUTE(E68,",","."),", ",SUBSTITUTE(C68,",","."),", ",SUBSTITUTE(F68,",","."),", ",AH68,", ",AI68,", '",G68,"', '",AJ68,"', '",AK68,"', ",M68,", ",N68,", ",AC68,", ",SUBSTITUTE(AF68,",","."),", ",SUBSTITUTE(AE68,",","."),", ",AG68,", ",P68,", ",AP68,", ",AL68,"),")</f>
        <v>('GW8500-MS', 4, 415, 511, 175, 22.5, 60, -25, 'CONVECÇÃO NATURAL', 'IP65', 'TRANSFORMERLESS', 8500, 9350, 220, 42.5, 42.5, 50, 3, 3, 0),</v>
      </c>
      <c r="BB68" t="str">
        <f t="shared" ref="BB68:BB119" si="23">_xlfn.CONCAT("(",AN68,", 0, ",O68,", ",Q68,", ",R68,", ",S68,", ",T68,", ",U68,", ",V68,", ",W68,", ",SUBSTITUTE(X68,",","."),", ",SUBSTITUTE(Y68,",","."),"), ")</f>
        <v xml:space="preserve">(66, 0, 1, 600, 120, 550, 80, -1, -1, 360, 15, 12.5), </v>
      </c>
      <c r="BC68" t="str">
        <f t="shared" ref="BC68:BC119" si="24">IF(AR68=1,_xlfn.CONCAT("(",$AN68,", 'ON-GRID'),"),"")</f>
        <v>(66, 'ON-GRID'),</v>
      </c>
      <c r="BD68" t="str">
        <f t="shared" ref="BD68:BD119" si="25">IF(AS68=1,_xlfn.CONCAT("(",$AN68,", 'OFF-GRID'),"),"")</f>
        <v/>
      </c>
      <c r="BE68" t="str">
        <f t="shared" ref="BE68:BE119" si="26">IF(AT68=1,_xlfn.CONCAT("(",$AN68,", 'GRIDZERO'),"),"")</f>
        <v/>
      </c>
      <c r="BF68" t="str">
        <f t="shared" ref="BF68:BF119" si="27">IF(AU68=1,_xlfn.CONCAT("(",$AN68,", 'HYBRID'),"),"")</f>
        <v/>
      </c>
      <c r="BG68" t="str">
        <f t="shared" si="13"/>
        <v>(66, 'WIFI'),</v>
      </c>
      <c r="BH68" t="str">
        <f t="shared" si="14"/>
        <v>(66, 'RS485'),</v>
      </c>
      <c r="BI68" t="str">
        <f t="shared" si="15"/>
        <v>(66, 'DISPLAY'),</v>
      </c>
      <c r="BJ68" t="str">
        <f t="shared" si="16"/>
        <v>(66, 'LED'),</v>
      </c>
      <c r="BK68" t="str">
        <f t="shared" si="17"/>
        <v/>
      </c>
      <c r="BL68" t="str">
        <f t="shared" si="18"/>
        <v/>
      </c>
      <c r="BM68" t="str">
        <f t="shared" ref="BM68:BM119" si="28">IF(AA68=1,_xlfn.CONCAT("(",$AN68,", '",BM$2,"'),"),"")</f>
        <v/>
      </c>
      <c r="BN68" t="str">
        <f t="shared" ref="BN68:BN119" si="29">IF(AB68=1,_xlfn.CONCAT("(",$AN68,", '",BN$2,"'),"),"")</f>
        <v/>
      </c>
      <c r="BO68" t="str">
        <f t="shared" ref="BO68:BO119" si="30">IF(Z68=1,_xlfn.CONCAT("(",$AN68,", '",BO$2,"'),"),"")</f>
        <v>(66, 'SINGLE_PHASE'),</v>
      </c>
    </row>
    <row r="69" spans="1:67">
      <c r="A69" s="2" t="s">
        <v>345</v>
      </c>
      <c r="B69" s="3" t="s">
        <v>332</v>
      </c>
      <c r="C69" s="3">
        <v>175</v>
      </c>
      <c r="D69" s="3">
        <v>415</v>
      </c>
      <c r="E69" s="3">
        <v>511</v>
      </c>
      <c r="F69" s="3">
        <v>22.5</v>
      </c>
      <c r="G69" s="3" t="s">
        <v>275</v>
      </c>
      <c r="H69" s="3">
        <v>1</v>
      </c>
      <c r="I69" s="3">
        <v>1</v>
      </c>
      <c r="J69" s="3">
        <v>1</v>
      </c>
      <c r="K69" s="3">
        <v>1</v>
      </c>
      <c r="L69" s="3">
        <v>0</v>
      </c>
      <c r="M69" s="3">
        <v>10000</v>
      </c>
      <c r="N69" s="3">
        <v>10000</v>
      </c>
      <c r="O69" s="3">
        <v>1</v>
      </c>
      <c r="P69" s="3">
        <v>3</v>
      </c>
      <c r="Q69" s="3">
        <v>600</v>
      </c>
      <c r="R69" s="3">
        <v>120</v>
      </c>
      <c r="S69" s="3">
        <v>550</v>
      </c>
      <c r="T69" s="3">
        <v>80</v>
      </c>
      <c r="U69" s="3">
        <v>-1</v>
      </c>
      <c r="V69" s="3">
        <v>-1</v>
      </c>
      <c r="W69" s="3">
        <v>360</v>
      </c>
      <c r="X69" s="3">
        <v>15</v>
      </c>
      <c r="Y69" s="3">
        <v>12.5</v>
      </c>
      <c r="Z69" s="3">
        <v>1</v>
      </c>
      <c r="AA69" s="3">
        <v>0</v>
      </c>
      <c r="AB69" s="3">
        <v>0</v>
      </c>
      <c r="AC69" s="3">
        <v>220</v>
      </c>
      <c r="AE69" s="4">
        <v>45.5</v>
      </c>
      <c r="AF69" s="4">
        <v>45.5</v>
      </c>
      <c r="AG69">
        <v>50</v>
      </c>
      <c r="AH69">
        <v>60</v>
      </c>
      <c r="AI69">
        <v>-25</v>
      </c>
      <c r="AJ69" t="s">
        <v>276</v>
      </c>
      <c r="AK69" t="s">
        <v>277</v>
      </c>
      <c r="AL69">
        <v>0</v>
      </c>
      <c r="AN69">
        <v>67</v>
      </c>
      <c r="AO69">
        <v>0</v>
      </c>
      <c r="AP69">
        <f t="shared" si="20"/>
        <v>3</v>
      </c>
      <c r="AR69">
        <v>1</v>
      </c>
      <c r="AS69">
        <v>0</v>
      </c>
      <c r="AT69">
        <v>0</v>
      </c>
      <c r="AU69">
        <v>0</v>
      </c>
      <c r="AW69">
        <v>0</v>
      </c>
      <c r="AY69" t="str">
        <f t="shared" si="21"/>
        <v>4</v>
      </c>
      <c r="BA69" s="13" t="str">
        <f t="shared" si="22"/>
        <v>('GW10K-MS', 4, 415, 511, 175, 22.5, 60, -25, 'CONVECÇÃO NATURAL', 'IP65', 'TRANSFORMERLESS', 10000, 10000, 220, 45.5, 45.5, 50, 3, 3, 0),</v>
      </c>
      <c r="BB69" t="str">
        <f t="shared" si="23"/>
        <v xml:space="preserve">(67, 0, 1, 600, 120, 550, 80, -1, -1, 360, 15, 12.5), </v>
      </c>
      <c r="BC69" t="str">
        <f t="shared" si="24"/>
        <v>(67, 'ON-GRID'),</v>
      </c>
      <c r="BD69" t="str">
        <f t="shared" si="25"/>
        <v/>
      </c>
      <c r="BE69" t="str">
        <f t="shared" si="26"/>
        <v/>
      </c>
      <c r="BF69" t="str">
        <f t="shared" si="27"/>
        <v/>
      </c>
      <c r="BG69" t="str">
        <f t="shared" ref="BG69:BG119" si="31">IF(H69=1,_xlfn.CONCAT("(",$AN69,", '",BG$2,"'),"),"")</f>
        <v>(67, 'WIFI'),</v>
      </c>
      <c r="BH69" t="str">
        <f t="shared" ref="BH69:BH119" si="32">IF(I69=1,_xlfn.CONCAT("(",$AN69,", '",BH$2,"'),"),"")</f>
        <v>(67, 'RS485'),</v>
      </c>
      <c r="BI69" t="str">
        <f t="shared" ref="BI69:BI119" si="33">IF(J69=1,_xlfn.CONCAT("(",$AN69,", '",BI$2,"'),"),"")</f>
        <v>(67, 'DISPLAY'),</v>
      </c>
      <c r="BJ69" t="str">
        <f t="shared" ref="BJ69:BJ119" si="34">IF(K69=1,_xlfn.CONCAT("(",$AN69,", '",BJ$2,"'),"),"")</f>
        <v>(67, 'LED'),</v>
      </c>
      <c r="BK69" t="str">
        <f t="shared" ref="BK69:BK119" si="35">IF(L69=1,_xlfn.CONCAT("(",$AN69,", '",BK$2,"'),"),"")</f>
        <v/>
      </c>
      <c r="BL69" t="str">
        <f t="shared" ref="BL69:BL119" si="36">IF(M69=1,_xlfn.CONCAT("(",$AN69,", '",BL$2,"'),"),"")</f>
        <v/>
      </c>
      <c r="BM69" t="str">
        <f t="shared" si="28"/>
        <v/>
      </c>
      <c r="BN69" t="str">
        <f t="shared" si="29"/>
        <v/>
      </c>
      <c r="BO69" t="str">
        <f t="shared" si="30"/>
        <v>(67, 'SINGLE_PHASE'),</v>
      </c>
    </row>
    <row r="70" spans="1:67">
      <c r="A70" s="2" t="s">
        <v>346</v>
      </c>
      <c r="B70" s="3" t="s">
        <v>332</v>
      </c>
      <c r="C70" s="3">
        <v>147</v>
      </c>
      <c r="D70" s="3">
        <v>354</v>
      </c>
      <c r="E70" s="3">
        <v>433</v>
      </c>
      <c r="F70" s="3">
        <v>13</v>
      </c>
      <c r="G70" s="3" t="s">
        <v>275</v>
      </c>
      <c r="H70" s="3">
        <v>1</v>
      </c>
      <c r="I70" s="3">
        <v>1</v>
      </c>
      <c r="J70" s="3">
        <v>1</v>
      </c>
      <c r="K70" s="3">
        <v>1</v>
      </c>
      <c r="L70" s="3">
        <v>0</v>
      </c>
      <c r="M70" s="3">
        <v>2900</v>
      </c>
      <c r="N70" s="3">
        <v>2900</v>
      </c>
      <c r="O70" s="3">
        <v>1</v>
      </c>
      <c r="P70" s="3">
        <v>2</v>
      </c>
      <c r="Q70" s="3">
        <v>535</v>
      </c>
      <c r="R70" s="3">
        <v>80</v>
      </c>
      <c r="S70" s="3">
        <v>435</v>
      </c>
      <c r="T70" s="3">
        <v>80</v>
      </c>
      <c r="U70" s="3">
        <v>-1</v>
      </c>
      <c r="V70" s="3">
        <v>-1</v>
      </c>
      <c r="W70" s="3">
        <v>230</v>
      </c>
      <c r="X70" s="3">
        <v>15.6</v>
      </c>
      <c r="Y70" s="3">
        <v>12.5</v>
      </c>
      <c r="Z70" s="3">
        <v>1</v>
      </c>
      <c r="AA70" s="3">
        <v>0</v>
      </c>
      <c r="AB70" s="3">
        <v>0</v>
      </c>
      <c r="AC70" s="3">
        <v>127</v>
      </c>
      <c r="AE70" s="4">
        <v>22.9</v>
      </c>
      <c r="AF70">
        <v>22.9</v>
      </c>
      <c r="AG70">
        <v>50</v>
      </c>
      <c r="AH70">
        <v>60</v>
      </c>
      <c r="AI70">
        <v>-25</v>
      </c>
      <c r="AJ70" t="s">
        <v>276</v>
      </c>
      <c r="AK70" t="s">
        <v>277</v>
      </c>
      <c r="AL70">
        <v>0</v>
      </c>
      <c r="AN70">
        <v>68</v>
      </c>
      <c r="AO70">
        <v>0</v>
      </c>
      <c r="AP70">
        <f t="shared" si="20"/>
        <v>2</v>
      </c>
      <c r="AR70">
        <v>1</v>
      </c>
      <c r="AS70">
        <v>0</v>
      </c>
      <c r="AT70">
        <v>0</v>
      </c>
      <c r="AU70">
        <v>0</v>
      </c>
      <c r="AW70">
        <v>0</v>
      </c>
      <c r="AY70" t="str">
        <f t="shared" si="21"/>
        <v>4</v>
      </c>
      <c r="BA70" s="13" t="str">
        <f t="shared" si="22"/>
        <v>('GW2900D-NS', 4, 354, 433, 147, 13, 60, -25, 'CONVECÇÃO NATURAL', 'IP65', 'TRANSFORMERLESS', 2900, 2900, 127, 22.9, 22.9, 50, 2, 2, 0),</v>
      </c>
      <c r="BB70" t="str">
        <f t="shared" si="23"/>
        <v xml:space="preserve">(68, 0, 1, 535, 80, 435, 80, -1, -1, 230, 15.6, 12.5), </v>
      </c>
      <c r="BC70" t="str">
        <f t="shared" si="24"/>
        <v>(68, 'ON-GRID'),</v>
      </c>
      <c r="BD70" t="str">
        <f t="shared" si="25"/>
        <v/>
      </c>
      <c r="BE70" t="str">
        <f t="shared" si="26"/>
        <v/>
      </c>
      <c r="BF70" t="str">
        <f t="shared" si="27"/>
        <v/>
      </c>
      <c r="BG70" t="str">
        <f t="shared" si="31"/>
        <v>(68, 'WIFI'),</v>
      </c>
      <c r="BH70" t="str">
        <f t="shared" si="32"/>
        <v>(68, 'RS485'),</v>
      </c>
      <c r="BI70" t="str">
        <f t="shared" si="33"/>
        <v>(68, 'DISPLAY'),</v>
      </c>
      <c r="BJ70" t="str">
        <f t="shared" si="34"/>
        <v>(68, 'LED'),</v>
      </c>
      <c r="BK70" t="str">
        <f t="shared" si="35"/>
        <v/>
      </c>
      <c r="BL70" t="str">
        <f t="shared" si="36"/>
        <v/>
      </c>
      <c r="BM70" t="str">
        <f t="shared" si="28"/>
        <v/>
      </c>
      <c r="BN70" t="str">
        <f t="shared" si="29"/>
        <v/>
      </c>
      <c r="BO70" t="str">
        <f t="shared" si="30"/>
        <v>(68, 'SINGLE_PHASE'),</v>
      </c>
    </row>
    <row r="71" spans="1:67">
      <c r="A71" s="2" t="s">
        <v>347</v>
      </c>
      <c r="B71" s="3" t="s">
        <v>332</v>
      </c>
      <c r="C71" s="3">
        <v>147</v>
      </c>
      <c r="D71" s="3">
        <v>354</v>
      </c>
      <c r="E71" s="3">
        <v>433</v>
      </c>
      <c r="F71" s="3">
        <v>13</v>
      </c>
      <c r="G71" s="3" t="s">
        <v>275</v>
      </c>
      <c r="H71" s="3">
        <v>1</v>
      </c>
      <c r="I71" s="3">
        <v>1</v>
      </c>
      <c r="J71" s="3">
        <v>1</v>
      </c>
      <c r="K71" s="3">
        <v>1</v>
      </c>
      <c r="L71" s="3">
        <v>0</v>
      </c>
      <c r="M71" s="3">
        <v>3000</v>
      </c>
      <c r="N71" s="3">
        <v>3000</v>
      </c>
      <c r="O71" s="3">
        <v>1</v>
      </c>
      <c r="P71" s="3">
        <v>2</v>
      </c>
      <c r="Q71" s="3">
        <v>600</v>
      </c>
      <c r="R71" s="3">
        <v>80</v>
      </c>
      <c r="S71" s="3">
        <v>550</v>
      </c>
      <c r="T71" s="3">
        <v>80</v>
      </c>
      <c r="U71" s="3">
        <v>550</v>
      </c>
      <c r="V71" s="3">
        <v>150</v>
      </c>
      <c r="W71" s="3">
        <v>360</v>
      </c>
      <c r="X71" s="3">
        <v>13.8</v>
      </c>
      <c r="Y71" s="3">
        <v>11</v>
      </c>
      <c r="Z71" s="3">
        <v>1</v>
      </c>
      <c r="AA71" s="3">
        <v>0</v>
      </c>
      <c r="AB71" s="3">
        <v>0</v>
      </c>
      <c r="AC71" s="3">
        <v>220</v>
      </c>
      <c r="AE71" s="4">
        <v>13.6</v>
      </c>
      <c r="AF71">
        <v>13.6</v>
      </c>
      <c r="AG71">
        <v>50</v>
      </c>
      <c r="AH71">
        <v>60</v>
      </c>
      <c r="AI71">
        <v>-25</v>
      </c>
      <c r="AJ71" t="s">
        <v>276</v>
      </c>
      <c r="AK71" t="s">
        <v>277</v>
      </c>
      <c r="AL71">
        <v>0</v>
      </c>
      <c r="AN71">
        <v>69</v>
      </c>
      <c r="AO71">
        <v>0</v>
      </c>
      <c r="AP71">
        <f t="shared" si="20"/>
        <v>2</v>
      </c>
      <c r="AR71">
        <v>1</v>
      </c>
      <c r="AS71">
        <v>0</v>
      </c>
      <c r="AT71">
        <v>0</v>
      </c>
      <c r="AU71">
        <v>0</v>
      </c>
      <c r="AW71">
        <v>0</v>
      </c>
      <c r="AY71" t="str">
        <f t="shared" si="21"/>
        <v>4</v>
      </c>
      <c r="BA71" s="13" t="str">
        <f t="shared" si="22"/>
        <v>('GW3000D-NS', 4, 354, 433, 147, 13, 60, -25, 'CONVECÇÃO NATURAL', 'IP65', 'TRANSFORMERLESS', 3000, 3000, 220, 13.6, 13.6, 50, 2, 2, 0),</v>
      </c>
      <c r="BB71" t="str">
        <f t="shared" si="23"/>
        <v xml:space="preserve">(69, 0, 1, 600, 80, 550, 80, 550, 150, 360, 13.8, 11), </v>
      </c>
      <c r="BC71" t="str">
        <f t="shared" si="24"/>
        <v>(69, 'ON-GRID'),</v>
      </c>
      <c r="BD71" t="str">
        <f t="shared" si="25"/>
        <v/>
      </c>
      <c r="BE71" t="str">
        <f t="shared" si="26"/>
        <v/>
      </c>
      <c r="BF71" t="str">
        <f t="shared" si="27"/>
        <v/>
      </c>
      <c r="BG71" t="str">
        <f t="shared" si="31"/>
        <v>(69, 'WIFI'),</v>
      </c>
      <c r="BH71" t="str">
        <f t="shared" si="32"/>
        <v>(69, 'RS485'),</v>
      </c>
      <c r="BI71" t="str">
        <f t="shared" si="33"/>
        <v>(69, 'DISPLAY'),</v>
      </c>
      <c r="BJ71" t="str">
        <f t="shared" si="34"/>
        <v>(69, 'LED'),</v>
      </c>
      <c r="BK71" t="str">
        <f t="shared" si="35"/>
        <v/>
      </c>
      <c r="BL71" t="str">
        <f t="shared" si="36"/>
        <v/>
      </c>
      <c r="BM71" t="str">
        <f t="shared" si="28"/>
        <v/>
      </c>
      <c r="BN71" t="str">
        <f t="shared" si="29"/>
        <v/>
      </c>
      <c r="BO71" t="str">
        <f t="shared" si="30"/>
        <v>(69, 'SINGLE_PHASE'),</v>
      </c>
    </row>
    <row r="72" spans="1:67">
      <c r="A72" s="2" t="s">
        <v>348</v>
      </c>
      <c r="B72" s="3" t="s">
        <v>332</v>
      </c>
      <c r="C72" s="3">
        <v>147</v>
      </c>
      <c r="D72" s="3">
        <v>354</v>
      </c>
      <c r="E72" s="3">
        <v>433</v>
      </c>
      <c r="F72" s="3">
        <v>13</v>
      </c>
      <c r="G72" s="3" t="s">
        <v>275</v>
      </c>
      <c r="H72" s="3">
        <v>1</v>
      </c>
      <c r="I72" s="3">
        <v>1</v>
      </c>
      <c r="J72" s="3">
        <v>1</v>
      </c>
      <c r="K72" s="3">
        <v>1</v>
      </c>
      <c r="L72" s="3">
        <v>0</v>
      </c>
      <c r="M72" s="3">
        <v>3680</v>
      </c>
      <c r="N72" s="3">
        <v>3600</v>
      </c>
      <c r="O72" s="3">
        <v>1</v>
      </c>
      <c r="P72" s="3">
        <v>2</v>
      </c>
      <c r="Q72" s="3">
        <v>600</v>
      </c>
      <c r="R72" s="3">
        <v>80</v>
      </c>
      <c r="S72" s="3">
        <v>550</v>
      </c>
      <c r="T72" s="3">
        <v>80</v>
      </c>
      <c r="U72" s="3">
        <v>550</v>
      </c>
      <c r="V72" s="3">
        <v>180</v>
      </c>
      <c r="W72" s="3">
        <v>360</v>
      </c>
      <c r="X72" s="3">
        <v>13.8</v>
      </c>
      <c r="Y72" s="3">
        <v>11</v>
      </c>
      <c r="Z72" s="3">
        <v>1</v>
      </c>
      <c r="AA72" s="3">
        <v>0</v>
      </c>
      <c r="AB72" s="3">
        <v>0</v>
      </c>
      <c r="AC72" s="3">
        <v>220</v>
      </c>
      <c r="AE72" s="4">
        <v>16</v>
      </c>
      <c r="AF72">
        <v>16</v>
      </c>
      <c r="AG72">
        <v>50</v>
      </c>
      <c r="AH72">
        <v>60</v>
      </c>
      <c r="AI72">
        <v>-25</v>
      </c>
      <c r="AJ72" t="s">
        <v>276</v>
      </c>
      <c r="AK72" t="s">
        <v>277</v>
      </c>
      <c r="AL72">
        <v>0</v>
      </c>
      <c r="AN72">
        <v>70</v>
      </c>
      <c r="AO72">
        <v>0</v>
      </c>
      <c r="AP72">
        <f t="shared" si="20"/>
        <v>2</v>
      </c>
      <c r="AR72">
        <v>1</v>
      </c>
      <c r="AS72">
        <v>0</v>
      </c>
      <c r="AT72">
        <v>0</v>
      </c>
      <c r="AU72">
        <v>0</v>
      </c>
      <c r="AW72">
        <v>0</v>
      </c>
      <c r="AY72" t="str">
        <f t="shared" si="21"/>
        <v>4</v>
      </c>
      <c r="BA72" s="13" t="str">
        <f t="shared" si="22"/>
        <v>('GW3600D-NS', 4, 354, 433, 147, 13, 60, -25, 'CONVECÇÃO NATURAL', 'IP65', 'TRANSFORMERLESS', 3680, 3600, 220, 16, 16, 50, 2, 2, 0),</v>
      </c>
      <c r="BB72" t="str">
        <f t="shared" si="23"/>
        <v xml:space="preserve">(70, 0, 1, 600, 80, 550, 80, 550, 180, 360, 13.8, 11), </v>
      </c>
      <c r="BC72" t="str">
        <f t="shared" si="24"/>
        <v>(70, 'ON-GRID'),</v>
      </c>
      <c r="BD72" t="str">
        <f t="shared" si="25"/>
        <v/>
      </c>
      <c r="BE72" t="str">
        <f t="shared" si="26"/>
        <v/>
      </c>
      <c r="BF72" t="str">
        <f t="shared" si="27"/>
        <v/>
      </c>
      <c r="BG72" t="str">
        <f t="shared" si="31"/>
        <v>(70, 'WIFI'),</v>
      </c>
      <c r="BH72" t="str">
        <f t="shared" si="32"/>
        <v>(70, 'RS485'),</v>
      </c>
      <c r="BI72" t="str">
        <f t="shared" si="33"/>
        <v>(70, 'DISPLAY'),</v>
      </c>
      <c r="BJ72" t="str">
        <f t="shared" si="34"/>
        <v>(70, 'LED'),</v>
      </c>
      <c r="BK72" t="str">
        <f t="shared" si="35"/>
        <v/>
      </c>
      <c r="BL72" t="str">
        <f t="shared" si="36"/>
        <v/>
      </c>
      <c r="BM72" t="str">
        <f t="shared" si="28"/>
        <v/>
      </c>
      <c r="BN72" t="str">
        <f t="shared" si="29"/>
        <v/>
      </c>
      <c r="BO72" t="str">
        <f t="shared" si="30"/>
        <v>(70, 'SINGLE_PHASE'),</v>
      </c>
    </row>
    <row r="73" spans="1:67">
      <c r="A73" s="2" t="s">
        <v>349</v>
      </c>
      <c r="B73" s="3" t="s">
        <v>332</v>
      </c>
      <c r="C73" s="3">
        <v>147</v>
      </c>
      <c r="D73" s="3">
        <v>354</v>
      </c>
      <c r="E73" s="3">
        <v>433</v>
      </c>
      <c r="F73" s="3">
        <v>13</v>
      </c>
      <c r="G73" s="3" t="s">
        <v>275</v>
      </c>
      <c r="H73" s="3">
        <v>1</v>
      </c>
      <c r="I73" s="3">
        <v>1</v>
      </c>
      <c r="J73" s="3">
        <v>1</v>
      </c>
      <c r="K73" s="3">
        <v>1</v>
      </c>
      <c r="L73" s="3">
        <v>0</v>
      </c>
      <c r="M73" s="3">
        <v>4200</v>
      </c>
      <c r="N73" s="3">
        <v>4200</v>
      </c>
      <c r="O73" s="3">
        <v>1</v>
      </c>
      <c r="P73" s="3">
        <v>2</v>
      </c>
      <c r="Q73" s="3">
        <v>600</v>
      </c>
      <c r="R73" s="3">
        <v>80</v>
      </c>
      <c r="S73" s="3">
        <v>550</v>
      </c>
      <c r="T73" s="3">
        <v>80</v>
      </c>
      <c r="U73" s="3">
        <v>550</v>
      </c>
      <c r="V73" s="3">
        <v>210</v>
      </c>
      <c r="W73" s="3">
        <v>360</v>
      </c>
      <c r="X73" s="3">
        <v>13.8</v>
      </c>
      <c r="Y73" s="3">
        <v>11</v>
      </c>
      <c r="Z73" s="3">
        <v>1</v>
      </c>
      <c r="AA73" s="3">
        <v>0</v>
      </c>
      <c r="AB73" s="3">
        <v>0</v>
      </c>
      <c r="AC73" s="3">
        <v>230</v>
      </c>
      <c r="AE73" s="4">
        <v>19</v>
      </c>
      <c r="AF73">
        <v>19</v>
      </c>
      <c r="AG73">
        <v>50</v>
      </c>
      <c r="AH73">
        <v>60</v>
      </c>
      <c r="AI73">
        <v>-25</v>
      </c>
      <c r="AJ73" t="s">
        <v>276</v>
      </c>
      <c r="AK73" t="s">
        <v>277</v>
      </c>
      <c r="AL73">
        <v>0</v>
      </c>
      <c r="AN73">
        <v>71</v>
      </c>
      <c r="AO73">
        <v>0</v>
      </c>
      <c r="AP73">
        <f t="shared" si="20"/>
        <v>2</v>
      </c>
      <c r="AR73">
        <v>1</v>
      </c>
      <c r="AS73">
        <v>0</v>
      </c>
      <c r="AT73">
        <v>0</v>
      </c>
      <c r="AU73">
        <v>0</v>
      </c>
      <c r="AW73">
        <v>0</v>
      </c>
      <c r="AY73" t="str">
        <f t="shared" si="21"/>
        <v>4</v>
      </c>
      <c r="BA73" s="13" t="str">
        <f t="shared" si="22"/>
        <v>('GW4200D-NS', 4, 354, 433, 147, 13, 60, -25, 'CONVECÇÃO NATURAL', 'IP65', 'TRANSFORMERLESS', 4200, 4200, 230, 19, 19, 50, 2, 2, 0),</v>
      </c>
      <c r="BB73" t="str">
        <f t="shared" si="23"/>
        <v xml:space="preserve">(71, 0, 1, 600, 80, 550, 80, 550, 210, 360, 13.8, 11), </v>
      </c>
      <c r="BC73" t="str">
        <f t="shared" si="24"/>
        <v>(71, 'ON-GRID'),</v>
      </c>
      <c r="BD73" t="str">
        <f t="shared" si="25"/>
        <v/>
      </c>
      <c r="BE73" t="str">
        <f t="shared" si="26"/>
        <v/>
      </c>
      <c r="BF73" t="str">
        <f t="shared" si="27"/>
        <v/>
      </c>
      <c r="BG73" t="str">
        <f t="shared" si="31"/>
        <v>(71, 'WIFI'),</v>
      </c>
      <c r="BH73" t="str">
        <f t="shared" si="32"/>
        <v>(71, 'RS485'),</v>
      </c>
      <c r="BI73" t="str">
        <f t="shared" si="33"/>
        <v>(71, 'DISPLAY'),</v>
      </c>
      <c r="BJ73" t="str">
        <f t="shared" si="34"/>
        <v>(71, 'LED'),</v>
      </c>
      <c r="BK73" t="str">
        <f t="shared" si="35"/>
        <v/>
      </c>
      <c r="BL73" t="str">
        <f t="shared" si="36"/>
        <v/>
      </c>
      <c r="BM73" t="str">
        <f t="shared" si="28"/>
        <v/>
      </c>
      <c r="BN73" t="str">
        <f t="shared" si="29"/>
        <v/>
      </c>
      <c r="BO73" t="str">
        <f t="shared" si="30"/>
        <v>(71, 'SINGLE_PHASE'),</v>
      </c>
    </row>
    <row r="74" spans="1:67">
      <c r="A74" s="2" t="s">
        <v>350</v>
      </c>
      <c r="B74" s="3" t="s">
        <v>332</v>
      </c>
      <c r="C74" s="3">
        <v>147</v>
      </c>
      <c r="D74" s="3">
        <v>354</v>
      </c>
      <c r="E74" s="3">
        <v>433</v>
      </c>
      <c r="F74" s="3">
        <v>13</v>
      </c>
      <c r="G74" s="3" t="s">
        <v>275</v>
      </c>
      <c r="H74" s="3">
        <v>1</v>
      </c>
      <c r="I74" s="3">
        <v>1</v>
      </c>
      <c r="J74" s="3">
        <v>1</v>
      </c>
      <c r="K74" s="3">
        <v>1</v>
      </c>
      <c r="L74" s="3">
        <v>0</v>
      </c>
      <c r="M74" s="3">
        <v>5000</v>
      </c>
      <c r="N74" s="3">
        <v>5000</v>
      </c>
      <c r="O74" s="3">
        <v>1</v>
      </c>
      <c r="P74" s="3">
        <v>2</v>
      </c>
      <c r="Q74" s="3">
        <v>600</v>
      </c>
      <c r="R74" s="3">
        <v>80</v>
      </c>
      <c r="S74" s="3">
        <v>550</v>
      </c>
      <c r="T74" s="3">
        <v>80</v>
      </c>
      <c r="U74" s="3">
        <v>550</v>
      </c>
      <c r="V74" s="3">
        <v>240</v>
      </c>
      <c r="W74" s="3">
        <v>360</v>
      </c>
      <c r="X74" s="3">
        <v>13.8</v>
      </c>
      <c r="Y74" s="3">
        <v>11</v>
      </c>
      <c r="Z74" s="3">
        <v>1</v>
      </c>
      <c r="AA74" s="3">
        <v>0</v>
      </c>
      <c r="AB74" s="3">
        <v>0</v>
      </c>
      <c r="AC74" s="3">
        <v>220</v>
      </c>
      <c r="AE74" s="4">
        <v>22.8</v>
      </c>
      <c r="AF74">
        <v>22.8</v>
      </c>
      <c r="AG74">
        <v>50</v>
      </c>
      <c r="AH74">
        <v>60</v>
      </c>
      <c r="AI74">
        <v>-25</v>
      </c>
      <c r="AJ74" t="s">
        <v>276</v>
      </c>
      <c r="AK74" t="s">
        <v>277</v>
      </c>
      <c r="AL74">
        <v>0</v>
      </c>
      <c r="AN74">
        <v>72</v>
      </c>
      <c r="AO74">
        <v>0</v>
      </c>
      <c r="AP74">
        <f t="shared" si="20"/>
        <v>2</v>
      </c>
      <c r="AR74">
        <v>1</v>
      </c>
      <c r="AS74">
        <v>0</v>
      </c>
      <c r="AT74">
        <v>0</v>
      </c>
      <c r="AU74">
        <v>0</v>
      </c>
      <c r="AW74">
        <v>0</v>
      </c>
      <c r="AY74" t="str">
        <f t="shared" si="21"/>
        <v>4</v>
      </c>
      <c r="BA74" s="13" t="str">
        <f t="shared" si="22"/>
        <v>('GW5000D-NS', 4, 354, 433, 147, 13, 60, -25, 'CONVECÇÃO NATURAL', 'IP65', 'TRANSFORMERLESS', 5000, 5000, 220, 22.8, 22.8, 50, 2, 2, 0),</v>
      </c>
      <c r="BB74" t="str">
        <f t="shared" si="23"/>
        <v xml:space="preserve">(72, 0, 1, 600, 80, 550, 80, 550, 240, 360, 13.8, 11), </v>
      </c>
      <c r="BC74" t="str">
        <f t="shared" si="24"/>
        <v>(72, 'ON-GRID'),</v>
      </c>
      <c r="BD74" t="str">
        <f t="shared" si="25"/>
        <v/>
      </c>
      <c r="BE74" t="str">
        <f t="shared" si="26"/>
        <v/>
      </c>
      <c r="BF74" t="str">
        <f t="shared" si="27"/>
        <v/>
      </c>
      <c r="BG74" t="str">
        <f t="shared" si="31"/>
        <v>(72, 'WIFI'),</v>
      </c>
      <c r="BH74" t="str">
        <f t="shared" si="32"/>
        <v>(72, 'RS485'),</v>
      </c>
      <c r="BI74" t="str">
        <f t="shared" si="33"/>
        <v>(72, 'DISPLAY'),</v>
      </c>
      <c r="BJ74" t="str">
        <f t="shared" si="34"/>
        <v>(72, 'LED'),</v>
      </c>
      <c r="BK74" t="str">
        <f t="shared" si="35"/>
        <v/>
      </c>
      <c r="BL74" t="str">
        <f t="shared" si="36"/>
        <v/>
      </c>
      <c r="BM74" t="str">
        <f t="shared" si="28"/>
        <v/>
      </c>
      <c r="BN74" t="str">
        <f t="shared" si="29"/>
        <v/>
      </c>
      <c r="BO74" t="str">
        <f t="shared" si="30"/>
        <v>(72, 'SINGLE_PHASE'),</v>
      </c>
    </row>
    <row r="75" spans="1:67">
      <c r="A75" s="2" t="s">
        <v>351</v>
      </c>
      <c r="B75" s="3" t="s">
        <v>332</v>
      </c>
      <c r="C75" s="3">
        <v>147</v>
      </c>
      <c r="D75" s="3">
        <v>354</v>
      </c>
      <c r="E75" s="3">
        <v>433</v>
      </c>
      <c r="F75" s="3">
        <v>13.5</v>
      </c>
      <c r="G75" s="3" t="s">
        <v>275</v>
      </c>
      <c r="H75" s="3">
        <v>1</v>
      </c>
      <c r="I75" s="3">
        <v>1</v>
      </c>
      <c r="J75" s="3">
        <v>1</v>
      </c>
      <c r="K75" s="3">
        <v>1</v>
      </c>
      <c r="L75" s="3">
        <v>0</v>
      </c>
      <c r="M75" s="3">
        <v>6000</v>
      </c>
      <c r="N75" s="3">
        <v>6000</v>
      </c>
      <c r="O75" s="3">
        <v>1</v>
      </c>
      <c r="P75" s="3">
        <v>2</v>
      </c>
      <c r="Q75" s="3">
        <v>600</v>
      </c>
      <c r="R75" s="3">
        <v>80</v>
      </c>
      <c r="S75" s="3">
        <v>550</v>
      </c>
      <c r="T75" s="3">
        <v>80</v>
      </c>
      <c r="U75" s="3">
        <v>550</v>
      </c>
      <c r="V75" s="3">
        <v>280</v>
      </c>
      <c r="W75" s="3">
        <v>360</v>
      </c>
      <c r="X75" s="3">
        <v>13.8</v>
      </c>
      <c r="Y75" s="3">
        <v>11</v>
      </c>
      <c r="Z75" s="3">
        <v>1</v>
      </c>
      <c r="AA75" s="3">
        <v>0</v>
      </c>
      <c r="AB75" s="3">
        <v>0</v>
      </c>
      <c r="AC75" s="3">
        <v>220</v>
      </c>
      <c r="AE75" s="4">
        <v>27.3</v>
      </c>
      <c r="AF75">
        <v>27.3</v>
      </c>
      <c r="AG75">
        <v>50</v>
      </c>
      <c r="AH75">
        <v>60</v>
      </c>
      <c r="AI75">
        <v>-25</v>
      </c>
      <c r="AJ75" t="s">
        <v>276</v>
      </c>
      <c r="AK75" t="s">
        <v>277</v>
      </c>
      <c r="AL75">
        <v>0</v>
      </c>
      <c r="AN75">
        <v>73</v>
      </c>
      <c r="AO75">
        <v>0</v>
      </c>
      <c r="AP75">
        <f t="shared" si="20"/>
        <v>2</v>
      </c>
      <c r="AR75">
        <v>1</v>
      </c>
      <c r="AS75">
        <v>0</v>
      </c>
      <c r="AT75">
        <v>0</v>
      </c>
      <c r="AU75">
        <v>0</v>
      </c>
      <c r="AW75">
        <v>0</v>
      </c>
      <c r="AY75" t="str">
        <f t="shared" si="21"/>
        <v>4</v>
      </c>
      <c r="BA75" s="13" t="str">
        <f t="shared" si="22"/>
        <v>('GW6000D-NS', 4, 354, 433, 147, 13.5, 60, -25, 'CONVECÇÃO NATURAL', 'IP65', 'TRANSFORMERLESS', 6000, 6000, 220, 27.3, 27.3, 50, 2, 2, 0),</v>
      </c>
      <c r="BB75" t="str">
        <f t="shared" si="23"/>
        <v xml:space="preserve">(73, 0, 1, 600, 80, 550, 80, 550, 280, 360, 13.8, 11), </v>
      </c>
      <c r="BC75" t="str">
        <f t="shared" si="24"/>
        <v>(73, 'ON-GRID'),</v>
      </c>
      <c r="BD75" t="str">
        <f t="shared" si="25"/>
        <v/>
      </c>
      <c r="BE75" t="str">
        <f t="shared" si="26"/>
        <v/>
      </c>
      <c r="BF75" t="str">
        <f t="shared" si="27"/>
        <v/>
      </c>
      <c r="BG75" t="str">
        <f t="shared" si="31"/>
        <v>(73, 'WIFI'),</v>
      </c>
      <c r="BH75" t="str">
        <f t="shared" si="32"/>
        <v>(73, 'RS485'),</v>
      </c>
      <c r="BI75" t="str">
        <f t="shared" si="33"/>
        <v>(73, 'DISPLAY'),</v>
      </c>
      <c r="BJ75" t="str">
        <f t="shared" si="34"/>
        <v>(73, 'LED'),</v>
      </c>
      <c r="BK75" t="str">
        <f t="shared" si="35"/>
        <v/>
      </c>
      <c r="BL75" t="str">
        <f t="shared" si="36"/>
        <v/>
      </c>
      <c r="BM75" t="str">
        <f t="shared" si="28"/>
        <v/>
      </c>
      <c r="BN75" t="str">
        <f t="shared" si="29"/>
        <v/>
      </c>
      <c r="BO75" t="str">
        <f t="shared" si="30"/>
        <v>(73, 'SINGLE_PHASE'),</v>
      </c>
    </row>
    <row r="76" spans="1:67">
      <c r="A76" s="2" t="s">
        <v>352</v>
      </c>
      <c r="B76" s="3" t="s">
        <v>332</v>
      </c>
      <c r="C76" s="3">
        <v>147</v>
      </c>
      <c r="D76" s="3">
        <v>354</v>
      </c>
      <c r="E76" s="3">
        <v>433</v>
      </c>
      <c r="F76" s="3">
        <v>13</v>
      </c>
      <c r="G76" s="3" t="s">
        <v>275</v>
      </c>
      <c r="H76" s="3">
        <v>1</v>
      </c>
      <c r="I76" s="3">
        <v>1</v>
      </c>
      <c r="J76" s="3">
        <v>1</v>
      </c>
      <c r="K76" s="3">
        <v>1</v>
      </c>
      <c r="L76" s="3">
        <v>0</v>
      </c>
      <c r="M76" s="3">
        <v>3000</v>
      </c>
      <c r="N76" s="3">
        <v>3000</v>
      </c>
      <c r="O76" s="3">
        <v>1</v>
      </c>
      <c r="P76" s="3">
        <v>2</v>
      </c>
      <c r="Q76" s="3">
        <v>600</v>
      </c>
      <c r="R76" s="3">
        <v>80</v>
      </c>
      <c r="S76" s="3">
        <v>550</v>
      </c>
      <c r="T76" s="3">
        <v>80</v>
      </c>
      <c r="U76" s="3">
        <v>550</v>
      </c>
      <c r="V76" s="3">
        <v>130</v>
      </c>
      <c r="W76" s="3">
        <v>360</v>
      </c>
      <c r="X76" s="3">
        <v>16.3</v>
      </c>
      <c r="Y76" s="3">
        <v>13</v>
      </c>
      <c r="Z76" s="3">
        <v>1</v>
      </c>
      <c r="AA76" s="3">
        <v>0</v>
      </c>
      <c r="AB76" s="3">
        <v>0</v>
      </c>
      <c r="AC76" s="3">
        <v>220</v>
      </c>
      <c r="AE76" s="4">
        <v>13.6</v>
      </c>
      <c r="AF76">
        <v>13.6</v>
      </c>
      <c r="AG76">
        <v>50</v>
      </c>
      <c r="AH76">
        <v>60</v>
      </c>
      <c r="AI76">
        <v>-25</v>
      </c>
      <c r="AJ76" t="s">
        <v>276</v>
      </c>
      <c r="AK76" t="s">
        <v>277</v>
      </c>
      <c r="AL76">
        <v>0</v>
      </c>
      <c r="AN76">
        <v>74</v>
      </c>
      <c r="AO76">
        <v>0</v>
      </c>
      <c r="AP76">
        <f t="shared" si="20"/>
        <v>2</v>
      </c>
      <c r="AR76">
        <v>1</v>
      </c>
      <c r="AS76">
        <v>0</v>
      </c>
      <c r="AT76">
        <v>0</v>
      </c>
      <c r="AU76">
        <v>0</v>
      </c>
      <c r="AW76">
        <v>0</v>
      </c>
      <c r="AY76" t="str">
        <f t="shared" si="21"/>
        <v>4</v>
      </c>
      <c r="BA76" s="13" t="str">
        <f t="shared" si="22"/>
        <v>('GW3000T-DS', 4, 354, 433, 147, 13, 60, -25, 'CONVECÇÃO NATURAL', 'IP65', 'TRANSFORMERLESS', 3000, 3000, 220, 13.6, 13.6, 50, 2, 2, 0),</v>
      </c>
      <c r="BB76" t="str">
        <f t="shared" si="23"/>
        <v xml:space="preserve">(74, 0, 1, 600, 80, 550, 80, 550, 130, 360, 16.3, 13), </v>
      </c>
      <c r="BC76" t="str">
        <f t="shared" si="24"/>
        <v>(74, 'ON-GRID'),</v>
      </c>
      <c r="BD76" t="str">
        <f t="shared" si="25"/>
        <v/>
      </c>
      <c r="BE76" t="str">
        <f t="shared" si="26"/>
        <v/>
      </c>
      <c r="BF76" t="str">
        <f t="shared" si="27"/>
        <v/>
      </c>
      <c r="BG76" t="str">
        <f t="shared" si="31"/>
        <v>(74, 'WIFI'),</v>
      </c>
      <c r="BH76" t="str">
        <f t="shared" si="32"/>
        <v>(74, 'RS485'),</v>
      </c>
      <c r="BI76" t="str">
        <f t="shared" si="33"/>
        <v>(74, 'DISPLAY'),</v>
      </c>
      <c r="BJ76" t="str">
        <f t="shared" si="34"/>
        <v>(74, 'LED'),</v>
      </c>
      <c r="BK76" t="str">
        <f t="shared" si="35"/>
        <v/>
      </c>
      <c r="BL76" t="str">
        <f t="shared" si="36"/>
        <v/>
      </c>
      <c r="BM76" t="str">
        <f t="shared" si="28"/>
        <v/>
      </c>
      <c r="BN76" t="str">
        <f t="shared" si="29"/>
        <v/>
      </c>
      <c r="BO76" t="str">
        <f t="shared" si="30"/>
        <v>(74, 'SINGLE_PHASE'),</v>
      </c>
    </row>
    <row r="77" spans="1:67">
      <c r="A77" s="2" t="s">
        <v>353</v>
      </c>
      <c r="B77" s="3" t="s">
        <v>332</v>
      </c>
      <c r="C77" s="3">
        <v>147</v>
      </c>
      <c r="D77" s="3">
        <v>354</v>
      </c>
      <c r="E77" s="3">
        <v>433</v>
      </c>
      <c r="F77" s="3">
        <v>13</v>
      </c>
      <c r="G77" s="3" t="s">
        <v>275</v>
      </c>
      <c r="H77" s="3">
        <v>1</v>
      </c>
      <c r="I77" s="3">
        <v>1</v>
      </c>
      <c r="J77" s="3">
        <v>1</v>
      </c>
      <c r="K77" s="3">
        <v>1</v>
      </c>
      <c r="L77" s="3">
        <v>0</v>
      </c>
      <c r="M77" s="3">
        <v>3680</v>
      </c>
      <c r="N77" s="3">
        <v>3600</v>
      </c>
      <c r="O77" s="3">
        <v>1</v>
      </c>
      <c r="P77" s="3">
        <v>2</v>
      </c>
      <c r="Q77" s="3">
        <v>600</v>
      </c>
      <c r="R77" s="3">
        <v>80</v>
      </c>
      <c r="S77" s="3">
        <v>550</v>
      </c>
      <c r="T77" s="3">
        <v>80</v>
      </c>
      <c r="U77" s="3">
        <v>550</v>
      </c>
      <c r="V77" s="3">
        <v>150</v>
      </c>
      <c r="W77" s="3">
        <v>360</v>
      </c>
      <c r="X77" s="3">
        <v>16.3</v>
      </c>
      <c r="Y77" s="3">
        <v>13</v>
      </c>
      <c r="Z77" s="3">
        <v>1</v>
      </c>
      <c r="AA77" s="3">
        <v>0</v>
      </c>
      <c r="AB77" s="3">
        <v>0</v>
      </c>
      <c r="AC77" s="3">
        <v>220</v>
      </c>
      <c r="AE77" s="4">
        <v>16</v>
      </c>
      <c r="AF77">
        <v>16</v>
      </c>
      <c r="AG77">
        <v>50</v>
      </c>
      <c r="AH77">
        <v>60</v>
      </c>
      <c r="AI77">
        <v>-25</v>
      </c>
      <c r="AJ77" t="s">
        <v>276</v>
      </c>
      <c r="AK77" t="s">
        <v>277</v>
      </c>
      <c r="AL77">
        <v>0</v>
      </c>
      <c r="AN77">
        <v>75</v>
      </c>
      <c r="AO77">
        <v>0</v>
      </c>
      <c r="AP77">
        <f t="shared" si="20"/>
        <v>2</v>
      </c>
      <c r="AR77">
        <v>1</v>
      </c>
      <c r="AS77">
        <v>0</v>
      </c>
      <c r="AT77">
        <v>0</v>
      </c>
      <c r="AU77">
        <v>0</v>
      </c>
      <c r="AW77">
        <v>0</v>
      </c>
      <c r="AY77" t="str">
        <f t="shared" si="21"/>
        <v>4</v>
      </c>
      <c r="BA77" s="13" t="str">
        <f t="shared" si="22"/>
        <v>('GW3600T-DS', 4, 354, 433, 147, 13, 60, -25, 'CONVECÇÃO NATURAL', 'IP65', 'TRANSFORMERLESS', 3680, 3600, 220, 16, 16, 50, 2, 2, 0),</v>
      </c>
      <c r="BB77" t="str">
        <f t="shared" si="23"/>
        <v xml:space="preserve">(75, 0, 1, 600, 80, 550, 80, 550, 150, 360, 16.3, 13), </v>
      </c>
      <c r="BC77" t="str">
        <f t="shared" si="24"/>
        <v>(75, 'ON-GRID'),</v>
      </c>
      <c r="BD77" t="str">
        <f t="shared" si="25"/>
        <v/>
      </c>
      <c r="BE77" t="str">
        <f t="shared" si="26"/>
        <v/>
      </c>
      <c r="BF77" t="str">
        <f t="shared" si="27"/>
        <v/>
      </c>
      <c r="BG77" t="str">
        <f t="shared" si="31"/>
        <v>(75, 'WIFI'),</v>
      </c>
      <c r="BH77" t="str">
        <f t="shared" si="32"/>
        <v>(75, 'RS485'),</v>
      </c>
      <c r="BI77" t="str">
        <f t="shared" si="33"/>
        <v>(75, 'DISPLAY'),</v>
      </c>
      <c r="BJ77" t="str">
        <f t="shared" si="34"/>
        <v>(75, 'LED'),</v>
      </c>
      <c r="BK77" t="str">
        <f t="shared" si="35"/>
        <v/>
      </c>
      <c r="BL77" t="str">
        <f t="shared" si="36"/>
        <v/>
      </c>
      <c r="BM77" t="str">
        <f t="shared" si="28"/>
        <v/>
      </c>
      <c r="BN77" t="str">
        <f t="shared" si="29"/>
        <v/>
      </c>
      <c r="BO77" t="str">
        <f t="shared" si="30"/>
        <v>(75, 'SINGLE_PHASE'),</v>
      </c>
    </row>
    <row r="78" spans="1:67">
      <c r="A78" s="2" t="s">
        <v>354</v>
      </c>
      <c r="B78" s="3" t="s">
        <v>332</v>
      </c>
      <c r="C78" s="3">
        <v>147</v>
      </c>
      <c r="D78" s="3">
        <v>354</v>
      </c>
      <c r="E78" s="3">
        <v>433</v>
      </c>
      <c r="F78" s="3">
        <v>13</v>
      </c>
      <c r="G78" s="3" t="s">
        <v>275</v>
      </c>
      <c r="H78" s="3">
        <v>1</v>
      </c>
      <c r="I78" s="3">
        <v>1</v>
      </c>
      <c r="J78" s="3">
        <v>1</v>
      </c>
      <c r="K78" s="3">
        <v>1</v>
      </c>
      <c r="L78" s="3">
        <v>0</v>
      </c>
      <c r="M78" s="3">
        <v>4200</v>
      </c>
      <c r="N78" s="3">
        <v>4200</v>
      </c>
      <c r="O78" s="3">
        <v>1</v>
      </c>
      <c r="P78" s="3">
        <v>2</v>
      </c>
      <c r="Q78" s="3">
        <v>600</v>
      </c>
      <c r="R78" s="3">
        <v>80</v>
      </c>
      <c r="S78" s="3">
        <v>550</v>
      </c>
      <c r="T78" s="3">
        <v>80</v>
      </c>
      <c r="U78" s="3">
        <v>550</v>
      </c>
      <c r="V78" s="3">
        <v>170</v>
      </c>
      <c r="W78" s="3">
        <v>360</v>
      </c>
      <c r="X78" s="3">
        <v>16.3</v>
      </c>
      <c r="Y78" s="3">
        <v>13</v>
      </c>
      <c r="Z78" s="3">
        <v>1</v>
      </c>
      <c r="AA78" s="3">
        <v>0</v>
      </c>
      <c r="AB78" s="3">
        <v>0</v>
      </c>
      <c r="AC78" s="3">
        <v>220</v>
      </c>
      <c r="AE78" s="4">
        <v>19</v>
      </c>
      <c r="AF78">
        <v>19</v>
      </c>
      <c r="AG78">
        <v>50</v>
      </c>
      <c r="AH78">
        <v>60</v>
      </c>
      <c r="AI78">
        <v>-25</v>
      </c>
      <c r="AJ78" t="s">
        <v>276</v>
      </c>
      <c r="AK78" t="s">
        <v>277</v>
      </c>
      <c r="AL78">
        <v>0</v>
      </c>
      <c r="AN78">
        <v>76</v>
      </c>
      <c r="AO78">
        <v>0</v>
      </c>
      <c r="AP78">
        <f t="shared" si="20"/>
        <v>2</v>
      </c>
      <c r="AR78">
        <v>1</v>
      </c>
      <c r="AS78">
        <v>0</v>
      </c>
      <c r="AT78">
        <v>0</v>
      </c>
      <c r="AU78">
        <v>0</v>
      </c>
      <c r="AW78">
        <v>0</v>
      </c>
      <c r="AY78" t="str">
        <f t="shared" si="21"/>
        <v>4</v>
      </c>
      <c r="BA78" s="13" t="str">
        <f t="shared" si="22"/>
        <v>('GW4200T-DS', 4, 354, 433, 147, 13, 60, -25, 'CONVECÇÃO NATURAL', 'IP65', 'TRANSFORMERLESS', 4200, 4200, 220, 19, 19, 50, 2, 2, 0),</v>
      </c>
      <c r="BB78" t="str">
        <f t="shared" si="23"/>
        <v xml:space="preserve">(76, 0, 1, 600, 80, 550, 80, 550, 170, 360, 16.3, 13), </v>
      </c>
      <c r="BC78" t="str">
        <f t="shared" si="24"/>
        <v>(76, 'ON-GRID'),</v>
      </c>
      <c r="BD78" t="str">
        <f t="shared" si="25"/>
        <v/>
      </c>
      <c r="BE78" t="str">
        <f t="shared" si="26"/>
        <v/>
      </c>
      <c r="BF78" t="str">
        <f t="shared" si="27"/>
        <v/>
      </c>
      <c r="BG78" t="str">
        <f t="shared" si="31"/>
        <v>(76, 'WIFI'),</v>
      </c>
      <c r="BH78" t="str">
        <f t="shared" si="32"/>
        <v>(76, 'RS485'),</v>
      </c>
      <c r="BI78" t="str">
        <f t="shared" si="33"/>
        <v>(76, 'DISPLAY'),</v>
      </c>
      <c r="BJ78" t="str">
        <f t="shared" si="34"/>
        <v>(76, 'LED'),</v>
      </c>
      <c r="BK78" t="str">
        <f t="shared" si="35"/>
        <v/>
      </c>
      <c r="BL78" t="str">
        <f t="shared" si="36"/>
        <v/>
      </c>
      <c r="BM78" t="str">
        <f t="shared" si="28"/>
        <v/>
      </c>
      <c r="BN78" t="str">
        <f t="shared" si="29"/>
        <v/>
      </c>
      <c r="BO78" t="str">
        <f t="shared" si="30"/>
        <v>(76, 'SINGLE_PHASE'),</v>
      </c>
    </row>
    <row r="79" spans="1:67">
      <c r="A79" s="2" t="s">
        <v>355</v>
      </c>
      <c r="B79" s="3" t="s">
        <v>332</v>
      </c>
      <c r="C79" s="3">
        <v>147</v>
      </c>
      <c r="D79" s="3">
        <v>354</v>
      </c>
      <c r="E79" s="3">
        <v>433</v>
      </c>
      <c r="F79" s="3">
        <v>13</v>
      </c>
      <c r="G79" s="3" t="s">
        <v>275</v>
      </c>
      <c r="H79" s="3">
        <v>1</v>
      </c>
      <c r="I79" s="3">
        <v>1</v>
      </c>
      <c r="J79" s="3">
        <v>1</v>
      </c>
      <c r="K79" s="3">
        <v>1</v>
      </c>
      <c r="L79" s="3">
        <v>0</v>
      </c>
      <c r="M79" s="3">
        <v>5000</v>
      </c>
      <c r="N79" s="3">
        <v>5000</v>
      </c>
      <c r="O79" s="3">
        <v>1</v>
      </c>
      <c r="P79" s="3">
        <v>2</v>
      </c>
      <c r="Q79" s="3">
        <v>600</v>
      </c>
      <c r="R79" s="3">
        <v>80</v>
      </c>
      <c r="S79" s="3">
        <v>550</v>
      </c>
      <c r="T79" s="3">
        <v>80</v>
      </c>
      <c r="U79" s="3">
        <v>550</v>
      </c>
      <c r="V79" s="3">
        <v>200</v>
      </c>
      <c r="W79" s="3">
        <v>360</v>
      </c>
      <c r="X79" s="3">
        <v>16.3</v>
      </c>
      <c r="Y79" s="3">
        <v>13</v>
      </c>
      <c r="Z79" s="3">
        <v>1</v>
      </c>
      <c r="AA79" s="3">
        <v>0</v>
      </c>
      <c r="AB79" s="3">
        <v>0</v>
      </c>
      <c r="AC79" s="3">
        <v>220</v>
      </c>
      <c r="AE79" s="4">
        <v>22.8</v>
      </c>
      <c r="AF79">
        <v>22.8</v>
      </c>
      <c r="AG79">
        <v>50</v>
      </c>
      <c r="AH79">
        <v>60</v>
      </c>
      <c r="AI79">
        <v>-25</v>
      </c>
      <c r="AJ79" t="s">
        <v>276</v>
      </c>
      <c r="AK79" t="s">
        <v>277</v>
      </c>
      <c r="AL79">
        <v>0</v>
      </c>
      <c r="AN79">
        <v>77</v>
      </c>
      <c r="AO79">
        <v>0</v>
      </c>
      <c r="AP79">
        <f t="shared" si="20"/>
        <v>2</v>
      </c>
      <c r="AR79">
        <v>1</v>
      </c>
      <c r="AS79">
        <v>0</v>
      </c>
      <c r="AT79">
        <v>0</v>
      </c>
      <c r="AU79">
        <v>0</v>
      </c>
      <c r="AW79">
        <v>0</v>
      </c>
      <c r="AY79" t="str">
        <f t="shared" si="21"/>
        <v>4</v>
      </c>
      <c r="BA79" s="13" t="str">
        <f t="shared" si="22"/>
        <v>('GW5000T-DS', 4, 354, 433, 147, 13, 60, -25, 'CONVECÇÃO NATURAL', 'IP65', 'TRANSFORMERLESS', 5000, 5000, 220, 22.8, 22.8, 50, 2, 2, 0),</v>
      </c>
      <c r="BB79" t="str">
        <f t="shared" si="23"/>
        <v xml:space="preserve">(77, 0, 1, 600, 80, 550, 80, 550, 200, 360, 16.3, 13), </v>
      </c>
      <c r="BC79" t="str">
        <f t="shared" si="24"/>
        <v>(77, 'ON-GRID'),</v>
      </c>
      <c r="BD79" t="str">
        <f t="shared" si="25"/>
        <v/>
      </c>
      <c r="BE79" t="str">
        <f t="shared" si="26"/>
        <v/>
      </c>
      <c r="BF79" t="str">
        <f t="shared" si="27"/>
        <v/>
      </c>
      <c r="BG79" t="str">
        <f t="shared" si="31"/>
        <v>(77, 'WIFI'),</v>
      </c>
      <c r="BH79" t="str">
        <f t="shared" si="32"/>
        <v>(77, 'RS485'),</v>
      </c>
      <c r="BI79" t="str">
        <f t="shared" si="33"/>
        <v>(77, 'DISPLAY'),</v>
      </c>
      <c r="BJ79" t="str">
        <f t="shared" si="34"/>
        <v>(77, 'LED'),</v>
      </c>
      <c r="BK79" t="str">
        <f t="shared" si="35"/>
        <v/>
      </c>
      <c r="BL79" t="str">
        <f t="shared" si="36"/>
        <v/>
      </c>
      <c r="BM79" t="str">
        <f t="shared" si="28"/>
        <v/>
      </c>
      <c r="BN79" t="str">
        <f t="shared" si="29"/>
        <v/>
      </c>
      <c r="BO79" t="str">
        <f t="shared" si="30"/>
        <v>(77, 'SINGLE_PHASE'),</v>
      </c>
    </row>
    <row r="80" spans="1:67">
      <c r="A80" s="2" t="s">
        <v>356</v>
      </c>
      <c r="B80" s="3" t="s">
        <v>332</v>
      </c>
      <c r="C80" s="3">
        <v>147</v>
      </c>
      <c r="D80" s="3">
        <v>354</v>
      </c>
      <c r="E80" s="3">
        <v>433</v>
      </c>
      <c r="F80" s="3">
        <v>13.5</v>
      </c>
      <c r="G80" s="3" t="s">
        <v>275</v>
      </c>
      <c r="H80" s="3">
        <v>1</v>
      </c>
      <c r="I80" s="3">
        <v>1</v>
      </c>
      <c r="J80" s="3">
        <v>1</v>
      </c>
      <c r="K80" s="3">
        <v>1</v>
      </c>
      <c r="L80" s="3">
        <v>0</v>
      </c>
      <c r="M80" s="3">
        <v>6000</v>
      </c>
      <c r="N80" s="3">
        <v>6000</v>
      </c>
      <c r="O80" s="3">
        <v>1</v>
      </c>
      <c r="P80" s="3">
        <v>2</v>
      </c>
      <c r="Q80" s="3">
        <v>600</v>
      </c>
      <c r="R80" s="3">
        <v>80</v>
      </c>
      <c r="S80" s="3">
        <v>550</v>
      </c>
      <c r="T80" s="3">
        <v>80</v>
      </c>
      <c r="U80" s="3">
        <v>550</v>
      </c>
      <c r="V80" s="3">
        <v>240</v>
      </c>
      <c r="W80" s="3">
        <v>360</v>
      </c>
      <c r="X80" s="3">
        <v>16.3</v>
      </c>
      <c r="Y80" s="3">
        <v>13</v>
      </c>
      <c r="Z80" s="3">
        <v>1</v>
      </c>
      <c r="AA80" s="3">
        <v>0</v>
      </c>
      <c r="AB80" s="3">
        <v>0</v>
      </c>
      <c r="AC80" s="3">
        <v>220</v>
      </c>
      <c r="AE80" s="4">
        <v>27.3</v>
      </c>
      <c r="AF80">
        <v>27.3</v>
      </c>
      <c r="AG80">
        <v>50</v>
      </c>
      <c r="AH80">
        <v>60</v>
      </c>
      <c r="AI80">
        <v>-25</v>
      </c>
      <c r="AJ80" t="s">
        <v>276</v>
      </c>
      <c r="AK80" t="s">
        <v>277</v>
      </c>
      <c r="AL80">
        <v>0</v>
      </c>
      <c r="AN80">
        <v>78</v>
      </c>
      <c r="AO80">
        <v>0</v>
      </c>
      <c r="AP80">
        <f t="shared" si="20"/>
        <v>2</v>
      </c>
      <c r="AR80">
        <v>1</v>
      </c>
      <c r="AS80">
        <v>0</v>
      </c>
      <c r="AT80">
        <v>0</v>
      </c>
      <c r="AU80">
        <v>0</v>
      </c>
      <c r="AW80">
        <v>0</v>
      </c>
      <c r="AY80" t="str">
        <f t="shared" si="21"/>
        <v>4</v>
      </c>
      <c r="BA80" s="13" t="str">
        <f t="shared" si="22"/>
        <v>('GW6000T-DS', 4, 354, 433, 147, 13.5, 60, -25, 'CONVECÇÃO NATURAL', 'IP65', 'TRANSFORMERLESS', 6000, 6000, 220, 27.3, 27.3, 50, 2, 2, 0),</v>
      </c>
      <c r="BB80" t="str">
        <f t="shared" si="23"/>
        <v xml:space="preserve">(78, 0, 1, 600, 80, 550, 80, 550, 240, 360, 16.3, 13), </v>
      </c>
      <c r="BC80" t="str">
        <f t="shared" si="24"/>
        <v>(78, 'ON-GRID'),</v>
      </c>
      <c r="BD80" t="str">
        <f t="shared" si="25"/>
        <v/>
      </c>
      <c r="BE80" t="str">
        <f t="shared" si="26"/>
        <v/>
      </c>
      <c r="BF80" t="str">
        <f t="shared" si="27"/>
        <v/>
      </c>
      <c r="BG80" t="str">
        <f t="shared" si="31"/>
        <v>(78, 'WIFI'),</v>
      </c>
      <c r="BH80" t="str">
        <f t="shared" si="32"/>
        <v>(78, 'RS485'),</v>
      </c>
      <c r="BI80" t="str">
        <f t="shared" si="33"/>
        <v>(78, 'DISPLAY'),</v>
      </c>
      <c r="BJ80" t="str">
        <f t="shared" si="34"/>
        <v>(78, 'LED'),</v>
      </c>
      <c r="BK80" t="str">
        <f t="shared" si="35"/>
        <v/>
      </c>
      <c r="BL80" t="str">
        <f t="shared" si="36"/>
        <v/>
      </c>
      <c r="BM80" t="str">
        <f t="shared" si="28"/>
        <v/>
      </c>
      <c r="BN80" t="str">
        <f t="shared" si="29"/>
        <v/>
      </c>
      <c r="BO80" t="str">
        <f t="shared" si="30"/>
        <v>(78, 'SINGLE_PHASE'),</v>
      </c>
    </row>
    <row r="81" spans="1:67">
      <c r="A81" s="2" t="s">
        <v>357</v>
      </c>
      <c r="B81" s="3" t="s">
        <v>332</v>
      </c>
      <c r="C81" s="3">
        <v>267</v>
      </c>
      <c r="D81" s="3">
        <v>586</v>
      </c>
      <c r="E81" s="3">
        <v>788</v>
      </c>
      <c r="F81" s="3">
        <v>70</v>
      </c>
      <c r="G81" s="3" t="s">
        <v>316</v>
      </c>
      <c r="H81" s="3">
        <v>1</v>
      </c>
      <c r="I81" s="3">
        <v>1</v>
      </c>
      <c r="J81" s="3">
        <v>0</v>
      </c>
      <c r="K81" s="3">
        <v>1</v>
      </c>
      <c r="L81" s="3">
        <v>0</v>
      </c>
      <c r="M81" s="3">
        <v>75000</v>
      </c>
      <c r="N81" s="3">
        <v>75000</v>
      </c>
      <c r="O81" s="3">
        <v>4</v>
      </c>
      <c r="P81" s="3">
        <v>4</v>
      </c>
      <c r="Q81" s="3">
        <v>1100</v>
      </c>
      <c r="R81" s="3">
        <v>200</v>
      </c>
      <c r="S81" s="3">
        <v>1000</v>
      </c>
      <c r="T81" s="3">
        <v>200</v>
      </c>
      <c r="U81" s="3">
        <v>-1</v>
      </c>
      <c r="V81" s="3">
        <v>-1</v>
      </c>
      <c r="W81" s="3">
        <v>600</v>
      </c>
      <c r="X81" s="3">
        <v>55</v>
      </c>
      <c r="Y81" s="3">
        <v>44</v>
      </c>
      <c r="Z81" s="3">
        <v>0</v>
      </c>
      <c r="AA81" s="3">
        <v>1</v>
      </c>
      <c r="AB81" s="3">
        <v>1</v>
      </c>
      <c r="AC81" s="3">
        <v>380</v>
      </c>
      <c r="AE81" s="4">
        <v>133</v>
      </c>
      <c r="AF81">
        <v>133</v>
      </c>
      <c r="AG81">
        <v>50</v>
      </c>
      <c r="AH81">
        <v>60</v>
      </c>
      <c r="AI81">
        <v>-30</v>
      </c>
      <c r="AJ81" t="s">
        <v>276</v>
      </c>
      <c r="AK81" t="s">
        <v>277</v>
      </c>
      <c r="AL81">
        <v>0</v>
      </c>
      <c r="AN81">
        <v>79</v>
      </c>
      <c r="AO81">
        <v>0</v>
      </c>
      <c r="AP81">
        <f t="shared" si="20"/>
        <v>16</v>
      </c>
      <c r="AR81">
        <v>1</v>
      </c>
      <c r="AS81">
        <v>0</v>
      </c>
      <c r="AT81">
        <v>0</v>
      </c>
      <c r="AU81">
        <v>0</v>
      </c>
      <c r="AW81">
        <v>0</v>
      </c>
      <c r="AY81" t="str">
        <f t="shared" si="21"/>
        <v>4</v>
      </c>
      <c r="BA81" s="13" t="str">
        <f t="shared" si="22"/>
        <v>('GW75K-MT', 4, 586, 788, 267, 70, 60, -30, 'COOLER', 'IP65', 'TRANSFORMERLESS', 75000, 75000, 380, 133, 133, 50, 4, 16, 0),</v>
      </c>
      <c r="BB81" t="str">
        <f t="shared" si="23"/>
        <v xml:space="preserve">(79, 0, 4, 1100, 200, 1000, 200, -1, -1, 600, 55, 44), </v>
      </c>
      <c r="BC81" t="str">
        <f t="shared" si="24"/>
        <v>(79, 'ON-GRID'),</v>
      </c>
      <c r="BD81" t="str">
        <f t="shared" si="25"/>
        <v/>
      </c>
      <c r="BE81" t="str">
        <f t="shared" si="26"/>
        <v/>
      </c>
      <c r="BF81" t="str">
        <f t="shared" si="27"/>
        <v/>
      </c>
      <c r="BG81" t="str">
        <f t="shared" si="31"/>
        <v>(79, 'WIFI'),</v>
      </c>
      <c r="BH81" t="str">
        <f t="shared" si="32"/>
        <v>(79, 'RS485'),</v>
      </c>
      <c r="BI81" t="str">
        <f t="shared" si="33"/>
        <v/>
      </c>
      <c r="BJ81" t="str">
        <f t="shared" si="34"/>
        <v>(79, 'LED'),</v>
      </c>
      <c r="BK81" t="str">
        <f t="shared" si="35"/>
        <v/>
      </c>
      <c r="BL81" t="str">
        <f t="shared" si="36"/>
        <v/>
      </c>
      <c r="BM81" t="str">
        <f t="shared" si="28"/>
        <v>(79, 'THREE_PHASE_THREE_WIRE'),</v>
      </c>
      <c r="BN81" t="str">
        <f t="shared" si="29"/>
        <v>(79, 'THREE_PHASE_FOUR_WIRE'),</v>
      </c>
      <c r="BO81" t="str">
        <f t="shared" si="30"/>
        <v/>
      </c>
    </row>
    <row r="82" spans="1:67">
      <c r="A82" s="2" t="s">
        <v>358</v>
      </c>
      <c r="B82" s="3" t="s">
        <v>359</v>
      </c>
      <c r="C82" s="3">
        <v>167</v>
      </c>
      <c r="D82" s="3">
        <v>380</v>
      </c>
      <c r="E82" s="3">
        <v>440</v>
      </c>
      <c r="F82" s="3">
        <v>19.3</v>
      </c>
      <c r="G82" s="3" t="s">
        <v>275</v>
      </c>
      <c r="H82" s="3">
        <v>1</v>
      </c>
      <c r="I82" s="3">
        <v>1</v>
      </c>
      <c r="J82" s="3">
        <v>1</v>
      </c>
      <c r="K82" s="3">
        <v>1</v>
      </c>
      <c r="L82" s="3">
        <v>0</v>
      </c>
      <c r="M82" s="3">
        <v>7000</v>
      </c>
      <c r="N82" s="3">
        <v>7700</v>
      </c>
      <c r="O82" s="3">
        <v>1</v>
      </c>
      <c r="P82" s="3">
        <v>3</v>
      </c>
      <c r="Q82" s="3">
        <v>600</v>
      </c>
      <c r="R82" s="3">
        <v>80</v>
      </c>
      <c r="S82" s="3">
        <v>550</v>
      </c>
      <c r="T82" s="3">
        <v>80</v>
      </c>
      <c r="U82" s="3">
        <v>550</v>
      </c>
      <c r="V82" s="3">
        <v>225</v>
      </c>
      <c r="W82" s="3">
        <v>360</v>
      </c>
      <c r="X82" s="3">
        <v>18</v>
      </c>
      <c r="Y82" s="3">
        <v>14</v>
      </c>
      <c r="Z82" s="3">
        <v>1</v>
      </c>
      <c r="AA82" s="3">
        <v>0</v>
      </c>
      <c r="AB82" s="3">
        <v>0</v>
      </c>
      <c r="AC82" s="3">
        <v>220</v>
      </c>
      <c r="AE82" s="4">
        <v>35</v>
      </c>
      <c r="AF82">
        <v>31.8</v>
      </c>
      <c r="AG82">
        <v>50</v>
      </c>
      <c r="AH82">
        <v>60</v>
      </c>
      <c r="AI82">
        <v>-25</v>
      </c>
      <c r="AJ82" t="s">
        <v>276</v>
      </c>
      <c r="AK82" t="s">
        <v>277</v>
      </c>
      <c r="AL82">
        <v>0</v>
      </c>
      <c r="AN82">
        <v>80</v>
      </c>
      <c r="AO82">
        <v>0</v>
      </c>
      <c r="AP82">
        <f t="shared" si="20"/>
        <v>3</v>
      </c>
      <c r="AR82">
        <v>1</v>
      </c>
      <c r="AS82">
        <v>0</v>
      </c>
      <c r="AT82">
        <v>0</v>
      </c>
      <c r="AU82">
        <v>0</v>
      </c>
      <c r="AW82">
        <v>0</v>
      </c>
      <c r="AY82" t="str">
        <f t="shared" si="21"/>
        <v>3</v>
      </c>
      <c r="BA82" s="13" t="str">
        <f t="shared" si="22"/>
        <v>('G7', 3, 380, 440, 167, 19.3, 60, -25, 'CONVECÇÃO NATURAL', 'IP65', 'TRANSFORMERLESS', 7000, 7700, 220, 31.8, 35, 50, 3, 3, 0),</v>
      </c>
      <c r="BB82" t="str">
        <f t="shared" si="23"/>
        <v xml:space="preserve">(80, 0, 1, 600, 80, 550, 80, 550, 225, 360, 18, 14), </v>
      </c>
      <c r="BC82" t="str">
        <f t="shared" si="24"/>
        <v>(80, 'ON-GRID'),</v>
      </c>
      <c r="BD82" t="str">
        <f t="shared" si="25"/>
        <v/>
      </c>
      <c r="BE82" t="str">
        <f t="shared" si="26"/>
        <v/>
      </c>
      <c r="BF82" t="str">
        <f t="shared" si="27"/>
        <v/>
      </c>
      <c r="BG82" t="str">
        <f t="shared" si="31"/>
        <v>(80, 'WIFI'),</v>
      </c>
      <c r="BH82" t="str">
        <f t="shared" si="32"/>
        <v>(80, 'RS485'),</v>
      </c>
      <c r="BI82" t="str">
        <f t="shared" si="33"/>
        <v>(80, 'DISPLAY'),</v>
      </c>
      <c r="BJ82" t="str">
        <f t="shared" si="34"/>
        <v>(80, 'LED'),</v>
      </c>
      <c r="BK82" t="str">
        <f t="shared" si="35"/>
        <v/>
      </c>
      <c r="BL82" t="str">
        <f t="shared" si="36"/>
        <v/>
      </c>
      <c r="BM82" t="str">
        <f t="shared" si="28"/>
        <v/>
      </c>
      <c r="BN82" t="str">
        <f t="shared" si="29"/>
        <v/>
      </c>
      <c r="BO82" t="str">
        <f t="shared" si="30"/>
        <v>(80, 'SINGLE_PHASE'),</v>
      </c>
    </row>
    <row r="83" spans="1:67">
      <c r="A83" s="2" t="s">
        <v>360</v>
      </c>
      <c r="B83" s="3" t="s">
        <v>359</v>
      </c>
      <c r="C83" s="3">
        <v>167</v>
      </c>
      <c r="D83" s="3">
        <v>380</v>
      </c>
      <c r="E83" s="3">
        <v>440</v>
      </c>
      <c r="F83" s="3">
        <v>19.3</v>
      </c>
      <c r="G83" s="3" t="s">
        <v>275</v>
      </c>
      <c r="H83" s="3">
        <v>1</v>
      </c>
      <c r="I83" s="3">
        <v>1</v>
      </c>
      <c r="J83" s="3">
        <v>1</v>
      </c>
      <c r="K83" s="3">
        <v>1</v>
      </c>
      <c r="L83" s="3">
        <v>0</v>
      </c>
      <c r="M83" s="3">
        <v>8000</v>
      </c>
      <c r="N83" s="3">
        <v>8800</v>
      </c>
      <c r="O83" s="3">
        <v>1</v>
      </c>
      <c r="P83" s="3">
        <v>3</v>
      </c>
      <c r="Q83" s="3">
        <v>600</v>
      </c>
      <c r="R83" s="3">
        <v>80</v>
      </c>
      <c r="S83" s="3">
        <v>550</v>
      </c>
      <c r="T83" s="3">
        <v>80</v>
      </c>
      <c r="U83" s="3">
        <v>550</v>
      </c>
      <c r="V83" s="3">
        <v>225</v>
      </c>
      <c r="W83" s="3">
        <v>360</v>
      </c>
      <c r="X83" s="3">
        <v>18</v>
      </c>
      <c r="Y83" s="3">
        <v>14</v>
      </c>
      <c r="Z83" s="3">
        <v>1</v>
      </c>
      <c r="AA83" s="3">
        <v>0</v>
      </c>
      <c r="AB83" s="3">
        <v>0</v>
      </c>
      <c r="AC83" s="3">
        <v>220</v>
      </c>
      <c r="AE83" s="4">
        <v>40</v>
      </c>
      <c r="AF83">
        <v>36.4</v>
      </c>
      <c r="AG83">
        <v>50</v>
      </c>
      <c r="AH83">
        <v>60</v>
      </c>
      <c r="AI83">
        <v>-25</v>
      </c>
      <c r="AJ83" t="s">
        <v>276</v>
      </c>
      <c r="AK83" t="s">
        <v>277</v>
      </c>
      <c r="AL83">
        <v>0</v>
      </c>
      <c r="AN83">
        <v>81</v>
      </c>
      <c r="AO83">
        <v>0</v>
      </c>
      <c r="AP83">
        <f t="shared" si="20"/>
        <v>3</v>
      </c>
      <c r="AR83">
        <v>1</v>
      </c>
      <c r="AS83">
        <v>0</v>
      </c>
      <c r="AT83">
        <v>0</v>
      </c>
      <c r="AU83">
        <v>0</v>
      </c>
      <c r="AW83">
        <v>0</v>
      </c>
      <c r="AY83" t="str">
        <f t="shared" si="21"/>
        <v>3</v>
      </c>
      <c r="BA83" s="13" t="str">
        <f t="shared" si="22"/>
        <v>('G8', 3, 380, 440, 167, 19.3, 60, -25, 'CONVECÇÃO NATURAL', 'IP65', 'TRANSFORMERLESS', 8000, 8800, 220, 36.4, 40, 50, 3, 3, 0),</v>
      </c>
      <c r="BB83" t="str">
        <f t="shared" si="23"/>
        <v xml:space="preserve">(81, 0, 1, 600, 80, 550, 80, 550, 225, 360, 18, 14), </v>
      </c>
      <c r="BC83" t="str">
        <f t="shared" si="24"/>
        <v>(81, 'ON-GRID'),</v>
      </c>
      <c r="BD83" t="str">
        <f t="shared" si="25"/>
        <v/>
      </c>
      <c r="BE83" t="str">
        <f t="shared" si="26"/>
        <v/>
      </c>
      <c r="BF83" t="str">
        <f t="shared" si="27"/>
        <v/>
      </c>
      <c r="BG83" t="str">
        <f t="shared" si="31"/>
        <v>(81, 'WIFI'),</v>
      </c>
      <c r="BH83" t="str">
        <f t="shared" si="32"/>
        <v>(81, 'RS485'),</v>
      </c>
      <c r="BI83" t="str">
        <f t="shared" si="33"/>
        <v>(81, 'DISPLAY'),</v>
      </c>
      <c r="BJ83" t="str">
        <f t="shared" si="34"/>
        <v>(81, 'LED'),</v>
      </c>
      <c r="BK83" t="str">
        <f t="shared" si="35"/>
        <v/>
      </c>
      <c r="BL83" t="str">
        <f t="shared" si="36"/>
        <v/>
      </c>
      <c r="BM83" t="str">
        <f t="shared" si="28"/>
        <v/>
      </c>
      <c r="BN83" t="str">
        <f t="shared" si="29"/>
        <v/>
      </c>
      <c r="BO83" t="str">
        <f t="shared" si="30"/>
        <v>(81, 'SINGLE_PHASE'),</v>
      </c>
    </row>
    <row r="84" spans="1:67">
      <c r="A84" s="2" t="s">
        <v>361</v>
      </c>
      <c r="B84" s="3" t="s">
        <v>359</v>
      </c>
      <c r="C84" s="3">
        <v>167</v>
      </c>
      <c r="D84" s="3">
        <v>380</v>
      </c>
      <c r="E84" s="3">
        <v>440</v>
      </c>
      <c r="F84" s="3">
        <v>19.3</v>
      </c>
      <c r="G84" s="3" t="s">
        <v>275</v>
      </c>
      <c r="H84" s="3">
        <v>1</v>
      </c>
      <c r="I84" s="3">
        <v>1</v>
      </c>
      <c r="J84" s="3">
        <v>1</v>
      </c>
      <c r="K84" s="3">
        <v>1</v>
      </c>
      <c r="L84" s="3">
        <v>0</v>
      </c>
      <c r="M84" s="3">
        <v>9000</v>
      </c>
      <c r="N84" s="3">
        <v>9900</v>
      </c>
      <c r="O84" s="3">
        <v>1</v>
      </c>
      <c r="P84" s="3">
        <v>3</v>
      </c>
      <c r="Q84" s="3">
        <v>600</v>
      </c>
      <c r="R84" s="3">
        <v>80</v>
      </c>
      <c r="S84" s="3">
        <v>550</v>
      </c>
      <c r="T84" s="3">
        <v>80</v>
      </c>
      <c r="U84" s="3">
        <v>550</v>
      </c>
      <c r="V84" s="3">
        <v>255</v>
      </c>
      <c r="W84" s="3">
        <v>360</v>
      </c>
      <c r="X84" s="3">
        <v>18</v>
      </c>
      <c r="Y84" s="3">
        <v>14</v>
      </c>
      <c r="Z84" s="3">
        <v>1</v>
      </c>
      <c r="AA84" s="3">
        <v>0</v>
      </c>
      <c r="AB84" s="3">
        <v>0</v>
      </c>
      <c r="AC84" s="3">
        <v>220</v>
      </c>
      <c r="AE84" s="4">
        <v>45</v>
      </c>
      <c r="AF84">
        <v>40.9</v>
      </c>
      <c r="AG84">
        <v>50</v>
      </c>
      <c r="AH84">
        <v>60</v>
      </c>
      <c r="AI84">
        <v>-25</v>
      </c>
      <c r="AJ84" t="s">
        <v>276</v>
      </c>
      <c r="AK84" t="s">
        <v>277</v>
      </c>
      <c r="AL84">
        <v>0</v>
      </c>
      <c r="AN84">
        <v>82</v>
      </c>
      <c r="AO84">
        <v>0</v>
      </c>
      <c r="AP84">
        <f t="shared" si="20"/>
        <v>3</v>
      </c>
      <c r="AR84">
        <v>1</v>
      </c>
      <c r="AS84">
        <v>0</v>
      </c>
      <c r="AT84">
        <v>0</v>
      </c>
      <c r="AU84">
        <v>0</v>
      </c>
      <c r="AW84">
        <v>0</v>
      </c>
      <c r="AY84" t="str">
        <f t="shared" si="21"/>
        <v>3</v>
      </c>
      <c r="BA84" s="13" t="str">
        <f t="shared" si="22"/>
        <v>('G9', 3, 380, 440, 167, 19.3, 60, -25, 'CONVECÇÃO NATURAL', 'IP65', 'TRANSFORMERLESS', 9000, 9900, 220, 40.9, 45, 50, 3, 3, 0),</v>
      </c>
      <c r="BB84" t="str">
        <f t="shared" si="23"/>
        <v xml:space="preserve">(82, 0, 1, 600, 80, 550, 80, 550, 255, 360, 18, 14), </v>
      </c>
      <c r="BC84" t="str">
        <f t="shared" si="24"/>
        <v>(82, 'ON-GRID'),</v>
      </c>
      <c r="BD84" t="str">
        <f t="shared" si="25"/>
        <v/>
      </c>
      <c r="BE84" t="str">
        <f t="shared" si="26"/>
        <v/>
      </c>
      <c r="BF84" t="str">
        <f t="shared" si="27"/>
        <v/>
      </c>
      <c r="BG84" t="str">
        <f t="shared" si="31"/>
        <v>(82, 'WIFI'),</v>
      </c>
      <c r="BH84" t="str">
        <f t="shared" si="32"/>
        <v>(82, 'RS485'),</v>
      </c>
      <c r="BI84" t="str">
        <f t="shared" si="33"/>
        <v>(82, 'DISPLAY'),</v>
      </c>
      <c r="BJ84" t="str">
        <f t="shared" si="34"/>
        <v>(82, 'LED'),</v>
      </c>
      <c r="BK84" t="str">
        <f t="shared" si="35"/>
        <v/>
      </c>
      <c r="BL84" t="str">
        <f t="shared" si="36"/>
        <v/>
      </c>
      <c r="BM84" t="str">
        <f t="shared" si="28"/>
        <v/>
      </c>
      <c r="BN84" t="str">
        <f t="shared" si="29"/>
        <v/>
      </c>
      <c r="BO84" t="str">
        <f t="shared" si="30"/>
        <v>(82, 'SINGLE_PHASE'),</v>
      </c>
    </row>
    <row r="85" spans="1:67">
      <c r="A85" s="2" t="s">
        <v>362</v>
      </c>
      <c r="B85" s="3" t="s">
        <v>359</v>
      </c>
      <c r="C85" s="3">
        <v>167</v>
      </c>
      <c r="D85" s="3">
        <v>380</v>
      </c>
      <c r="E85" s="3">
        <v>440</v>
      </c>
      <c r="F85" s="3">
        <v>19.3</v>
      </c>
      <c r="G85" s="3" t="s">
        <v>275</v>
      </c>
      <c r="H85" s="3">
        <v>1</v>
      </c>
      <c r="I85" s="3">
        <v>1</v>
      </c>
      <c r="J85" s="3">
        <v>1</v>
      </c>
      <c r="K85" s="3">
        <v>1</v>
      </c>
      <c r="L85" s="3">
        <v>0</v>
      </c>
      <c r="M85" s="3">
        <v>10000</v>
      </c>
      <c r="N85" s="3">
        <v>10500</v>
      </c>
      <c r="O85" s="3">
        <v>1</v>
      </c>
      <c r="P85" s="3">
        <v>3</v>
      </c>
      <c r="Q85" s="3">
        <v>600</v>
      </c>
      <c r="R85" s="3">
        <v>80</v>
      </c>
      <c r="S85" s="3">
        <v>550</v>
      </c>
      <c r="T85" s="3">
        <v>80</v>
      </c>
      <c r="U85" s="3">
        <v>550</v>
      </c>
      <c r="V85" s="3">
        <v>280</v>
      </c>
      <c r="W85" s="3">
        <v>360</v>
      </c>
      <c r="X85" s="3">
        <v>18</v>
      </c>
      <c r="Y85" s="3">
        <v>14</v>
      </c>
      <c r="Z85" s="3">
        <v>1</v>
      </c>
      <c r="AA85" s="3">
        <v>0</v>
      </c>
      <c r="AB85" s="3">
        <v>0</v>
      </c>
      <c r="AC85" s="3">
        <v>220</v>
      </c>
      <c r="AE85" s="4">
        <v>47.7</v>
      </c>
      <c r="AF85">
        <v>45.5</v>
      </c>
      <c r="AG85">
        <v>50</v>
      </c>
      <c r="AH85">
        <v>60</v>
      </c>
      <c r="AI85">
        <v>-25</v>
      </c>
      <c r="AJ85" t="s">
        <v>276</v>
      </c>
      <c r="AK85" t="s">
        <v>277</v>
      </c>
      <c r="AL85">
        <v>0</v>
      </c>
      <c r="AN85">
        <v>83</v>
      </c>
      <c r="AO85">
        <v>0</v>
      </c>
      <c r="AP85">
        <f t="shared" si="20"/>
        <v>3</v>
      </c>
      <c r="AR85">
        <v>1</v>
      </c>
      <c r="AS85">
        <v>0</v>
      </c>
      <c r="AT85">
        <v>0</v>
      </c>
      <c r="AU85">
        <v>0</v>
      </c>
      <c r="AW85">
        <v>0</v>
      </c>
      <c r="AY85" t="str">
        <f t="shared" si="21"/>
        <v>3</v>
      </c>
      <c r="BA85" s="13" t="str">
        <f t="shared" si="22"/>
        <v>('G10', 3, 380, 440, 167, 19.3, 60, -25, 'CONVECÇÃO NATURAL', 'IP65', 'TRANSFORMERLESS', 10000, 10500, 220, 45.5, 47.7, 50, 3, 3, 0),</v>
      </c>
      <c r="BB85" t="str">
        <f t="shared" si="23"/>
        <v xml:space="preserve">(83, 0, 1, 600, 80, 550, 80, 550, 280, 360, 18, 14), </v>
      </c>
      <c r="BC85" t="str">
        <f t="shared" si="24"/>
        <v>(83, 'ON-GRID'),</v>
      </c>
      <c r="BD85" t="str">
        <f t="shared" si="25"/>
        <v/>
      </c>
      <c r="BE85" t="str">
        <f t="shared" si="26"/>
        <v/>
      </c>
      <c r="BF85" t="str">
        <f t="shared" si="27"/>
        <v/>
      </c>
      <c r="BG85" t="str">
        <f t="shared" si="31"/>
        <v>(83, 'WIFI'),</v>
      </c>
      <c r="BH85" t="str">
        <f t="shared" si="32"/>
        <v>(83, 'RS485'),</v>
      </c>
      <c r="BI85" t="str">
        <f t="shared" si="33"/>
        <v>(83, 'DISPLAY'),</v>
      </c>
      <c r="BJ85" t="str">
        <f t="shared" si="34"/>
        <v>(83, 'LED'),</v>
      </c>
      <c r="BK85" t="str">
        <f t="shared" si="35"/>
        <v/>
      </c>
      <c r="BL85" t="str">
        <f t="shared" si="36"/>
        <v/>
      </c>
      <c r="BM85" t="str">
        <f t="shared" si="28"/>
        <v/>
      </c>
      <c r="BN85" t="str">
        <f t="shared" si="29"/>
        <v/>
      </c>
      <c r="BO85" t="str">
        <f t="shared" si="30"/>
        <v>(83, 'SINGLE_PHASE'),</v>
      </c>
    </row>
    <row r="86" spans="1:67">
      <c r="A86" s="2" t="s">
        <v>363</v>
      </c>
      <c r="B86" s="3" t="s">
        <v>359</v>
      </c>
      <c r="C86" s="3">
        <v>167</v>
      </c>
      <c r="D86" s="3">
        <v>380</v>
      </c>
      <c r="E86" s="3">
        <v>440</v>
      </c>
      <c r="F86" s="3">
        <v>19.3</v>
      </c>
      <c r="G86" s="3" t="s">
        <v>275</v>
      </c>
      <c r="H86" s="3">
        <v>1</v>
      </c>
      <c r="I86" s="3">
        <v>1</v>
      </c>
      <c r="J86" s="3">
        <v>1</v>
      </c>
      <c r="K86" s="3">
        <v>1</v>
      </c>
      <c r="L86" s="3">
        <v>0</v>
      </c>
      <c r="M86" s="3">
        <v>10500</v>
      </c>
      <c r="N86" s="3">
        <v>10500</v>
      </c>
      <c r="O86" s="3">
        <v>1</v>
      </c>
      <c r="P86" s="3">
        <v>3</v>
      </c>
      <c r="Q86" s="3">
        <v>600</v>
      </c>
      <c r="R86" s="3">
        <v>80</v>
      </c>
      <c r="S86" s="3">
        <v>550</v>
      </c>
      <c r="T86" s="3">
        <v>80</v>
      </c>
      <c r="U86" s="3">
        <v>550</v>
      </c>
      <c r="V86" s="3">
        <v>285</v>
      </c>
      <c r="W86" s="3">
        <v>360</v>
      </c>
      <c r="X86" s="3">
        <v>18</v>
      </c>
      <c r="Y86" s="3">
        <v>14</v>
      </c>
      <c r="Z86" s="3">
        <v>1</v>
      </c>
      <c r="AA86" s="3">
        <v>0</v>
      </c>
      <c r="AB86" s="3">
        <v>0</v>
      </c>
      <c r="AC86" s="3">
        <v>220</v>
      </c>
      <c r="AE86" s="4">
        <v>47.7</v>
      </c>
      <c r="AF86">
        <v>47.7</v>
      </c>
      <c r="AG86">
        <v>50</v>
      </c>
      <c r="AH86">
        <v>60</v>
      </c>
      <c r="AI86">
        <v>-25</v>
      </c>
      <c r="AJ86" t="s">
        <v>276</v>
      </c>
      <c r="AK86" t="s">
        <v>277</v>
      </c>
      <c r="AL86">
        <v>0</v>
      </c>
      <c r="AN86">
        <v>84</v>
      </c>
      <c r="AO86">
        <v>0</v>
      </c>
      <c r="AP86">
        <f t="shared" si="20"/>
        <v>3</v>
      </c>
      <c r="AR86">
        <v>1</v>
      </c>
      <c r="AS86">
        <v>0</v>
      </c>
      <c r="AT86">
        <v>0</v>
      </c>
      <c r="AU86">
        <v>0</v>
      </c>
      <c r="AW86">
        <v>0</v>
      </c>
      <c r="AY86" t="str">
        <f t="shared" si="21"/>
        <v>3</v>
      </c>
      <c r="BA86" s="13" t="str">
        <f t="shared" si="22"/>
        <v>('G10.5', 3, 380, 440, 167, 19.3, 60, -25, 'CONVECÇÃO NATURAL', 'IP65', 'TRANSFORMERLESS', 10500, 10500, 220, 47.7, 47.7, 50, 3, 3, 0),</v>
      </c>
      <c r="BB86" t="str">
        <f t="shared" si="23"/>
        <v xml:space="preserve">(84, 0, 1, 600, 80, 550, 80, 550, 285, 360, 18, 14), </v>
      </c>
      <c r="BC86" t="str">
        <f t="shared" si="24"/>
        <v>(84, 'ON-GRID'),</v>
      </c>
      <c r="BD86" t="str">
        <f t="shared" si="25"/>
        <v/>
      </c>
      <c r="BE86" t="str">
        <f t="shared" si="26"/>
        <v/>
      </c>
      <c r="BF86" t="str">
        <f t="shared" si="27"/>
        <v/>
      </c>
      <c r="BG86" t="str">
        <f t="shared" si="31"/>
        <v>(84, 'WIFI'),</v>
      </c>
      <c r="BH86" t="str">
        <f t="shared" si="32"/>
        <v>(84, 'RS485'),</v>
      </c>
      <c r="BI86" t="str">
        <f t="shared" si="33"/>
        <v>(84, 'DISPLAY'),</v>
      </c>
      <c r="BJ86" t="str">
        <f t="shared" si="34"/>
        <v>(84, 'LED'),</v>
      </c>
      <c r="BK86" t="str">
        <f t="shared" si="35"/>
        <v/>
      </c>
      <c r="BL86" t="str">
        <f t="shared" si="36"/>
        <v/>
      </c>
      <c r="BM86" t="str">
        <f t="shared" si="28"/>
        <v/>
      </c>
      <c r="BN86" t="str">
        <f t="shared" si="29"/>
        <v/>
      </c>
      <c r="BO86" t="str">
        <f t="shared" si="30"/>
        <v>(84, 'SINGLE_PHASE'),</v>
      </c>
    </row>
    <row r="87" spans="1:67">
      <c r="A87" s="2" t="s">
        <v>364</v>
      </c>
      <c r="B87" s="3" t="s">
        <v>359</v>
      </c>
      <c r="C87" s="3">
        <v>186</v>
      </c>
      <c r="D87" s="3">
        <v>384</v>
      </c>
      <c r="E87" s="3">
        <v>475</v>
      </c>
      <c r="F87" s="3">
        <v>20</v>
      </c>
      <c r="G87" s="3" t="s">
        <v>275</v>
      </c>
      <c r="H87" s="3">
        <v>1</v>
      </c>
      <c r="I87" s="3">
        <v>1</v>
      </c>
      <c r="J87" s="3">
        <v>1</v>
      </c>
      <c r="K87" s="3">
        <v>1</v>
      </c>
      <c r="L87" s="3">
        <v>0</v>
      </c>
      <c r="M87" s="3">
        <v>3000</v>
      </c>
      <c r="N87" s="3">
        <v>3300</v>
      </c>
      <c r="O87" s="3">
        <v>2</v>
      </c>
      <c r="P87" s="3">
        <v>1</v>
      </c>
      <c r="Q87" s="3">
        <v>1100</v>
      </c>
      <c r="R87" s="3">
        <v>180</v>
      </c>
      <c r="S87" s="3">
        <v>850</v>
      </c>
      <c r="T87" s="3">
        <v>160</v>
      </c>
      <c r="U87" s="3">
        <v>850</v>
      </c>
      <c r="V87" s="3">
        <v>160</v>
      </c>
      <c r="W87" s="3">
        <v>600</v>
      </c>
      <c r="X87" s="3">
        <v>16.25</v>
      </c>
      <c r="Y87" s="3">
        <v>12.5</v>
      </c>
      <c r="Z87" s="3">
        <v>0</v>
      </c>
      <c r="AA87" s="3">
        <v>0</v>
      </c>
      <c r="AB87" s="3">
        <v>1</v>
      </c>
      <c r="AC87" s="3">
        <v>380</v>
      </c>
      <c r="AE87" s="4">
        <v>4.8</v>
      </c>
      <c r="AF87">
        <v>4.3</v>
      </c>
      <c r="AG87">
        <v>50</v>
      </c>
      <c r="AH87">
        <v>60</v>
      </c>
      <c r="AI87">
        <v>-20</v>
      </c>
      <c r="AJ87" t="s">
        <v>276</v>
      </c>
      <c r="AK87" t="s">
        <v>277</v>
      </c>
      <c r="AL87">
        <v>0</v>
      </c>
      <c r="AN87">
        <v>85</v>
      </c>
      <c r="AO87">
        <v>0</v>
      </c>
      <c r="AP87">
        <f t="shared" si="20"/>
        <v>2</v>
      </c>
      <c r="AR87">
        <v>1</v>
      </c>
      <c r="AS87">
        <v>0</v>
      </c>
      <c r="AT87">
        <v>0</v>
      </c>
      <c r="AU87">
        <v>0</v>
      </c>
      <c r="AW87">
        <v>0</v>
      </c>
      <c r="AY87" t="str">
        <f t="shared" si="21"/>
        <v>3</v>
      </c>
      <c r="BA87" s="13" t="str">
        <f t="shared" si="22"/>
        <v>('T3', 3, 384, 475, 186, 20, 60, -20, 'CONVECÇÃO NATURAL', 'IP65', 'TRANSFORMERLESS', 3000, 3300, 380, 4.3, 4.8, 50, 1, 2, 0),</v>
      </c>
      <c r="BB87" t="str">
        <f t="shared" si="23"/>
        <v xml:space="preserve">(85, 0, 2, 1100, 180, 850, 160, 850, 160, 600, 16.25, 12.5), </v>
      </c>
      <c r="BC87" t="str">
        <f t="shared" si="24"/>
        <v>(85, 'ON-GRID'),</v>
      </c>
      <c r="BD87" t="str">
        <f t="shared" si="25"/>
        <v/>
      </c>
      <c r="BE87" t="str">
        <f t="shared" si="26"/>
        <v/>
      </c>
      <c r="BF87" t="str">
        <f t="shared" si="27"/>
        <v/>
      </c>
      <c r="BG87" t="str">
        <f t="shared" si="31"/>
        <v>(85, 'WIFI'),</v>
      </c>
      <c r="BH87" t="str">
        <f t="shared" si="32"/>
        <v>(85, 'RS485'),</v>
      </c>
      <c r="BI87" t="str">
        <f t="shared" si="33"/>
        <v>(85, 'DISPLAY'),</v>
      </c>
      <c r="BJ87" t="str">
        <f t="shared" si="34"/>
        <v>(85, 'LED'),</v>
      </c>
      <c r="BK87" t="str">
        <f t="shared" si="35"/>
        <v/>
      </c>
      <c r="BL87" t="str">
        <f t="shared" si="36"/>
        <v/>
      </c>
      <c r="BM87" t="str">
        <f t="shared" si="28"/>
        <v/>
      </c>
      <c r="BN87" t="str">
        <f t="shared" si="29"/>
        <v>(85, 'THREE_PHASE_FOUR_WIRE'),</v>
      </c>
      <c r="BO87" t="str">
        <f t="shared" si="30"/>
        <v/>
      </c>
    </row>
    <row r="88" spans="1:67">
      <c r="A88" s="2" t="s">
        <v>365</v>
      </c>
      <c r="B88" s="3" t="s">
        <v>359</v>
      </c>
      <c r="C88" s="3">
        <v>186</v>
      </c>
      <c r="D88" s="3">
        <v>384</v>
      </c>
      <c r="E88" s="3">
        <v>475</v>
      </c>
      <c r="F88" s="3">
        <v>20</v>
      </c>
      <c r="G88" s="3" t="s">
        <v>275</v>
      </c>
      <c r="H88" s="3">
        <v>1</v>
      </c>
      <c r="I88" s="3">
        <v>1</v>
      </c>
      <c r="J88" s="3">
        <v>1</v>
      </c>
      <c r="K88" s="3">
        <v>1</v>
      </c>
      <c r="L88" s="3">
        <v>0</v>
      </c>
      <c r="M88" s="3">
        <v>4000</v>
      </c>
      <c r="N88" s="3">
        <v>4400</v>
      </c>
      <c r="O88" s="3">
        <v>2</v>
      </c>
      <c r="P88" s="3">
        <v>1</v>
      </c>
      <c r="Q88" s="3">
        <v>1100</v>
      </c>
      <c r="R88" s="3">
        <v>180</v>
      </c>
      <c r="S88" s="3">
        <v>850</v>
      </c>
      <c r="T88" s="3">
        <v>160</v>
      </c>
      <c r="U88" s="3">
        <v>850</v>
      </c>
      <c r="V88" s="3">
        <v>180</v>
      </c>
      <c r="W88" s="3">
        <v>600</v>
      </c>
      <c r="X88" s="3">
        <v>16.25</v>
      </c>
      <c r="Y88" s="3">
        <v>12.5</v>
      </c>
      <c r="Z88" s="3">
        <v>0</v>
      </c>
      <c r="AA88" s="3">
        <v>0</v>
      </c>
      <c r="AB88" s="3">
        <v>1</v>
      </c>
      <c r="AC88" s="3">
        <v>380</v>
      </c>
      <c r="AE88" s="4">
        <v>6.4</v>
      </c>
      <c r="AF88">
        <v>5.8</v>
      </c>
      <c r="AG88">
        <v>50</v>
      </c>
      <c r="AH88">
        <v>60</v>
      </c>
      <c r="AI88">
        <v>-20</v>
      </c>
      <c r="AJ88" t="s">
        <v>276</v>
      </c>
      <c r="AK88" t="s">
        <v>277</v>
      </c>
      <c r="AL88">
        <v>0</v>
      </c>
      <c r="AN88">
        <v>86</v>
      </c>
      <c r="AO88">
        <v>0</v>
      </c>
      <c r="AP88">
        <f t="shared" si="20"/>
        <v>2</v>
      </c>
      <c r="AR88">
        <v>1</v>
      </c>
      <c r="AS88">
        <v>0</v>
      </c>
      <c r="AT88">
        <v>0</v>
      </c>
      <c r="AU88">
        <v>0</v>
      </c>
      <c r="AW88">
        <v>0</v>
      </c>
      <c r="AY88" t="str">
        <f t="shared" si="21"/>
        <v>3</v>
      </c>
      <c r="BA88" s="13" t="str">
        <f t="shared" si="22"/>
        <v>('T4', 3, 384, 475, 186, 20, 60, -20, 'CONVECÇÃO NATURAL', 'IP65', 'TRANSFORMERLESS', 4000, 4400, 380, 5.8, 6.4, 50, 1, 2, 0),</v>
      </c>
      <c r="BB88" t="str">
        <f t="shared" si="23"/>
        <v xml:space="preserve">(86, 0, 2, 1100, 180, 850, 160, 850, 180, 600, 16.25, 12.5), </v>
      </c>
      <c r="BC88" t="str">
        <f t="shared" si="24"/>
        <v>(86, 'ON-GRID'),</v>
      </c>
      <c r="BD88" t="str">
        <f t="shared" si="25"/>
        <v/>
      </c>
      <c r="BE88" t="str">
        <f t="shared" si="26"/>
        <v/>
      </c>
      <c r="BF88" t="str">
        <f t="shared" si="27"/>
        <v/>
      </c>
      <c r="BG88" t="str">
        <f t="shared" si="31"/>
        <v>(86, 'WIFI'),</v>
      </c>
      <c r="BH88" t="str">
        <f t="shared" si="32"/>
        <v>(86, 'RS485'),</v>
      </c>
      <c r="BI88" t="str">
        <f t="shared" si="33"/>
        <v>(86, 'DISPLAY'),</v>
      </c>
      <c r="BJ88" t="str">
        <f t="shared" si="34"/>
        <v>(86, 'LED'),</v>
      </c>
      <c r="BK88" t="str">
        <f t="shared" si="35"/>
        <v/>
      </c>
      <c r="BL88" t="str">
        <f t="shared" si="36"/>
        <v/>
      </c>
      <c r="BM88" t="str">
        <f t="shared" si="28"/>
        <v/>
      </c>
      <c r="BN88" t="str">
        <f t="shared" si="29"/>
        <v>(86, 'THREE_PHASE_FOUR_WIRE'),</v>
      </c>
      <c r="BO88" t="str">
        <f t="shared" si="30"/>
        <v/>
      </c>
    </row>
    <row r="89" spans="1:67">
      <c r="A89" s="2" t="s">
        <v>21</v>
      </c>
      <c r="B89" s="3" t="s">
        <v>359</v>
      </c>
      <c r="C89" s="3">
        <v>186</v>
      </c>
      <c r="D89" s="3">
        <v>384</v>
      </c>
      <c r="E89" s="3">
        <v>475</v>
      </c>
      <c r="F89" s="3">
        <v>20</v>
      </c>
      <c r="G89" s="3" t="s">
        <v>275</v>
      </c>
      <c r="H89" s="3">
        <v>1</v>
      </c>
      <c r="I89" s="3">
        <v>1</v>
      </c>
      <c r="J89" s="3">
        <v>1</v>
      </c>
      <c r="K89" s="3">
        <v>1</v>
      </c>
      <c r="L89" s="3">
        <v>0</v>
      </c>
      <c r="M89" s="3">
        <v>5000</v>
      </c>
      <c r="N89" s="3">
        <v>5500</v>
      </c>
      <c r="O89" s="3">
        <v>2</v>
      </c>
      <c r="P89" s="3">
        <v>1</v>
      </c>
      <c r="Q89" s="3">
        <v>1100</v>
      </c>
      <c r="R89" s="3">
        <v>180</v>
      </c>
      <c r="S89" s="3">
        <v>850</v>
      </c>
      <c r="T89" s="3">
        <v>160</v>
      </c>
      <c r="U89" s="3">
        <v>850</v>
      </c>
      <c r="V89" s="3">
        <v>210</v>
      </c>
      <c r="W89" s="3">
        <v>600</v>
      </c>
      <c r="X89" s="3">
        <v>16.25</v>
      </c>
      <c r="Y89" s="3">
        <v>12.5</v>
      </c>
      <c r="Z89" s="3">
        <v>0</v>
      </c>
      <c r="AA89" s="3">
        <v>0</v>
      </c>
      <c r="AB89" s="3">
        <v>1</v>
      </c>
      <c r="AC89" s="3">
        <v>380</v>
      </c>
      <c r="AE89" s="4">
        <v>8</v>
      </c>
      <c r="AF89">
        <v>7.2</v>
      </c>
      <c r="AG89">
        <v>50</v>
      </c>
      <c r="AH89">
        <v>60</v>
      </c>
      <c r="AI89">
        <v>-20</v>
      </c>
      <c r="AJ89" t="s">
        <v>276</v>
      </c>
      <c r="AK89" t="s">
        <v>277</v>
      </c>
      <c r="AL89">
        <v>0</v>
      </c>
      <c r="AN89">
        <v>87</v>
      </c>
      <c r="AO89">
        <v>0</v>
      </c>
      <c r="AP89">
        <f t="shared" si="20"/>
        <v>2</v>
      </c>
      <c r="AR89">
        <v>1</v>
      </c>
      <c r="AS89">
        <v>0</v>
      </c>
      <c r="AT89">
        <v>0</v>
      </c>
      <c r="AU89">
        <v>0</v>
      </c>
      <c r="AW89">
        <v>0</v>
      </c>
      <c r="AY89" t="str">
        <f t="shared" si="21"/>
        <v>3</v>
      </c>
      <c r="BA89" s="13" t="str">
        <f t="shared" si="22"/>
        <v>('T5', 3, 384, 475, 186, 20, 60, -20, 'CONVECÇÃO NATURAL', 'IP65', 'TRANSFORMERLESS', 5000, 5500, 380, 7.2, 8, 50, 1, 2, 0),</v>
      </c>
      <c r="BB89" t="str">
        <f t="shared" si="23"/>
        <v xml:space="preserve">(87, 0, 2, 1100, 180, 850, 160, 850, 210, 600, 16.25, 12.5), </v>
      </c>
      <c r="BC89" t="str">
        <f t="shared" si="24"/>
        <v>(87, 'ON-GRID'),</v>
      </c>
      <c r="BD89" t="str">
        <f t="shared" si="25"/>
        <v/>
      </c>
      <c r="BE89" t="str">
        <f t="shared" si="26"/>
        <v/>
      </c>
      <c r="BF89" t="str">
        <f t="shared" si="27"/>
        <v/>
      </c>
      <c r="BG89" t="str">
        <f t="shared" si="31"/>
        <v>(87, 'WIFI'),</v>
      </c>
      <c r="BH89" t="str">
        <f t="shared" si="32"/>
        <v>(87, 'RS485'),</v>
      </c>
      <c r="BI89" t="str">
        <f t="shared" si="33"/>
        <v>(87, 'DISPLAY'),</v>
      </c>
      <c r="BJ89" t="str">
        <f t="shared" si="34"/>
        <v>(87, 'LED'),</v>
      </c>
      <c r="BK89" t="str">
        <f t="shared" si="35"/>
        <v/>
      </c>
      <c r="BL89" t="str">
        <f t="shared" si="36"/>
        <v/>
      </c>
      <c r="BM89" t="str">
        <f t="shared" si="28"/>
        <v/>
      </c>
      <c r="BN89" t="str">
        <f t="shared" si="29"/>
        <v>(87, 'THREE_PHASE_FOUR_WIRE'),</v>
      </c>
      <c r="BO89" t="str">
        <f t="shared" si="30"/>
        <v/>
      </c>
    </row>
    <row r="90" spans="1:67">
      <c r="A90" s="2" t="s">
        <v>22</v>
      </c>
      <c r="B90" s="3" t="s">
        <v>359</v>
      </c>
      <c r="C90" s="3">
        <v>186</v>
      </c>
      <c r="D90" s="3">
        <v>384</v>
      </c>
      <c r="E90" s="3">
        <v>475</v>
      </c>
      <c r="F90" s="3">
        <v>20</v>
      </c>
      <c r="G90" s="3" t="s">
        <v>275</v>
      </c>
      <c r="H90" s="3">
        <v>1</v>
      </c>
      <c r="I90" s="3">
        <v>1</v>
      </c>
      <c r="J90" s="3">
        <v>1</v>
      </c>
      <c r="K90" s="3">
        <v>1</v>
      </c>
      <c r="L90" s="3">
        <v>0</v>
      </c>
      <c r="M90" s="3">
        <v>6000</v>
      </c>
      <c r="N90" s="3">
        <v>6600</v>
      </c>
      <c r="O90" s="3">
        <v>2</v>
      </c>
      <c r="P90" s="3">
        <v>1</v>
      </c>
      <c r="Q90" s="3">
        <v>1100</v>
      </c>
      <c r="R90" s="3">
        <v>180</v>
      </c>
      <c r="S90" s="3">
        <v>850</v>
      </c>
      <c r="T90" s="3">
        <v>160</v>
      </c>
      <c r="U90" s="3">
        <v>850</v>
      </c>
      <c r="V90" s="3">
        <v>250</v>
      </c>
      <c r="W90" s="3">
        <v>600</v>
      </c>
      <c r="X90" s="3">
        <v>16.25</v>
      </c>
      <c r="Y90" s="3">
        <v>12.5</v>
      </c>
      <c r="Z90" s="3">
        <v>0</v>
      </c>
      <c r="AA90" s="3">
        <v>0</v>
      </c>
      <c r="AB90" s="3">
        <v>1</v>
      </c>
      <c r="AC90" s="3">
        <v>380</v>
      </c>
      <c r="AE90" s="4">
        <v>9.6</v>
      </c>
      <c r="AF90">
        <v>8.6999999999999993</v>
      </c>
      <c r="AG90">
        <v>50</v>
      </c>
      <c r="AH90">
        <v>60</v>
      </c>
      <c r="AI90">
        <v>-20</v>
      </c>
      <c r="AJ90" t="s">
        <v>276</v>
      </c>
      <c r="AK90" t="s">
        <v>277</v>
      </c>
      <c r="AL90">
        <v>0</v>
      </c>
      <c r="AN90">
        <v>88</v>
      </c>
      <c r="AO90">
        <v>0</v>
      </c>
      <c r="AP90">
        <f t="shared" si="20"/>
        <v>2</v>
      </c>
      <c r="AR90">
        <v>1</v>
      </c>
      <c r="AS90">
        <v>0</v>
      </c>
      <c r="AT90">
        <v>0</v>
      </c>
      <c r="AU90">
        <v>0</v>
      </c>
      <c r="AW90">
        <v>0</v>
      </c>
      <c r="AY90" t="str">
        <f t="shared" si="21"/>
        <v>3</v>
      </c>
      <c r="BA90" s="13" t="str">
        <f t="shared" si="22"/>
        <v>('T6', 3, 384, 475, 186, 20, 60, -20, 'CONVECÇÃO NATURAL', 'IP65', 'TRANSFORMERLESS', 6000, 6600, 380, 8.7, 9.6, 50, 1, 2, 0),</v>
      </c>
      <c r="BB90" t="str">
        <f t="shared" si="23"/>
        <v xml:space="preserve">(88, 0, 2, 1100, 180, 850, 160, 850, 250, 600, 16.25, 12.5), </v>
      </c>
      <c r="BC90" t="str">
        <f t="shared" si="24"/>
        <v>(88, 'ON-GRID'),</v>
      </c>
      <c r="BD90" t="str">
        <f t="shared" si="25"/>
        <v/>
      </c>
      <c r="BE90" t="str">
        <f t="shared" si="26"/>
        <v/>
      </c>
      <c r="BF90" t="str">
        <f t="shared" si="27"/>
        <v/>
      </c>
      <c r="BG90" t="str">
        <f t="shared" si="31"/>
        <v>(88, 'WIFI'),</v>
      </c>
      <c r="BH90" t="str">
        <f t="shared" si="32"/>
        <v>(88, 'RS485'),</v>
      </c>
      <c r="BI90" t="str">
        <f t="shared" si="33"/>
        <v>(88, 'DISPLAY'),</v>
      </c>
      <c r="BJ90" t="str">
        <f t="shared" si="34"/>
        <v>(88, 'LED'),</v>
      </c>
      <c r="BK90" t="str">
        <f t="shared" si="35"/>
        <v/>
      </c>
      <c r="BL90" t="str">
        <f t="shared" si="36"/>
        <v/>
      </c>
      <c r="BM90" t="str">
        <f t="shared" si="28"/>
        <v/>
      </c>
      <c r="BN90" t="str">
        <f t="shared" si="29"/>
        <v>(88, 'THREE_PHASE_FOUR_WIRE'),</v>
      </c>
      <c r="BO90" t="str">
        <f t="shared" si="30"/>
        <v/>
      </c>
    </row>
    <row r="91" spans="1:67">
      <c r="A91" s="2" t="s">
        <v>366</v>
      </c>
      <c r="B91" s="3" t="s">
        <v>359</v>
      </c>
      <c r="C91" s="3">
        <v>186</v>
      </c>
      <c r="D91" s="3">
        <v>384</v>
      </c>
      <c r="E91" s="3">
        <v>475</v>
      </c>
      <c r="F91" s="3">
        <v>20</v>
      </c>
      <c r="G91" s="3" t="s">
        <v>275</v>
      </c>
      <c r="H91" s="3">
        <v>1</v>
      </c>
      <c r="I91" s="3">
        <v>1</v>
      </c>
      <c r="J91" s="3">
        <v>1</v>
      </c>
      <c r="K91" s="3">
        <v>1</v>
      </c>
      <c r="L91" s="3">
        <v>0</v>
      </c>
      <c r="M91" s="3">
        <v>8000</v>
      </c>
      <c r="N91" s="3">
        <v>8800</v>
      </c>
      <c r="O91" s="3">
        <v>1</v>
      </c>
      <c r="P91" s="3">
        <v>2</v>
      </c>
      <c r="Q91" s="3">
        <v>1100</v>
      </c>
      <c r="R91" s="3">
        <v>180</v>
      </c>
      <c r="S91" s="3">
        <v>850</v>
      </c>
      <c r="T91" s="3">
        <v>160</v>
      </c>
      <c r="U91" s="3">
        <v>850</v>
      </c>
      <c r="V91" s="3">
        <v>330</v>
      </c>
      <c r="W91" s="3">
        <v>600</v>
      </c>
      <c r="X91" s="3">
        <v>16.25</v>
      </c>
      <c r="Y91" s="3">
        <v>12.5</v>
      </c>
      <c r="Z91" s="3">
        <v>0</v>
      </c>
      <c r="AA91" s="3">
        <v>0</v>
      </c>
      <c r="AB91" s="3">
        <v>1</v>
      </c>
      <c r="AC91" s="3">
        <v>380</v>
      </c>
      <c r="AE91" s="4">
        <v>12.8</v>
      </c>
      <c r="AF91">
        <v>11.6</v>
      </c>
      <c r="AG91">
        <v>50</v>
      </c>
      <c r="AH91">
        <v>60</v>
      </c>
      <c r="AI91">
        <v>-20</v>
      </c>
      <c r="AJ91" t="s">
        <v>276</v>
      </c>
      <c r="AK91" t="s">
        <v>277</v>
      </c>
      <c r="AL91">
        <v>0</v>
      </c>
      <c r="AN91">
        <v>89</v>
      </c>
      <c r="AO91">
        <v>0</v>
      </c>
      <c r="AP91">
        <f t="shared" si="20"/>
        <v>2</v>
      </c>
      <c r="AR91">
        <v>1</v>
      </c>
      <c r="AS91">
        <v>0</v>
      </c>
      <c r="AT91">
        <v>0</v>
      </c>
      <c r="AU91">
        <v>0</v>
      </c>
      <c r="AW91">
        <v>0</v>
      </c>
      <c r="AY91" t="str">
        <f t="shared" si="21"/>
        <v>3</v>
      </c>
      <c r="BA91" s="13" t="str">
        <f t="shared" si="22"/>
        <v>('T8', 3, 384, 475, 186, 20, 60, -20, 'CONVECÇÃO NATURAL', 'IP65', 'TRANSFORMERLESS', 8000, 8800, 380, 11.6, 12.8, 50, 2, 2, 0),</v>
      </c>
      <c r="BB91" t="str">
        <f t="shared" si="23"/>
        <v xml:space="preserve">(89, 0, 1, 1100, 180, 850, 160, 850, 330, 600, 16.25, 12.5), </v>
      </c>
      <c r="BC91" t="str">
        <f t="shared" si="24"/>
        <v>(89, 'ON-GRID'),</v>
      </c>
      <c r="BD91" t="str">
        <f t="shared" si="25"/>
        <v/>
      </c>
      <c r="BE91" t="str">
        <f t="shared" si="26"/>
        <v/>
      </c>
      <c r="BF91" t="str">
        <f t="shared" si="27"/>
        <v/>
      </c>
      <c r="BG91" t="str">
        <f t="shared" si="31"/>
        <v>(89, 'WIFI'),</v>
      </c>
      <c r="BH91" t="str">
        <f t="shared" si="32"/>
        <v>(89, 'RS485'),</v>
      </c>
      <c r="BI91" t="str">
        <f t="shared" si="33"/>
        <v>(89, 'DISPLAY'),</v>
      </c>
      <c r="BJ91" t="str">
        <f t="shared" si="34"/>
        <v>(89, 'LED'),</v>
      </c>
      <c r="BK91" t="str">
        <f t="shared" si="35"/>
        <v/>
      </c>
      <c r="BL91" t="str">
        <f t="shared" si="36"/>
        <v/>
      </c>
      <c r="BM91" t="str">
        <f t="shared" si="28"/>
        <v/>
      </c>
      <c r="BN91" t="str">
        <f t="shared" si="29"/>
        <v>(89, 'THREE_PHASE_FOUR_WIRE'),</v>
      </c>
      <c r="BO91" t="str">
        <f t="shared" si="30"/>
        <v/>
      </c>
    </row>
    <row r="92" spans="1:67">
      <c r="A92" s="2" t="s">
        <v>367</v>
      </c>
      <c r="B92" s="3" t="s">
        <v>359</v>
      </c>
      <c r="C92" s="3">
        <v>186</v>
      </c>
      <c r="D92" s="3">
        <v>384</v>
      </c>
      <c r="E92" s="3">
        <v>475</v>
      </c>
      <c r="F92" s="3">
        <v>20</v>
      </c>
      <c r="G92" s="3" t="s">
        <v>275</v>
      </c>
      <c r="H92" s="3">
        <v>1</v>
      </c>
      <c r="I92" s="3">
        <v>1</v>
      </c>
      <c r="J92" s="3">
        <v>1</v>
      </c>
      <c r="K92" s="3">
        <v>1</v>
      </c>
      <c r="L92" s="3">
        <v>0</v>
      </c>
      <c r="M92" s="3">
        <v>10000</v>
      </c>
      <c r="N92" s="3">
        <v>11000</v>
      </c>
      <c r="O92" s="3">
        <v>1</v>
      </c>
      <c r="P92" s="3">
        <v>2</v>
      </c>
      <c r="Q92" s="3">
        <v>1100</v>
      </c>
      <c r="R92" s="3">
        <v>180</v>
      </c>
      <c r="S92" s="3">
        <v>850</v>
      </c>
      <c r="T92" s="3">
        <v>160</v>
      </c>
      <c r="U92" s="3">
        <v>850</v>
      </c>
      <c r="V92" s="3">
        <v>410</v>
      </c>
      <c r="W92" s="3">
        <v>600</v>
      </c>
      <c r="X92" s="3">
        <v>16.25</v>
      </c>
      <c r="Y92" s="3">
        <v>12.5</v>
      </c>
      <c r="Z92" s="3">
        <v>0</v>
      </c>
      <c r="AA92" s="3">
        <v>0</v>
      </c>
      <c r="AB92" s="3">
        <v>1</v>
      </c>
      <c r="AC92" s="3">
        <v>380</v>
      </c>
      <c r="AE92" s="4">
        <v>15.9</v>
      </c>
      <c r="AF92">
        <v>14.5</v>
      </c>
      <c r="AG92">
        <v>50</v>
      </c>
      <c r="AH92">
        <v>60</v>
      </c>
      <c r="AI92">
        <v>-20</v>
      </c>
      <c r="AJ92" t="s">
        <v>276</v>
      </c>
      <c r="AK92" t="s">
        <v>277</v>
      </c>
      <c r="AL92">
        <v>0</v>
      </c>
      <c r="AN92">
        <v>90</v>
      </c>
      <c r="AO92">
        <v>0</v>
      </c>
      <c r="AP92">
        <f t="shared" si="20"/>
        <v>2</v>
      </c>
      <c r="AR92">
        <v>1</v>
      </c>
      <c r="AS92">
        <v>0</v>
      </c>
      <c r="AT92">
        <v>0</v>
      </c>
      <c r="AU92">
        <v>0</v>
      </c>
      <c r="AW92">
        <v>0</v>
      </c>
      <c r="AY92" t="str">
        <f t="shared" si="21"/>
        <v>3</v>
      </c>
      <c r="BA92" s="13" t="str">
        <f t="shared" si="22"/>
        <v>('T10', 3, 384, 475, 186, 20, 60, -20, 'CONVECÇÃO NATURAL', 'IP65', 'TRANSFORMERLESS', 10000, 11000, 380, 14.5, 15.9, 50, 2, 2, 0),</v>
      </c>
      <c r="BB92" t="str">
        <f t="shared" si="23"/>
        <v xml:space="preserve">(90, 0, 1, 1100, 180, 850, 160, 850, 410, 600, 16.25, 12.5), </v>
      </c>
      <c r="BC92" t="str">
        <f t="shared" si="24"/>
        <v>(90, 'ON-GRID'),</v>
      </c>
      <c r="BD92" t="str">
        <f t="shared" si="25"/>
        <v/>
      </c>
      <c r="BE92" t="str">
        <f t="shared" si="26"/>
        <v/>
      </c>
      <c r="BF92" t="str">
        <f t="shared" si="27"/>
        <v/>
      </c>
      <c r="BG92" t="str">
        <f t="shared" si="31"/>
        <v>(90, 'WIFI'),</v>
      </c>
      <c r="BH92" t="str">
        <f t="shared" si="32"/>
        <v>(90, 'RS485'),</v>
      </c>
      <c r="BI92" t="str">
        <f t="shared" si="33"/>
        <v>(90, 'DISPLAY'),</v>
      </c>
      <c r="BJ92" t="str">
        <f t="shared" si="34"/>
        <v>(90, 'LED'),</v>
      </c>
      <c r="BK92" t="str">
        <f t="shared" si="35"/>
        <v/>
      </c>
      <c r="BL92" t="str">
        <f t="shared" si="36"/>
        <v/>
      </c>
      <c r="BM92" t="str">
        <f t="shared" si="28"/>
        <v/>
      </c>
      <c r="BN92" t="str">
        <f t="shared" si="29"/>
        <v>(90, 'THREE_PHASE_FOUR_WIRE'),</v>
      </c>
      <c r="BO92" t="str">
        <f t="shared" si="30"/>
        <v/>
      </c>
    </row>
    <row r="93" spans="1:67">
      <c r="A93" s="2" t="s">
        <v>368</v>
      </c>
      <c r="B93" s="3" t="s">
        <v>359</v>
      </c>
      <c r="C93" s="3">
        <v>186</v>
      </c>
      <c r="D93" s="3">
        <v>384</v>
      </c>
      <c r="E93" s="3">
        <v>475</v>
      </c>
      <c r="F93" s="3">
        <v>20</v>
      </c>
      <c r="G93" s="3" t="s">
        <v>275</v>
      </c>
      <c r="H93" s="3">
        <v>1</v>
      </c>
      <c r="I93" s="3">
        <v>1</v>
      </c>
      <c r="J93" s="3">
        <v>1</v>
      </c>
      <c r="K93" s="3">
        <v>1</v>
      </c>
      <c r="L93" s="3">
        <v>0</v>
      </c>
      <c r="M93" s="3">
        <v>12000</v>
      </c>
      <c r="N93" s="3">
        <v>13200</v>
      </c>
      <c r="O93" s="3">
        <v>1</v>
      </c>
      <c r="P93" s="3">
        <v>2</v>
      </c>
      <c r="Q93" s="3">
        <v>1100</v>
      </c>
      <c r="R93" s="3">
        <v>180</v>
      </c>
      <c r="S93" s="3">
        <v>850</v>
      </c>
      <c r="T93" s="3">
        <v>160</v>
      </c>
      <c r="U93" s="3">
        <v>850</v>
      </c>
      <c r="V93" s="3">
        <v>490</v>
      </c>
      <c r="W93" s="3">
        <v>600</v>
      </c>
      <c r="X93" s="3">
        <v>16.25</v>
      </c>
      <c r="Y93" s="3">
        <v>12.5</v>
      </c>
      <c r="Z93" s="3">
        <v>0</v>
      </c>
      <c r="AA93" s="3">
        <v>0</v>
      </c>
      <c r="AB93" s="3">
        <v>1</v>
      </c>
      <c r="AC93" s="3">
        <v>380</v>
      </c>
      <c r="AE93" s="4">
        <v>19.100000000000001</v>
      </c>
      <c r="AF93">
        <v>17.399999999999999</v>
      </c>
      <c r="AG93">
        <v>50</v>
      </c>
      <c r="AH93">
        <v>60</v>
      </c>
      <c r="AI93">
        <v>-20</v>
      </c>
      <c r="AJ93" t="s">
        <v>276</v>
      </c>
      <c r="AK93" t="s">
        <v>277</v>
      </c>
      <c r="AL93">
        <v>0</v>
      </c>
      <c r="AN93">
        <v>91</v>
      </c>
      <c r="AO93">
        <v>0</v>
      </c>
      <c r="AP93">
        <f t="shared" si="20"/>
        <v>2</v>
      </c>
      <c r="AR93">
        <v>1</v>
      </c>
      <c r="AS93">
        <v>0</v>
      </c>
      <c r="AT93">
        <v>0</v>
      </c>
      <c r="AU93">
        <v>0</v>
      </c>
      <c r="AW93">
        <v>0</v>
      </c>
      <c r="AY93" t="str">
        <f t="shared" si="21"/>
        <v>3</v>
      </c>
      <c r="BA93" s="13" t="str">
        <f t="shared" si="22"/>
        <v>('T12', 3, 384, 475, 186, 20, 60, -20, 'CONVECÇÃO NATURAL', 'IP65', 'TRANSFORMERLESS', 12000, 13200, 380, 17.4, 19.1, 50, 2, 2, 0),</v>
      </c>
      <c r="BB93" t="str">
        <f t="shared" si="23"/>
        <v xml:space="preserve">(91, 0, 1, 1100, 180, 850, 160, 850, 490, 600, 16.25, 12.5), </v>
      </c>
      <c r="BC93" t="str">
        <f t="shared" si="24"/>
        <v>(91, 'ON-GRID'),</v>
      </c>
      <c r="BD93" t="str">
        <f t="shared" si="25"/>
        <v/>
      </c>
      <c r="BE93" t="str">
        <f t="shared" si="26"/>
        <v/>
      </c>
      <c r="BF93" t="str">
        <f t="shared" si="27"/>
        <v/>
      </c>
      <c r="BG93" t="str">
        <f t="shared" si="31"/>
        <v>(91, 'WIFI'),</v>
      </c>
      <c r="BH93" t="str">
        <f t="shared" si="32"/>
        <v>(91, 'RS485'),</v>
      </c>
      <c r="BI93" t="str">
        <f t="shared" si="33"/>
        <v>(91, 'DISPLAY'),</v>
      </c>
      <c r="BJ93" t="str">
        <f t="shared" si="34"/>
        <v>(91, 'LED'),</v>
      </c>
      <c r="BK93" t="str">
        <f t="shared" si="35"/>
        <v/>
      </c>
      <c r="BL93" t="str">
        <f t="shared" si="36"/>
        <v/>
      </c>
      <c r="BM93" t="str">
        <f t="shared" si="28"/>
        <v/>
      </c>
      <c r="BN93" t="str">
        <f t="shared" si="29"/>
        <v>(91, 'THREE_PHASE_FOUR_WIRE'),</v>
      </c>
      <c r="BO93" t="str">
        <f t="shared" si="30"/>
        <v/>
      </c>
    </row>
    <row r="94" spans="1:67">
      <c r="A94" s="2" t="s">
        <v>369</v>
      </c>
      <c r="B94" s="3" t="s">
        <v>359</v>
      </c>
      <c r="C94" s="3">
        <v>186</v>
      </c>
      <c r="D94" s="3">
        <v>384</v>
      </c>
      <c r="E94" s="3">
        <v>475</v>
      </c>
      <c r="F94" s="3">
        <v>24</v>
      </c>
      <c r="G94" s="3" t="s">
        <v>316</v>
      </c>
      <c r="H94" s="3">
        <v>1</v>
      </c>
      <c r="I94" s="3">
        <v>1</v>
      </c>
      <c r="J94" s="3">
        <v>1</v>
      </c>
      <c r="K94" s="3">
        <v>1</v>
      </c>
      <c r="L94" s="3">
        <v>0</v>
      </c>
      <c r="M94" s="3">
        <v>15000</v>
      </c>
      <c r="N94" s="3">
        <v>16500</v>
      </c>
      <c r="O94" s="3">
        <v>1</v>
      </c>
      <c r="P94" s="3">
        <v>2</v>
      </c>
      <c r="Q94" s="3">
        <v>1100</v>
      </c>
      <c r="R94" s="3">
        <v>180</v>
      </c>
      <c r="S94" s="3">
        <v>850</v>
      </c>
      <c r="T94" s="3">
        <v>160</v>
      </c>
      <c r="U94" s="3">
        <v>850</v>
      </c>
      <c r="V94" s="3">
        <v>410</v>
      </c>
      <c r="W94" s="3">
        <v>600</v>
      </c>
      <c r="X94" s="3">
        <v>16.25</v>
      </c>
      <c r="Y94" s="3">
        <v>12.5</v>
      </c>
      <c r="Z94" s="3">
        <v>0</v>
      </c>
      <c r="AA94" s="3">
        <v>0</v>
      </c>
      <c r="AB94" s="3">
        <v>1</v>
      </c>
      <c r="AC94" s="3">
        <v>380</v>
      </c>
      <c r="AE94" s="4">
        <v>23.9</v>
      </c>
      <c r="AF94">
        <v>21.7</v>
      </c>
      <c r="AG94">
        <v>50</v>
      </c>
      <c r="AH94">
        <v>60</v>
      </c>
      <c r="AI94">
        <v>-20</v>
      </c>
      <c r="AJ94" t="s">
        <v>276</v>
      </c>
      <c r="AK94" t="s">
        <v>277</v>
      </c>
      <c r="AL94">
        <v>0</v>
      </c>
      <c r="AN94">
        <v>92</v>
      </c>
      <c r="AO94">
        <v>0</v>
      </c>
      <c r="AP94">
        <f t="shared" si="20"/>
        <v>2</v>
      </c>
      <c r="AR94">
        <v>1</v>
      </c>
      <c r="AS94">
        <v>0</v>
      </c>
      <c r="AT94">
        <v>0</v>
      </c>
      <c r="AU94">
        <v>0</v>
      </c>
      <c r="AW94">
        <v>0</v>
      </c>
      <c r="AY94" t="str">
        <f t="shared" si="21"/>
        <v>3</v>
      </c>
      <c r="BA94" s="13" t="str">
        <f t="shared" si="22"/>
        <v>('T15', 3, 384, 475, 186, 24, 60, -20, 'COOLER', 'IP65', 'TRANSFORMERLESS', 15000, 16500, 380, 21.7, 23.9, 50, 2, 2, 0),</v>
      </c>
      <c r="BB94" t="str">
        <f t="shared" si="23"/>
        <v xml:space="preserve">(92, 0, 1, 1100, 180, 850, 160, 850, 410, 600, 16.25, 12.5), </v>
      </c>
      <c r="BC94" t="str">
        <f t="shared" si="24"/>
        <v>(92, 'ON-GRID'),</v>
      </c>
      <c r="BD94" t="str">
        <f t="shared" si="25"/>
        <v/>
      </c>
      <c r="BE94" t="str">
        <f t="shared" si="26"/>
        <v/>
      </c>
      <c r="BF94" t="str">
        <f t="shared" si="27"/>
        <v/>
      </c>
      <c r="BG94" t="str">
        <f t="shared" si="31"/>
        <v>(92, 'WIFI'),</v>
      </c>
      <c r="BH94" t="str">
        <f t="shared" si="32"/>
        <v>(92, 'RS485'),</v>
      </c>
      <c r="BI94" t="str">
        <f t="shared" si="33"/>
        <v>(92, 'DISPLAY'),</v>
      </c>
      <c r="BJ94" t="str">
        <f t="shared" si="34"/>
        <v>(92, 'LED'),</v>
      </c>
      <c r="BK94" t="str">
        <f t="shared" si="35"/>
        <v/>
      </c>
      <c r="BL94" t="str">
        <f t="shared" si="36"/>
        <v/>
      </c>
      <c r="BM94" t="str">
        <f t="shared" si="28"/>
        <v/>
      </c>
      <c r="BN94" t="str">
        <f t="shared" si="29"/>
        <v>(92, 'THREE_PHASE_FOUR_WIRE'),</v>
      </c>
      <c r="BO94" t="str">
        <f t="shared" si="30"/>
        <v/>
      </c>
    </row>
    <row r="95" spans="1:67">
      <c r="A95" s="2" t="s">
        <v>370</v>
      </c>
      <c r="B95" s="3" t="s">
        <v>359</v>
      </c>
      <c r="C95" s="3">
        <v>186</v>
      </c>
      <c r="D95" s="3">
        <v>384</v>
      </c>
      <c r="E95" s="3">
        <v>475</v>
      </c>
      <c r="F95" s="3">
        <v>24</v>
      </c>
      <c r="G95" s="3" t="s">
        <v>316</v>
      </c>
      <c r="H95" s="3">
        <v>1</v>
      </c>
      <c r="I95" s="3">
        <v>1</v>
      </c>
      <c r="J95" s="3">
        <v>1</v>
      </c>
      <c r="K95" s="3">
        <v>1</v>
      </c>
      <c r="L95" s="3">
        <v>0</v>
      </c>
      <c r="M95" s="3">
        <v>17000</v>
      </c>
      <c r="N95" s="3">
        <v>18700</v>
      </c>
      <c r="O95" s="3">
        <v>2</v>
      </c>
      <c r="P95" s="3">
        <v>2</v>
      </c>
      <c r="Q95" s="3">
        <v>1100</v>
      </c>
      <c r="R95" s="3">
        <v>180</v>
      </c>
      <c r="S95" s="3">
        <v>850</v>
      </c>
      <c r="T95" s="3">
        <v>160</v>
      </c>
      <c r="U95" s="3">
        <v>850</v>
      </c>
      <c r="V95" s="3">
        <v>350</v>
      </c>
      <c r="W95" s="3">
        <v>600</v>
      </c>
      <c r="X95" s="3">
        <v>32.5</v>
      </c>
      <c r="Y95" s="3">
        <v>25</v>
      </c>
      <c r="Z95" s="3">
        <v>0</v>
      </c>
      <c r="AA95" s="3">
        <v>0</v>
      </c>
      <c r="AB95" s="3">
        <v>1</v>
      </c>
      <c r="AC95" s="3">
        <v>380</v>
      </c>
      <c r="AE95" s="4">
        <v>27.1</v>
      </c>
      <c r="AF95">
        <v>24.6</v>
      </c>
      <c r="AG95">
        <v>50</v>
      </c>
      <c r="AH95">
        <v>60</v>
      </c>
      <c r="AI95">
        <v>-20</v>
      </c>
      <c r="AJ95" t="s">
        <v>276</v>
      </c>
      <c r="AK95" t="s">
        <v>277</v>
      </c>
      <c r="AL95">
        <v>0</v>
      </c>
      <c r="AN95">
        <v>93</v>
      </c>
      <c r="AO95">
        <v>0</v>
      </c>
      <c r="AP95">
        <f t="shared" si="20"/>
        <v>4</v>
      </c>
      <c r="AR95">
        <v>1</v>
      </c>
      <c r="AS95">
        <v>0</v>
      </c>
      <c r="AT95">
        <v>0</v>
      </c>
      <c r="AU95">
        <v>0</v>
      </c>
      <c r="AW95">
        <v>0</v>
      </c>
      <c r="AY95" t="str">
        <f t="shared" si="21"/>
        <v>3</v>
      </c>
      <c r="BA95" s="13" t="str">
        <f t="shared" si="22"/>
        <v>('T17', 3, 384, 475, 186, 24, 60, -20, 'COOLER', 'IP65', 'TRANSFORMERLESS', 17000, 18700, 380, 24.6, 27.1, 50, 2, 4, 0),</v>
      </c>
      <c r="BB95" t="str">
        <f t="shared" si="23"/>
        <v xml:space="preserve">(93, 0, 2, 1100, 180, 850, 160, 850, 350, 600, 32.5, 25), </v>
      </c>
      <c r="BC95" t="str">
        <f t="shared" si="24"/>
        <v>(93, 'ON-GRID'),</v>
      </c>
      <c r="BD95" t="str">
        <f t="shared" si="25"/>
        <v/>
      </c>
      <c r="BE95" t="str">
        <f t="shared" si="26"/>
        <v/>
      </c>
      <c r="BF95" t="str">
        <f t="shared" si="27"/>
        <v/>
      </c>
      <c r="BG95" t="str">
        <f t="shared" si="31"/>
        <v>(93, 'WIFI'),</v>
      </c>
      <c r="BH95" t="str">
        <f t="shared" si="32"/>
        <v>(93, 'RS485'),</v>
      </c>
      <c r="BI95" t="str">
        <f t="shared" si="33"/>
        <v>(93, 'DISPLAY'),</v>
      </c>
      <c r="BJ95" t="str">
        <f t="shared" si="34"/>
        <v>(93, 'LED'),</v>
      </c>
      <c r="BK95" t="str">
        <f t="shared" si="35"/>
        <v/>
      </c>
      <c r="BL95" t="str">
        <f t="shared" si="36"/>
        <v/>
      </c>
      <c r="BM95" t="str">
        <f t="shared" si="28"/>
        <v/>
      </c>
      <c r="BN95" t="str">
        <f t="shared" si="29"/>
        <v>(93, 'THREE_PHASE_FOUR_WIRE'),</v>
      </c>
      <c r="BO95" t="str">
        <f t="shared" si="30"/>
        <v/>
      </c>
    </row>
    <row r="96" spans="1:67">
      <c r="A96" s="2" t="s">
        <v>371</v>
      </c>
      <c r="B96" s="3" t="s">
        <v>359</v>
      </c>
      <c r="C96" s="3">
        <v>186</v>
      </c>
      <c r="D96" s="3">
        <v>384</v>
      </c>
      <c r="E96" s="3">
        <v>475</v>
      </c>
      <c r="F96" s="3">
        <v>24</v>
      </c>
      <c r="G96" s="3" t="s">
        <v>316</v>
      </c>
      <c r="H96" s="3">
        <v>1</v>
      </c>
      <c r="I96" s="3">
        <v>1</v>
      </c>
      <c r="J96" s="3">
        <v>1</v>
      </c>
      <c r="K96" s="3">
        <v>1</v>
      </c>
      <c r="L96" s="3">
        <v>0</v>
      </c>
      <c r="M96" s="3">
        <v>20000</v>
      </c>
      <c r="N96" s="3">
        <v>22000</v>
      </c>
      <c r="O96" s="3">
        <v>2</v>
      </c>
      <c r="P96" s="3">
        <v>2</v>
      </c>
      <c r="Q96" s="3">
        <v>1100</v>
      </c>
      <c r="R96" s="3">
        <v>180</v>
      </c>
      <c r="S96" s="3">
        <v>850</v>
      </c>
      <c r="T96" s="3">
        <v>160</v>
      </c>
      <c r="U96" s="3">
        <v>850</v>
      </c>
      <c r="V96" s="3">
        <v>410</v>
      </c>
      <c r="W96" s="3">
        <v>600</v>
      </c>
      <c r="X96" s="3">
        <v>32.5</v>
      </c>
      <c r="Y96" s="3">
        <v>25</v>
      </c>
      <c r="Z96" s="3">
        <v>0</v>
      </c>
      <c r="AA96" s="3">
        <v>0</v>
      </c>
      <c r="AB96" s="3">
        <v>1</v>
      </c>
      <c r="AC96" s="3">
        <v>380</v>
      </c>
      <c r="AE96" s="4">
        <v>31.9</v>
      </c>
      <c r="AF96">
        <v>29</v>
      </c>
      <c r="AG96">
        <v>50</v>
      </c>
      <c r="AH96">
        <v>60</v>
      </c>
      <c r="AI96">
        <v>-20</v>
      </c>
      <c r="AJ96" t="s">
        <v>276</v>
      </c>
      <c r="AK96" t="s">
        <v>277</v>
      </c>
      <c r="AL96">
        <v>0</v>
      </c>
      <c r="AN96">
        <v>94</v>
      </c>
      <c r="AO96">
        <v>0</v>
      </c>
      <c r="AP96">
        <f t="shared" si="20"/>
        <v>4</v>
      </c>
      <c r="AR96">
        <v>1</v>
      </c>
      <c r="AS96">
        <v>0</v>
      </c>
      <c r="AT96">
        <v>0</v>
      </c>
      <c r="AU96">
        <v>0</v>
      </c>
      <c r="AW96">
        <v>0</v>
      </c>
      <c r="AY96" t="str">
        <f t="shared" si="21"/>
        <v>3</v>
      </c>
      <c r="BA96" s="13" t="str">
        <f t="shared" si="22"/>
        <v>('T20', 3, 384, 475, 186, 24, 60, -20, 'COOLER', 'IP65', 'TRANSFORMERLESS', 20000, 22000, 380, 29, 31.9, 50, 2, 4, 0),</v>
      </c>
      <c r="BB96" t="str">
        <f t="shared" si="23"/>
        <v xml:space="preserve">(94, 0, 2, 1100, 180, 850, 160, 850, 410, 600, 32.5, 25), </v>
      </c>
      <c r="BC96" t="str">
        <f t="shared" si="24"/>
        <v>(94, 'ON-GRID'),</v>
      </c>
      <c r="BD96" t="str">
        <f t="shared" si="25"/>
        <v/>
      </c>
      <c r="BE96" t="str">
        <f t="shared" si="26"/>
        <v/>
      </c>
      <c r="BF96" t="str">
        <f t="shared" si="27"/>
        <v/>
      </c>
      <c r="BG96" t="str">
        <f t="shared" si="31"/>
        <v>(94, 'WIFI'),</v>
      </c>
      <c r="BH96" t="str">
        <f t="shared" si="32"/>
        <v>(94, 'RS485'),</v>
      </c>
      <c r="BI96" t="str">
        <f t="shared" si="33"/>
        <v>(94, 'DISPLAY'),</v>
      </c>
      <c r="BJ96" t="str">
        <f t="shared" si="34"/>
        <v>(94, 'LED'),</v>
      </c>
      <c r="BK96" t="str">
        <f t="shared" si="35"/>
        <v/>
      </c>
      <c r="BL96" t="str">
        <f t="shared" si="36"/>
        <v/>
      </c>
      <c r="BM96" t="str">
        <f t="shared" si="28"/>
        <v/>
      </c>
      <c r="BN96" t="str">
        <f t="shared" si="29"/>
        <v>(94, 'THREE_PHASE_FOUR_WIRE'),</v>
      </c>
      <c r="BO96" t="str">
        <f t="shared" si="30"/>
        <v/>
      </c>
    </row>
    <row r="97" spans="1:67">
      <c r="A97" s="2" t="s">
        <v>372</v>
      </c>
      <c r="B97" s="3" t="s">
        <v>359</v>
      </c>
      <c r="C97" s="3">
        <v>186</v>
      </c>
      <c r="D97" s="3">
        <v>384</v>
      </c>
      <c r="E97" s="3">
        <v>475</v>
      </c>
      <c r="F97" s="3">
        <v>24</v>
      </c>
      <c r="G97" s="3" t="s">
        <v>316</v>
      </c>
      <c r="H97" s="3">
        <v>1</v>
      </c>
      <c r="I97" s="3">
        <v>1</v>
      </c>
      <c r="J97" s="3">
        <v>1</v>
      </c>
      <c r="K97" s="3">
        <v>1</v>
      </c>
      <c r="L97" s="3">
        <v>0</v>
      </c>
      <c r="M97" s="3">
        <v>25000</v>
      </c>
      <c r="N97" s="3">
        <v>27500</v>
      </c>
      <c r="O97" s="3">
        <v>2</v>
      </c>
      <c r="P97" s="3">
        <v>2</v>
      </c>
      <c r="Q97" s="3">
        <v>1100</v>
      </c>
      <c r="R97" s="3">
        <v>180</v>
      </c>
      <c r="S97" s="3">
        <v>850</v>
      </c>
      <c r="T97" s="3">
        <v>160</v>
      </c>
      <c r="U97" s="3">
        <v>850</v>
      </c>
      <c r="V97" s="3">
        <v>510</v>
      </c>
      <c r="W97" s="3">
        <v>600</v>
      </c>
      <c r="X97" s="3">
        <v>32.5</v>
      </c>
      <c r="Y97" s="3">
        <v>25</v>
      </c>
      <c r="Z97" s="3">
        <v>0</v>
      </c>
      <c r="AA97" s="3">
        <v>0</v>
      </c>
      <c r="AB97" s="3">
        <v>1</v>
      </c>
      <c r="AC97" s="3">
        <v>380</v>
      </c>
      <c r="AE97" s="4">
        <v>39.9</v>
      </c>
      <c r="AF97">
        <v>36.200000000000003</v>
      </c>
      <c r="AG97">
        <v>50</v>
      </c>
      <c r="AH97">
        <v>60</v>
      </c>
      <c r="AI97">
        <v>-20</v>
      </c>
      <c r="AJ97" t="s">
        <v>276</v>
      </c>
      <c r="AK97" t="s">
        <v>277</v>
      </c>
      <c r="AL97">
        <v>0</v>
      </c>
      <c r="AN97">
        <v>95</v>
      </c>
      <c r="AO97">
        <v>0</v>
      </c>
      <c r="AP97">
        <f t="shared" si="20"/>
        <v>4</v>
      </c>
      <c r="AR97">
        <v>1</v>
      </c>
      <c r="AS97">
        <v>0</v>
      </c>
      <c r="AT97">
        <v>0</v>
      </c>
      <c r="AU97">
        <v>0</v>
      </c>
      <c r="AW97">
        <v>0</v>
      </c>
      <c r="AY97" t="str">
        <f t="shared" si="21"/>
        <v>3</v>
      </c>
      <c r="BA97" s="13" t="str">
        <f t="shared" si="22"/>
        <v>('T25', 3, 384, 475, 186, 24, 60, -20, 'COOLER', 'IP65', 'TRANSFORMERLESS', 25000, 27500, 380, 36.2, 39.9, 50, 2, 4, 0),</v>
      </c>
      <c r="BB97" t="str">
        <f t="shared" si="23"/>
        <v xml:space="preserve">(95, 0, 2, 1100, 180, 850, 160, 850, 510, 600, 32.5, 25), </v>
      </c>
      <c r="BC97" t="str">
        <f t="shared" si="24"/>
        <v>(95, 'ON-GRID'),</v>
      </c>
      <c r="BD97" t="str">
        <f t="shared" si="25"/>
        <v/>
      </c>
      <c r="BE97" t="str">
        <f t="shared" si="26"/>
        <v/>
      </c>
      <c r="BF97" t="str">
        <f t="shared" si="27"/>
        <v/>
      </c>
      <c r="BG97" t="str">
        <f t="shared" si="31"/>
        <v>(95, 'WIFI'),</v>
      </c>
      <c r="BH97" t="str">
        <f t="shared" si="32"/>
        <v>(95, 'RS485'),</v>
      </c>
      <c r="BI97" t="str">
        <f t="shared" si="33"/>
        <v>(95, 'DISPLAY'),</v>
      </c>
      <c r="BJ97" t="str">
        <f t="shared" si="34"/>
        <v>(95, 'LED'),</v>
      </c>
      <c r="BK97" t="str">
        <f t="shared" si="35"/>
        <v/>
      </c>
      <c r="BL97" t="str">
        <f t="shared" si="36"/>
        <v/>
      </c>
      <c r="BM97" t="str">
        <f t="shared" si="28"/>
        <v/>
      </c>
      <c r="BN97" t="str">
        <f t="shared" si="29"/>
        <v>(95, 'THREE_PHASE_FOUR_WIRE'),</v>
      </c>
      <c r="BO97" t="str">
        <f t="shared" si="30"/>
        <v/>
      </c>
    </row>
    <row r="98" spans="1:67">
      <c r="A98" s="2" t="s">
        <v>373</v>
      </c>
      <c r="B98" s="3" t="s">
        <v>359</v>
      </c>
      <c r="C98" s="3">
        <v>186</v>
      </c>
      <c r="D98" s="3">
        <v>384</v>
      </c>
      <c r="E98" s="3">
        <v>475</v>
      </c>
      <c r="F98" s="3">
        <v>24</v>
      </c>
      <c r="G98" s="3" t="s">
        <v>275</v>
      </c>
      <c r="H98" s="3">
        <v>1</v>
      </c>
      <c r="I98" s="3">
        <v>1</v>
      </c>
      <c r="J98" s="3">
        <v>1</v>
      </c>
      <c r="K98" s="3">
        <v>1</v>
      </c>
      <c r="L98" s="3">
        <v>0</v>
      </c>
      <c r="M98" s="3">
        <v>8000</v>
      </c>
      <c r="N98" s="3">
        <v>8800</v>
      </c>
      <c r="O98" s="3">
        <v>2</v>
      </c>
      <c r="P98" s="3">
        <v>2</v>
      </c>
      <c r="Q98" s="3">
        <v>1100</v>
      </c>
      <c r="R98" s="3">
        <v>180</v>
      </c>
      <c r="S98" s="3">
        <v>850</v>
      </c>
      <c r="T98" s="3">
        <v>160</v>
      </c>
      <c r="U98" s="3">
        <v>850</v>
      </c>
      <c r="V98" s="3">
        <v>160</v>
      </c>
      <c r="W98" s="3">
        <v>600</v>
      </c>
      <c r="X98" s="3">
        <v>32.5</v>
      </c>
      <c r="Y98" s="3">
        <v>25</v>
      </c>
      <c r="Z98" s="3">
        <v>0</v>
      </c>
      <c r="AA98" s="3">
        <v>0</v>
      </c>
      <c r="AB98" s="3">
        <v>1</v>
      </c>
      <c r="AC98" s="3">
        <v>380</v>
      </c>
      <c r="AE98" s="4">
        <v>12.8</v>
      </c>
      <c r="AF98">
        <v>11.6</v>
      </c>
      <c r="AG98">
        <v>50</v>
      </c>
      <c r="AH98">
        <v>60</v>
      </c>
      <c r="AI98">
        <v>-20</v>
      </c>
      <c r="AJ98" t="s">
        <v>276</v>
      </c>
      <c r="AK98" t="s">
        <v>277</v>
      </c>
      <c r="AL98">
        <v>0</v>
      </c>
      <c r="AN98">
        <v>96</v>
      </c>
      <c r="AO98">
        <v>0</v>
      </c>
      <c r="AP98">
        <f t="shared" si="20"/>
        <v>4</v>
      </c>
      <c r="AR98">
        <v>1</v>
      </c>
      <c r="AS98">
        <v>0</v>
      </c>
      <c r="AT98">
        <v>0</v>
      </c>
      <c r="AU98">
        <v>0</v>
      </c>
      <c r="AW98">
        <v>0</v>
      </c>
      <c r="AY98" t="str">
        <f t="shared" si="21"/>
        <v>3</v>
      </c>
      <c r="BA98" s="13" t="str">
        <f t="shared" si="22"/>
        <v>('T8 (Dual)', 3, 384, 475, 186, 24, 60, -20, 'CONVECÇÃO NATURAL', 'IP65', 'TRANSFORMERLESS', 8000, 8800, 380, 11.6, 12.8, 50, 2, 4, 0),</v>
      </c>
      <c r="BB98" t="str">
        <f t="shared" si="23"/>
        <v xml:space="preserve">(96, 0, 2, 1100, 180, 850, 160, 850, 160, 600, 32.5, 25), </v>
      </c>
      <c r="BC98" t="str">
        <f t="shared" si="24"/>
        <v>(96, 'ON-GRID'),</v>
      </c>
      <c r="BD98" t="str">
        <f t="shared" si="25"/>
        <v/>
      </c>
      <c r="BE98" t="str">
        <f t="shared" si="26"/>
        <v/>
      </c>
      <c r="BF98" t="str">
        <f t="shared" si="27"/>
        <v/>
      </c>
      <c r="BG98" t="str">
        <f t="shared" si="31"/>
        <v>(96, 'WIFI'),</v>
      </c>
      <c r="BH98" t="str">
        <f t="shared" si="32"/>
        <v>(96, 'RS485'),</v>
      </c>
      <c r="BI98" t="str">
        <f t="shared" si="33"/>
        <v>(96, 'DISPLAY'),</v>
      </c>
      <c r="BJ98" t="str">
        <f t="shared" si="34"/>
        <v>(96, 'LED'),</v>
      </c>
      <c r="BK98" t="str">
        <f t="shared" si="35"/>
        <v/>
      </c>
      <c r="BL98" t="str">
        <f t="shared" si="36"/>
        <v/>
      </c>
      <c r="BM98" t="str">
        <f t="shared" si="28"/>
        <v/>
      </c>
      <c r="BN98" t="str">
        <f t="shared" si="29"/>
        <v>(96, 'THREE_PHASE_FOUR_WIRE'),</v>
      </c>
      <c r="BO98" t="str">
        <f t="shared" si="30"/>
        <v/>
      </c>
    </row>
    <row r="99" spans="1:67">
      <c r="A99" s="2" t="s">
        <v>374</v>
      </c>
      <c r="B99" s="3" t="s">
        <v>359</v>
      </c>
      <c r="C99" s="3">
        <v>186</v>
      </c>
      <c r="D99" s="3">
        <v>384</v>
      </c>
      <c r="E99" s="3">
        <v>475</v>
      </c>
      <c r="F99" s="3">
        <v>24</v>
      </c>
      <c r="G99" s="3" t="s">
        <v>275</v>
      </c>
      <c r="H99" s="3">
        <v>1</v>
      </c>
      <c r="I99" s="3">
        <v>1</v>
      </c>
      <c r="J99" s="3">
        <v>1</v>
      </c>
      <c r="K99" s="3">
        <v>1</v>
      </c>
      <c r="L99" s="3">
        <v>0</v>
      </c>
      <c r="M99" s="3">
        <v>10000</v>
      </c>
      <c r="N99" s="3">
        <v>11000</v>
      </c>
      <c r="O99" s="3">
        <v>2</v>
      </c>
      <c r="P99" s="3">
        <v>2</v>
      </c>
      <c r="Q99" s="3">
        <v>1100</v>
      </c>
      <c r="R99" s="3">
        <v>180</v>
      </c>
      <c r="S99" s="3">
        <v>850</v>
      </c>
      <c r="T99" s="3">
        <v>160</v>
      </c>
      <c r="U99" s="3">
        <v>850</v>
      </c>
      <c r="V99" s="3">
        <v>200</v>
      </c>
      <c r="W99" s="3">
        <v>600</v>
      </c>
      <c r="X99" s="3">
        <v>32.5</v>
      </c>
      <c r="Y99" s="3">
        <v>25</v>
      </c>
      <c r="Z99" s="3">
        <v>0</v>
      </c>
      <c r="AA99" s="3">
        <v>0</v>
      </c>
      <c r="AB99" s="3">
        <v>1</v>
      </c>
      <c r="AC99" s="3">
        <v>380</v>
      </c>
      <c r="AE99" s="4">
        <v>15.9</v>
      </c>
      <c r="AF99">
        <v>14.5</v>
      </c>
      <c r="AG99">
        <v>50</v>
      </c>
      <c r="AH99">
        <v>60</v>
      </c>
      <c r="AI99">
        <v>-20</v>
      </c>
      <c r="AJ99" t="s">
        <v>276</v>
      </c>
      <c r="AK99" t="s">
        <v>277</v>
      </c>
      <c r="AL99">
        <v>0</v>
      </c>
      <c r="AN99">
        <v>97</v>
      </c>
      <c r="AO99">
        <v>0</v>
      </c>
      <c r="AP99">
        <f t="shared" si="20"/>
        <v>4</v>
      </c>
      <c r="AR99">
        <v>1</v>
      </c>
      <c r="AS99">
        <v>0</v>
      </c>
      <c r="AT99">
        <v>0</v>
      </c>
      <c r="AU99">
        <v>0</v>
      </c>
      <c r="AW99">
        <v>0</v>
      </c>
      <c r="AY99" t="str">
        <f t="shared" si="21"/>
        <v>3</v>
      </c>
      <c r="BA99" s="13" t="str">
        <f t="shared" si="22"/>
        <v>('T10 (Dual)', 3, 384, 475, 186, 24, 60, -20, 'CONVECÇÃO NATURAL', 'IP65', 'TRANSFORMERLESS', 10000, 11000, 380, 14.5, 15.9, 50, 2, 4, 0),</v>
      </c>
      <c r="BB99" t="str">
        <f t="shared" si="23"/>
        <v xml:space="preserve">(97, 0, 2, 1100, 180, 850, 160, 850, 200, 600, 32.5, 25), </v>
      </c>
      <c r="BC99" t="str">
        <f t="shared" si="24"/>
        <v>(97, 'ON-GRID'),</v>
      </c>
      <c r="BD99" t="str">
        <f t="shared" si="25"/>
        <v/>
      </c>
      <c r="BE99" t="str">
        <f t="shared" si="26"/>
        <v/>
      </c>
      <c r="BF99" t="str">
        <f t="shared" si="27"/>
        <v/>
      </c>
      <c r="BG99" t="str">
        <f t="shared" si="31"/>
        <v>(97, 'WIFI'),</v>
      </c>
      <c r="BH99" t="str">
        <f t="shared" si="32"/>
        <v>(97, 'RS485'),</v>
      </c>
      <c r="BI99" t="str">
        <f t="shared" si="33"/>
        <v>(97, 'DISPLAY'),</v>
      </c>
      <c r="BJ99" t="str">
        <f t="shared" si="34"/>
        <v>(97, 'LED'),</v>
      </c>
      <c r="BK99" t="str">
        <f t="shared" si="35"/>
        <v/>
      </c>
      <c r="BL99" t="str">
        <f t="shared" si="36"/>
        <v/>
      </c>
      <c r="BM99" t="str">
        <f t="shared" si="28"/>
        <v/>
      </c>
      <c r="BN99" t="str">
        <f t="shared" si="29"/>
        <v>(97, 'THREE_PHASE_FOUR_WIRE'),</v>
      </c>
      <c r="BO99" t="str">
        <f t="shared" si="30"/>
        <v/>
      </c>
    </row>
    <row r="100" spans="1:67">
      <c r="A100" s="2" t="s">
        <v>375</v>
      </c>
      <c r="B100" s="3" t="s">
        <v>359</v>
      </c>
      <c r="C100" s="3">
        <v>186</v>
      </c>
      <c r="D100" s="3">
        <v>384</v>
      </c>
      <c r="E100" s="3">
        <v>475</v>
      </c>
      <c r="F100" s="3">
        <v>24</v>
      </c>
      <c r="G100" s="3" t="s">
        <v>275</v>
      </c>
      <c r="H100" s="3">
        <v>1</v>
      </c>
      <c r="I100" s="3">
        <v>1</v>
      </c>
      <c r="J100" s="3">
        <v>1</v>
      </c>
      <c r="K100" s="3">
        <v>1</v>
      </c>
      <c r="L100" s="3">
        <v>0</v>
      </c>
      <c r="M100" s="3">
        <v>12000</v>
      </c>
      <c r="N100" s="3">
        <v>13200</v>
      </c>
      <c r="O100" s="3">
        <v>2</v>
      </c>
      <c r="P100" s="3">
        <v>2</v>
      </c>
      <c r="Q100" s="3">
        <v>1100</v>
      </c>
      <c r="R100" s="3">
        <v>180</v>
      </c>
      <c r="S100" s="3">
        <v>850</v>
      </c>
      <c r="T100" s="3">
        <v>160</v>
      </c>
      <c r="U100" s="3">
        <v>850</v>
      </c>
      <c r="V100" s="3">
        <v>240</v>
      </c>
      <c r="W100" s="3">
        <v>600</v>
      </c>
      <c r="X100" s="3">
        <v>32.5</v>
      </c>
      <c r="Y100" s="3">
        <v>25</v>
      </c>
      <c r="Z100" s="3">
        <v>0</v>
      </c>
      <c r="AA100" s="3">
        <v>0</v>
      </c>
      <c r="AB100" s="3">
        <v>1</v>
      </c>
      <c r="AC100" s="3">
        <v>380</v>
      </c>
      <c r="AE100" s="4">
        <v>19.100000000000001</v>
      </c>
      <c r="AF100">
        <v>17.399999999999999</v>
      </c>
      <c r="AG100">
        <v>50</v>
      </c>
      <c r="AH100">
        <v>60</v>
      </c>
      <c r="AI100">
        <v>-20</v>
      </c>
      <c r="AJ100" t="s">
        <v>276</v>
      </c>
      <c r="AK100" t="s">
        <v>277</v>
      </c>
      <c r="AL100">
        <v>0</v>
      </c>
      <c r="AN100">
        <v>98</v>
      </c>
      <c r="AO100">
        <v>0</v>
      </c>
      <c r="AP100">
        <f t="shared" si="20"/>
        <v>4</v>
      </c>
      <c r="AR100">
        <v>1</v>
      </c>
      <c r="AS100">
        <v>0</v>
      </c>
      <c r="AT100">
        <v>0</v>
      </c>
      <c r="AU100">
        <v>0</v>
      </c>
      <c r="AW100">
        <v>0</v>
      </c>
      <c r="AY100" t="str">
        <f t="shared" si="21"/>
        <v>3</v>
      </c>
      <c r="BA100" s="13" t="str">
        <f t="shared" ref="BA100:BA119" si="37">_xlfn.CONCAT("('",A100,"', ",AY100,", ",SUBSTITUTE(D100,",","."),", ",SUBSTITUTE(E100,",","."),", ",SUBSTITUTE(C100,",","."),", ",SUBSTITUTE(F100,",","."),", ",AH100,", ",AI100,", '",G100,"', '",AJ100,"', '",AK100,"', ",M100,", ",N100,", ",AC100,", ",SUBSTITUTE(AF100,",","."),", ",SUBSTITUTE(AE100,",","."),", ",AG100,", ",P100,", ",AP100,", ",AL100,"),")</f>
        <v>('T12 (Dual)', 3, 384, 475, 186, 24, 60, -20, 'CONVECÇÃO NATURAL', 'IP65', 'TRANSFORMERLESS', 12000, 13200, 380, 17.4, 19.1, 50, 2, 4, 0),</v>
      </c>
      <c r="BB100" t="str">
        <f t="shared" si="23"/>
        <v xml:space="preserve">(98, 0, 2, 1100, 180, 850, 160, 850, 240, 600, 32.5, 25), </v>
      </c>
      <c r="BC100" t="str">
        <f t="shared" si="24"/>
        <v>(98, 'ON-GRID'),</v>
      </c>
      <c r="BD100" t="str">
        <f t="shared" si="25"/>
        <v/>
      </c>
      <c r="BE100" t="str">
        <f t="shared" si="26"/>
        <v/>
      </c>
      <c r="BF100" t="str">
        <f t="shared" si="27"/>
        <v/>
      </c>
      <c r="BG100" t="str">
        <f t="shared" si="31"/>
        <v>(98, 'WIFI'),</v>
      </c>
      <c r="BH100" t="str">
        <f t="shared" si="32"/>
        <v>(98, 'RS485'),</v>
      </c>
      <c r="BI100" t="str">
        <f t="shared" si="33"/>
        <v>(98, 'DISPLAY'),</v>
      </c>
      <c r="BJ100" t="str">
        <f t="shared" si="34"/>
        <v>(98, 'LED'),</v>
      </c>
      <c r="BK100" t="str">
        <f t="shared" si="35"/>
        <v/>
      </c>
      <c r="BL100" t="str">
        <f t="shared" si="36"/>
        <v/>
      </c>
      <c r="BM100" t="str">
        <f t="shared" si="28"/>
        <v/>
      </c>
      <c r="BN100" t="str">
        <f t="shared" si="29"/>
        <v>(98, 'THREE_PHASE_FOUR_WIRE'),</v>
      </c>
      <c r="BO100" t="str">
        <f t="shared" si="30"/>
        <v/>
      </c>
    </row>
    <row r="101" spans="1:67">
      <c r="A101" s="2" t="s">
        <v>376</v>
      </c>
      <c r="B101" s="3" t="s">
        <v>359</v>
      </c>
      <c r="C101" s="3">
        <v>186</v>
      </c>
      <c r="D101" s="3">
        <v>384</v>
      </c>
      <c r="E101" s="3">
        <v>475</v>
      </c>
      <c r="F101" s="3">
        <v>24</v>
      </c>
      <c r="G101" s="3" t="s">
        <v>316</v>
      </c>
      <c r="H101" s="3">
        <v>1</v>
      </c>
      <c r="I101" s="3">
        <v>1</v>
      </c>
      <c r="J101" s="3">
        <v>1</v>
      </c>
      <c r="K101" s="3">
        <v>1</v>
      </c>
      <c r="L101" s="3">
        <v>0</v>
      </c>
      <c r="M101" s="3">
        <v>15000</v>
      </c>
      <c r="N101" s="3">
        <v>16500</v>
      </c>
      <c r="O101" s="3">
        <v>2</v>
      </c>
      <c r="P101" s="3">
        <v>2</v>
      </c>
      <c r="Q101" s="3">
        <v>1100</v>
      </c>
      <c r="R101" s="3">
        <v>180</v>
      </c>
      <c r="S101" s="3">
        <v>850</v>
      </c>
      <c r="T101" s="3">
        <v>160</v>
      </c>
      <c r="U101" s="3">
        <v>850</v>
      </c>
      <c r="V101" s="3">
        <v>300</v>
      </c>
      <c r="W101" s="3">
        <v>600</v>
      </c>
      <c r="X101" s="3">
        <v>32.5</v>
      </c>
      <c r="Y101" s="3">
        <v>25</v>
      </c>
      <c r="Z101" s="3">
        <v>0</v>
      </c>
      <c r="AA101" s="3">
        <v>0</v>
      </c>
      <c r="AB101" s="3">
        <v>1</v>
      </c>
      <c r="AC101" s="3">
        <v>380</v>
      </c>
      <c r="AE101" s="4">
        <v>23.9</v>
      </c>
      <c r="AF101">
        <v>21.7</v>
      </c>
      <c r="AG101">
        <v>50</v>
      </c>
      <c r="AH101">
        <v>60</v>
      </c>
      <c r="AI101">
        <v>-20</v>
      </c>
      <c r="AJ101" t="s">
        <v>276</v>
      </c>
      <c r="AK101" t="s">
        <v>277</v>
      </c>
      <c r="AL101">
        <v>0</v>
      </c>
      <c r="AN101">
        <v>99</v>
      </c>
      <c r="AO101">
        <v>0</v>
      </c>
      <c r="AP101">
        <f t="shared" si="20"/>
        <v>4</v>
      </c>
      <c r="AR101">
        <v>1</v>
      </c>
      <c r="AS101">
        <v>0</v>
      </c>
      <c r="AT101">
        <v>0</v>
      </c>
      <c r="AU101">
        <v>0</v>
      </c>
      <c r="AW101">
        <v>0</v>
      </c>
      <c r="AY101" t="str">
        <f t="shared" si="21"/>
        <v>3</v>
      </c>
      <c r="BA101" s="13" t="str">
        <f t="shared" si="37"/>
        <v>('T15 (Dual)', 3, 384, 475, 186, 24, 60, -20, 'COOLER', 'IP65', 'TRANSFORMERLESS', 15000, 16500, 380, 21.7, 23.9, 50, 2, 4, 0),</v>
      </c>
      <c r="BB101" t="str">
        <f t="shared" si="23"/>
        <v xml:space="preserve">(99, 0, 2, 1100, 180, 850, 160, 850, 300, 600, 32.5, 25), </v>
      </c>
      <c r="BC101" t="str">
        <f t="shared" si="24"/>
        <v>(99, 'ON-GRID'),</v>
      </c>
      <c r="BD101" t="str">
        <f t="shared" si="25"/>
        <v/>
      </c>
      <c r="BE101" t="str">
        <f t="shared" si="26"/>
        <v/>
      </c>
      <c r="BF101" t="str">
        <f t="shared" si="27"/>
        <v/>
      </c>
      <c r="BG101" t="str">
        <f t="shared" si="31"/>
        <v>(99, 'WIFI'),</v>
      </c>
      <c r="BH101" t="str">
        <f t="shared" si="32"/>
        <v>(99, 'RS485'),</v>
      </c>
      <c r="BI101" t="str">
        <f t="shared" si="33"/>
        <v>(99, 'DISPLAY'),</v>
      </c>
      <c r="BJ101" t="str">
        <f t="shared" si="34"/>
        <v>(99, 'LED'),</v>
      </c>
      <c r="BK101" t="str">
        <f t="shared" si="35"/>
        <v/>
      </c>
      <c r="BL101" t="str">
        <f t="shared" si="36"/>
        <v/>
      </c>
      <c r="BM101" t="str">
        <f t="shared" si="28"/>
        <v/>
      </c>
      <c r="BN101" t="str">
        <f t="shared" si="29"/>
        <v>(99, 'THREE_PHASE_FOUR_WIRE'),</v>
      </c>
      <c r="BO101" t="str">
        <f t="shared" si="30"/>
        <v/>
      </c>
    </row>
    <row r="102" spans="1:67">
      <c r="A102" s="2" t="s">
        <v>377</v>
      </c>
      <c r="B102" s="3" t="s">
        <v>359</v>
      </c>
      <c r="C102" s="3">
        <v>360</v>
      </c>
      <c r="D102" s="3">
        <v>975</v>
      </c>
      <c r="E102" s="3">
        <v>630</v>
      </c>
      <c r="F102" s="3">
        <v>90</v>
      </c>
      <c r="G102" s="3" t="s">
        <v>316</v>
      </c>
      <c r="H102" s="3">
        <v>1</v>
      </c>
      <c r="I102" s="3">
        <v>1</v>
      </c>
      <c r="J102" s="3">
        <v>0</v>
      </c>
      <c r="K102" s="3">
        <v>1</v>
      </c>
      <c r="L102" s="3">
        <v>0</v>
      </c>
      <c r="M102" s="3">
        <v>75000</v>
      </c>
      <c r="N102" s="3">
        <v>82500</v>
      </c>
      <c r="O102" s="3">
        <v>2</v>
      </c>
      <c r="P102" s="3">
        <v>9</v>
      </c>
      <c r="Q102" s="3">
        <v>1100</v>
      </c>
      <c r="R102" s="3">
        <v>250</v>
      </c>
      <c r="S102" s="3">
        <v>1000</v>
      </c>
      <c r="T102" s="3">
        <v>200</v>
      </c>
      <c r="U102" s="3">
        <v>850</v>
      </c>
      <c r="V102" s="3">
        <v>550</v>
      </c>
      <c r="W102" s="3">
        <v>600</v>
      </c>
      <c r="X102" s="3">
        <v>40</v>
      </c>
      <c r="Y102" s="3">
        <v>26</v>
      </c>
      <c r="Z102" s="3">
        <v>0</v>
      </c>
      <c r="AA102" s="3">
        <v>0</v>
      </c>
      <c r="AB102" s="3">
        <v>1</v>
      </c>
      <c r="AC102" s="3">
        <v>380</v>
      </c>
      <c r="AE102" s="4">
        <v>113.7</v>
      </c>
      <c r="AF102" s="4">
        <v>113.7</v>
      </c>
      <c r="AG102">
        <v>50</v>
      </c>
      <c r="AH102">
        <v>60</v>
      </c>
      <c r="AI102">
        <v>-30</v>
      </c>
      <c r="AJ102" t="s">
        <v>307</v>
      </c>
      <c r="AK102" t="s">
        <v>277</v>
      </c>
      <c r="AL102">
        <v>0</v>
      </c>
      <c r="AN102">
        <v>100</v>
      </c>
      <c r="AO102">
        <v>0</v>
      </c>
      <c r="AP102">
        <f t="shared" si="20"/>
        <v>18</v>
      </c>
      <c r="AR102">
        <v>1</v>
      </c>
      <c r="AS102">
        <v>0</v>
      </c>
      <c r="AT102">
        <v>0</v>
      </c>
      <c r="AU102">
        <v>0</v>
      </c>
      <c r="AW102">
        <v>0</v>
      </c>
      <c r="AY102" t="str">
        <f t="shared" si="21"/>
        <v>3</v>
      </c>
      <c r="BA102" s="13" t="str">
        <f t="shared" si="37"/>
        <v>('R75', 3, 975, 630, 360, 90, 60, -30, 'COOLER', 'IP66', 'TRANSFORMERLESS', 75000, 82500, 380, 113.7, 113.7, 50, 9, 18, 0),</v>
      </c>
      <c r="BB102" t="str">
        <f t="shared" si="23"/>
        <v xml:space="preserve">(100, 0, 2, 1100, 250, 1000, 200, 850, 550, 600, 40, 26), </v>
      </c>
      <c r="BC102" t="str">
        <f t="shared" si="24"/>
        <v>(100, 'ON-GRID'),</v>
      </c>
      <c r="BD102" t="str">
        <f t="shared" si="25"/>
        <v/>
      </c>
      <c r="BE102" t="str">
        <f t="shared" si="26"/>
        <v/>
      </c>
      <c r="BF102" t="str">
        <f t="shared" si="27"/>
        <v/>
      </c>
      <c r="BG102" t="str">
        <f t="shared" si="31"/>
        <v>(100, 'WIFI'),</v>
      </c>
      <c r="BH102" t="str">
        <f t="shared" si="32"/>
        <v>(100, 'RS485'),</v>
      </c>
      <c r="BI102" t="str">
        <f t="shared" si="33"/>
        <v/>
      </c>
      <c r="BJ102" t="str">
        <f t="shared" si="34"/>
        <v>(100, 'LED'),</v>
      </c>
      <c r="BK102" t="str">
        <f t="shared" si="35"/>
        <v/>
      </c>
      <c r="BL102" t="str">
        <f t="shared" si="36"/>
        <v/>
      </c>
      <c r="BM102" t="str">
        <f t="shared" si="28"/>
        <v/>
      </c>
      <c r="BN102" t="str">
        <f t="shared" si="29"/>
        <v>(100, 'THREE_PHASE_FOUR_WIRE'),</v>
      </c>
      <c r="BO102" t="str">
        <f t="shared" si="30"/>
        <v/>
      </c>
    </row>
    <row r="103" spans="1:67">
      <c r="A103" s="2" t="s">
        <v>378</v>
      </c>
      <c r="B103" s="3" t="s">
        <v>359</v>
      </c>
      <c r="C103" s="3">
        <v>360</v>
      </c>
      <c r="D103" s="3">
        <v>975</v>
      </c>
      <c r="E103" s="3">
        <v>630</v>
      </c>
      <c r="F103" s="3">
        <v>90</v>
      </c>
      <c r="G103" s="3" t="s">
        <v>316</v>
      </c>
      <c r="H103" s="3">
        <v>1</v>
      </c>
      <c r="I103" s="3">
        <v>1</v>
      </c>
      <c r="J103" s="3">
        <v>0</v>
      </c>
      <c r="K103" s="3">
        <v>1</v>
      </c>
      <c r="L103" s="3">
        <v>0</v>
      </c>
      <c r="M103" s="3">
        <v>100000</v>
      </c>
      <c r="N103" s="3">
        <v>110000</v>
      </c>
      <c r="O103" s="3">
        <v>2</v>
      </c>
      <c r="P103" s="3">
        <v>9</v>
      </c>
      <c r="Q103" s="3">
        <v>1100</v>
      </c>
      <c r="R103" s="3">
        <v>250</v>
      </c>
      <c r="S103" s="3">
        <v>1000</v>
      </c>
      <c r="T103" s="3">
        <v>200</v>
      </c>
      <c r="U103" s="3">
        <v>850</v>
      </c>
      <c r="V103" s="3">
        <v>550</v>
      </c>
      <c r="W103" s="3">
        <v>600</v>
      </c>
      <c r="X103" s="3">
        <v>40</v>
      </c>
      <c r="Y103" s="3">
        <v>26</v>
      </c>
      <c r="Z103" s="3">
        <v>0</v>
      </c>
      <c r="AA103" s="3">
        <v>0</v>
      </c>
      <c r="AB103" s="3">
        <v>1</v>
      </c>
      <c r="AC103" s="3">
        <v>380</v>
      </c>
      <c r="AE103" s="4">
        <v>166.7</v>
      </c>
      <c r="AF103" s="4">
        <v>166.7</v>
      </c>
      <c r="AG103">
        <v>50</v>
      </c>
      <c r="AH103">
        <v>60</v>
      </c>
      <c r="AI103">
        <v>-30</v>
      </c>
      <c r="AJ103" t="s">
        <v>307</v>
      </c>
      <c r="AK103" t="s">
        <v>277</v>
      </c>
      <c r="AL103">
        <v>0</v>
      </c>
      <c r="AN103">
        <v>101</v>
      </c>
      <c r="AO103">
        <v>0</v>
      </c>
      <c r="AP103">
        <f t="shared" si="20"/>
        <v>18</v>
      </c>
      <c r="AR103">
        <v>1</v>
      </c>
      <c r="AS103">
        <v>0</v>
      </c>
      <c r="AT103">
        <v>0</v>
      </c>
      <c r="AU103">
        <v>0</v>
      </c>
      <c r="AW103">
        <v>0</v>
      </c>
      <c r="AY103" t="str">
        <f t="shared" si="21"/>
        <v>3</v>
      </c>
      <c r="BA103" s="13" t="str">
        <f t="shared" si="37"/>
        <v>('R100', 3, 975, 630, 360, 90, 60, -30, 'COOLER', 'IP66', 'TRANSFORMERLESS', 100000, 110000, 380, 166.7, 166.7, 50, 9, 18, 0),</v>
      </c>
      <c r="BB103" t="str">
        <f t="shared" si="23"/>
        <v xml:space="preserve">(101, 0, 2, 1100, 250, 1000, 200, 850, 550, 600, 40, 26), </v>
      </c>
      <c r="BC103" t="str">
        <f t="shared" si="24"/>
        <v>(101, 'ON-GRID'),</v>
      </c>
      <c r="BD103" t="str">
        <f t="shared" si="25"/>
        <v/>
      </c>
      <c r="BE103" t="str">
        <f t="shared" si="26"/>
        <v/>
      </c>
      <c r="BF103" t="str">
        <f t="shared" si="27"/>
        <v/>
      </c>
      <c r="BG103" t="str">
        <f t="shared" si="31"/>
        <v>(101, 'WIFI'),</v>
      </c>
      <c r="BH103" t="str">
        <f t="shared" si="32"/>
        <v>(101, 'RS485'),</v>
      </c>
      <c r="BI103" t="str">
        <f t="shared" si="33"/>
        <v/>
      </c>
      <c r="BJ103" t="str">
        <f t="shared" si="34"/>
        <v>(101, 'LED'),</v>
      </c>
      <c r="BK103" t="str">
        <f t="shared" si="35"/>
        <v/>
      </c>
      <c r="BL103" t="str">
        <f t="shared" si="36"/>
        <v/>
      </c>
      <c r="BM103" t="str">
        <f t="shared" si="28"/>
        <v/>
      </c>
      <c r="BN103" t="str">
        <f t="shared" si="29"/>
        <v>(101, 'THREE_PHASE_FOUR_WIRE'),</v>
      </c>
      <c r="BO103" t="str">
        <f t="shared" si="30"/>
        <v/>
      </c>
    </row>
    <row r="104" spans="1:67">
      <c r="A104" s="2" t="s">
        <v>379</v>
      </c>
      <c r="B104" s="3" t="s">
        <v>359</v>
      </c>
      <c r="C104" s="3">
        <v>360</v>
      </c>
      <c r="D104" s="3">
        <v>975</v>
      </c>
      <c r="E104" s="3">
        <v>630</v>
      </c>
      <c r="F104" s="3">
        <v>90</v>
      </c>
      <c r="G104" s="3" t="s">
        <v>316</v>
      </c>
      <c r="H104" s="3">
        <v>1</v>
      </c>
      <c r="I104" s="3">
        <v>1</v>
      </c>
      <c r="J104" s="3">
        <v>0</v>
      </c>
      <c r="K104" s="3">
        <v>1</v>
      </c>
      <c r="L104" s="3">
        <v>0</v>
      </c>
      <c r="M104" s="3">
        <v>110000</v>
      </c>
      <c r="N104" s="3">
        <v>121000</v>
      </c>
      <c r="O104" s="3">
        <v>2</v>
      </c>
      <c r="P104" s="3">
        <v>10</v>
      </c>
      <c r="Q104" s="3">
        <v>1100</v>
      </c>
      <c r="R104" s="3">
        <v>250</v>
      </c>
      <c r="S104" s="3">
        <v>1000</v>
      </c>
      <c r="T104" s="3">
        <v>200</v>
      </c>
      <c r="U104" s="3">
        <v>850</v>
      </c>
      <c r="V104" s="3">
        <v>550</v>
      </c>
      <c r="W104" s="3">
        <v>600</v>
      </c>
      <c r="X104" s="3">
        <v>40</v>
      </c>
      <c r="Y104" s="3">
        <v>26</v>
      </c>
      <c r="Z104" s="3">
        <v>0</v>
      </c>
      <c r="AA104" s="3">
        <v>0</v>
      </c>
      <c r="AB104" s="3">
        <v>1</v>
      </c>
      <c r="AC104" s="3">
        <v>380</v>
      </c>
      <c r="AE104" s="4">
        <v>175.3</v>
      </c>
      <c r="AF104" s="4">
        <v>175.3</v>
      </c>
      <c r="AG104">
        <v>50</v>
      </c>
      <c r="AH104">
        <v>60</v>
      </c>
      <c r="AI104">
        <v>-30</v>
      </c>
      <c r="AJ104" t="s">
        <v>307</v>
      </c>
      <c r="AK104" t="s">
        <v>277</v>
      </c>
      <c r="AL104">
        <v>0</v>
      </c>
      <c r="AN104">
        <v>102</v>
      </c>
      <c r="AO104">
        <v>0</v>
      </c>
      <c r="AP104">
        <f t="shared" si="20"/>
        <v>20</v>
      </c>
      <c r="AR104">
        <v>1</v>
      </c>
      <c r="AS104">
        <v>0</v>
      </c>
      <c r="AT104">
        <v>0</v>
      </c>
      <c r="AU104">
        <v>0</v>
      </c>
      <c r="AW104">
        <v>0</v>
      </c>
      <c r="AY104" t="str">
        <f t="shared" si="21"/>
        <v>3</v>
      </c>
      <c r="BA104" s="13" t="str">
        <f t="shared" si="37"/>
        <v>('R110', 3, 975, 630, 360, 90, 60, -30, 'COOLER', 'IP66', 'TRANSFORMERLESS', 110000, 121000, 380, 175.3, 175.3, 50, 10, 20, 0),</v>
      </c>
      <c r="BB104" t="str">
        <f t="shared" si="23"/>
        <v xml:space="preserve">(102, 0, 2, 1100, 250, 1000, 200, 850, 550, 600, 40, 26), </v>
      </c>
      <c r="BC104" t="str">
        <f t="shared" si="24"/>
        <v>(102, 'ON-GRID'),</v>
      </c>
      <c r="BD104" t="str">
        <f t="shared" si="25"/>
        <v/>
      </c>
      <c r="BE104" t="str">
        <f t="shared" si="26"/>
        <v/>
      </c>
      <c r="BF104" t="str">
        <f t="shared" si="27"/>
        <v/>
      </c>
      <c r="BG104" t="str">
        <f t="shared" si="31"/>
        <v>(102, 'WIFI'),</v>
      </c>
      <c r="BH104" t="str">
        <f t="shared" si="32"/>
        <v>(102, 'RS485'),</v>
      </c>
      <c r="BI104" t="str">
        <f t="shared" si="33"/>
        <v/>
      </c>
      <c r="BJ104" t="str">
        <f t="shared" si="34"/>
        <v>(102, 'LED'),</v>
      </c>
      <c r="BK104" t="str">
        <f t="shared" si="35"/>
        <v/>
      </c>
      <c r="BL104" t="str">
        <f t="shared" si="36"/>
        <v/>
      </c>
      <c r="BM104" t="str">
        <f t="shared" si="28"/>
        <v/>
      </c>
      <c r="BN104" t="str">
        <f t="shared" si="29"/>
        <v>(102, 'THREE_PHASE_FOUR_WIRE'),</v>
      </c>
      <c r="BO104" t="str">
        <f t="shared" si="30"/>
        <v/>
      </c>
    </row>
    <row r="105" spans="1:67">
      <c r="A105" s="2" t="s">
        <v>380</v>
      </c>
      <c r="B105" s="3" t="s">
        <v>359</v>
      </c>
      <c r="C105" s="3">
        <v>148</v>
      </c>
      <c r="D105" s="3">
        <v>402</v>
      </c>
      <c r="E105" s="3">
        <v>476.5</v>
      </c>
      <c r="F105" s="3">
        <v>15.5</v>
      </c>
      <c r="G105" s="3" t="s">
        <v>275</v>
      </c>
      <c r="H105" s="3">
        <v>1</v>
      </c>
      <c r="I105" s="3">
        <v>1</v>
      </c>
      <c r="J105" s="3">
        <v>1</v>
      </c>
      <c r="K105" s="3">
        <v>1</v>
      </c>
      <c r="L105" s="3">
        <v>0</v>
      </c>
      <c r="M105" s="3">
        <v>3000</v>
      </c>
      <c r="N105" s="3">
        <v>3300</v>
      </c>
      <c r="O105" s="3">
        <v>1</v>
      </c>
      <c r="P105" s="3">
        <v>2</v>
      </c>
      <c r="Q105" s="3">
        <v>600</v>
      </c>
      <c r="R105" s="3">
        <v>120</v>
      </c>
      <c r="S105" s="3">
        <v>550</v>
      </c>
      <c r="T105" s="3">
        <v>80</v>
      </c>
      <c r="U105" s="3">
        <v>550</v>
      </c>
      <c r="V105" s="3">
        <v>130</v>
      </c>
      <c r="W105" s="3">
        <v>360</v>
      </c>
      <c r="X105" s="3">
        <v>15</v>
      </c>
      <c r="Y105" s="3">
        <v>12.5</v>
      </c>
      <c r="Z105" s="3">
        <v>1</v>
      </c>
      <c r="AA105" s="3">
        <v>0</v>
      </c>
      <c r="AB105" s="3">
        <v>0</v>
      </c>
      <c r="AC105" s="3">
        <v>220</v>
      </c>
      <c r="AE105" s="4">
        <v>14.3</v>
      </c>
      <c r="AF105" s="4">
        <v>13</v>
      </c>
      <c r="AG105">
        <v>50</v>
      </c>
      <c r="AH105">
        <v>60</v>
      </c>
      <c r="AI105">
        <v>-20</v>
      </c>
      <c r="AJ105" t="s">
        <v>276</v>
      </c>
      <c r="AK105" t="s">
        <v>277</v>
      </c>
      <c r="AL105">
        <v>0</v>
      </c>
      <c r="AN105">
        <v>103</v>
      </c>
      <c r="AO105">
        <v>0</v>
      </c>
      <c r="AP105">
        <f t="shared" si="20"/>
        <v>2</v>
      </c>
      <c r="AR105">
        <v>1</v>
      </c>
      <c r="AS105">
        <v>0</v>
      </c>
      <c r="AT105">
        <v>0</v>
      </c>
      <c r="AU105">
        <v>0</v>
      </c>
      <c r="AW105">
        <v>0</v>
      </c>
      <c r="AY105" t="str">
        <f t="shared" si="21"/>
        <v>3</v>
      </c>
      <c r="BA105" s="13" t="str">
        <f t="shared" si="37"/>
        <v>('F3000', 3, 402, 476.5, 148, 15.5, 60, -20, 'CONVECÇÃO NATURAL', 'IP65', 'TRANSFORMERLESS', 3000, 3300, 220, 13, 14.3, 50, 2, 2, 0),</v>
      </c>
      <c r="BB105" t="str">
        <f t="shared" si="23"/>
        <v xml:space="preserve">(103, 0, 1, 600, 120, 550, 80, 550, 130, 360, 15, 12.5), </v>
      </c>
      <c r="BC105" t="str">
        <f t="shared" si="24"/>
        <v>(103, 'ON-GRID'),</v>
      </c>
      <c r="BD105" t="str">
        <f t="shared" si="25"/>
        <v/>
      </c>
      <c r="BE105" t="str">
        <f t="shared" si="26"/>
        <v/>
      </c>
      <c r="BF105" t="str">
        <f t="shared" si="27"/>
        <v/>
      </c>
      <c r="BG105" t="str">
        <f t="shared" si="31"/>
        <v>(103, 'WIFI'),</v>
      </c>
      <c r="BH105" t="str">
        <f t="shared" si="32"/>
        <v>(103, 'RS485'),</v>
      </c>
      <c r="BI105" t="str">
        <f t="shared" si="33"/>
        <v>(103, 'DISPLAY'),</v>
      </c>
      <c r="BJ105" t="str">
        <f t="shared" si="34"/>
        <v>(103, 'LED'),</v>
      </c>
      <c r="BK105" t="str">
        <f t="shared" si="35"/>
        <v/>
      </c>
      <c r="BL105" t="str">
        <f t="shared" si="36"/>
        <v/>
      </c>
      <c r="BM105" t="str">
        <f t="shared" si="28"/>
        <v/>
      </c>
      <c r="BN105" t="str">
        <f t="shared" si="29"/>
        <v/>
      </c>
      <c r="BO105" t="str">
        <f t="shared" si="30"/>
        <v>(103, 'SINGLE_PHASE'),</v>
      </c>
    </row>
    <row r="106" spans="1:67">
      <c r="A106" s="2" t="s">
        <v>381</v>
      </c>
      <c r="B106" s="3" t="s">
        <v>359</v>
      </c>
      <c r="C106" s="3">
        <v>148</v>
      </c>
      <c r="D106" s="3">
        <v>402</v>
      </c>
      <c r="E106" s="3">
        <v>476.5</v>
      </c>
      <c r="F106" s="3">
        <v>15.5</v>
      </c>
      <c r="G106" s="3" t="s">
        <v>275</v>
      </c>
      <c r="H106" s="3">
        <v>1</v>
      </c>
      <c r="I106" s="3">
        <v>1</v>
      </c>
      <c r="J106" s="3">
        <v>1</v>
      </c>
      <c r="K106" s="3">
        <v>1</v>
      </c>
      <c r="L106" s="3">
        <v>0</v>
      </c>
      <c r="M106" s="3">
        <v>3600</v>
      </c>
      <c r="N106" s="3">
        <v>3960</v>
      </c>
      <c r="O106" s="3">
        <v>1</v>
      </c>
      <c r="P106" s="3">
        <v>2</v>
      </c>
      <c r="Q106" s="3">
        <v>600</v>
      </c>
      <c r="R106" s="3">
        <v>120</v>
      </c>
      <c r="S106" s="3">
        <v>550</v>
      </c>
      <c r="T106" s="3">
        <v>80</v>
      </c>
      <c r="U106" s="3">
        <v>550</v>
      </c>
      <c r="V106" s="3">
        <v>150</v>
      </c>
      <c r="W106" s="3">
        <v>360</v>
      </c>
      <c r="X106" s="3">
        <v>15</v>
      </c>
      <c r="Y106" s="3">
        <v>12.5</v>
      </c>
      <c r="Z106" s="3">
        <v>1</v>
      </c>
      <c r="AA106" s="3">
        <v>0</v>
      </c>
      <c r="AB106" s="3">
        <v>0</v>
      </c>
      <c r="AC106" s="3">
        <v>220</v>
      </c>
      <c r="AE106" s="4">
        <v>17.2</v>
      </c>
      <c r="AF106">
        <v>15.7</v>
      </c>
      <c r="AG106">
        <v>50</v>
      </c>
      <c r="AH106">
        <v>60</v>
      </c>
      <c r="AI106">
        <v>-20</v>
      </c>
      <c r="AJ106" t="s">
        <v>276</v>
      </c>
      <c r="AK106" t="s">
        <v>277</v>
      </c>
      <c r="AL106">
        <v>0</v>
      </c>
      <c r="AN106">
        <v>104</v>
      </c>
      <c r="AO106">
        <v>0</v>
      </c>
      <c r="AP106">
        <f t="shared" si="20"/>
        <v>2</v>
      </c>
      <c r="AR106">
        <v>1</v>
      </c>
      <c r="AS106">
        <v>0</v>
      </c>
      <c r="AT106">
        <v>0</v>
      </c>
      <c r="AU106">
        <v>0</v>
      </c>
      <c r="AW106">
        <v>0</v>
      </c>
      <c r="AY106" t="str">
        <f t="shared" si="21"/>
        <v>3</v>
      </c>
      <c r="BA106" s="13" t="str">
        <f t="shared" si="37"/>
        <v>('F3600', 3, 402, 476.5, 148, 15.5, 60, -20, 'CONVECÇÃO NATURAL', 'IP65', 'TRANSFORMERLESS', 3600, 3960, 220, 15.7, 17.2, 50, 2, 2, 0),</v>
      </c>
      <c r="BB106" t="str">
        <f t="shared" si="23"/>
        <v xml:space="preserve">(104, 0, 1, 600, 120, 550, 80, 550, 150, 360, 15, 12.5), </v>
      </c>
      <c r="BC106" t="str">
        <f t="shared" si="24"/>
        <v>(104, 'ON-GRID'),</v>
      </c>
      <c r="BD106" t="str">
        <f t="shared" si="25"/>
        <v/>
      </c>
      <c r="BE106" t="str">
        <f t="shared" si="26"/>
        <v/>
      </c>
      <c r="BF106" t="str">
        <f t="shared" si="27"/>
        <v/>
      </c>
      <c r="BG106" t="str">
        <f t="shared" si="31"/>
        <v>(104, 'WIFI'),</v>
      </c>
      <c r="BH106" t="str">
        <f t="shared" si="32"/>
        <v>(104, 'RS485'),</v>
      </c>
      <c r="BI106" t="str">
        <f t="shared" si="33"/>
        <v>(104, 'DISPLAY'),</v>
      </c>
      <c r="BJ106" t="str">
        <f t="shared" si="34"/>
        <v>(104, 'LED'),</v>
      </c>
      <c r="BK106" t="str">
        <f t="shared" si="35"/>
        <v/>
      </c>
      <c r="BL106" t="str">
        <f t="shared" si="36"/>
        <v/>
      </c>
      <c r="BM106" t="str">
        <f t="shared" si="28"/>
        <v/>
      </c>
      <c r="BN106" t="str">
        <f t="shared" si="29"/>
        <v/>
      </c>
      <c r="BO106" t="str">
        <f t="shared" si="30"/>
        <v>(104, 'SINGLE_PHASE'),</v>
      </c>
    </row>
    <row r="107" spans="1:67">
      <c r="A107" s="2" t="s">
        <v>382</v>
      </c>
      <c r="B107" s="3" t="s">
        <v>359</v>
      </c>
      <c r="C107" s="3">
        <v>148</v>
      </c>
      <c r="D107" s="3">
        <v>402</v>
      </c>
      <c r="E107" s="3">
        <v>476.5</v>
      </c>
      <c r="F107" s="3">
        <v>15.5</v>
      </c>
      <c r="G107" s="3" t="s">
        <v>275</v>
      </c>
      <c r="H107" s="3">
        <v>1</v>
      </c>
      <c r="I107" s="3">
        <v>1</v>
      </c>
      <c r="J107" s="3">
        <v>1</v>
      </c>
      <c r="K107" s="3">
        <v>1</v>
      </c>
      <c r="L107" s="3">
        <v>0</v>
      </c>
      <c r="M107" s="3">
        <v>4600</v>
      </c>
      <c r="N107" s="3">
        <v>5060</v>
      </c>
      <c r="O107" s="3">
        <v>1</v>
      </c>
      <c r="P107" s="3">
        <v>2</v>
      </c>
      <c r="Q107" s="3">
        <v>600</v>
      </c>
      <c r="R107" s="3">
        <v>120</v>
      </c>
      <c r="S107" s="3">
        <v>550</v>
      </c>
      <c r="T107" s="3">
        <v>80</v>
      </c>
      <c r="U107" s="3">
        <v>550</v>
      </c>
      <c r="V107" s="3">
        <v>200</v>
      </c>
      <c r="W107" s="3">
        <v>360</v>
      </c>
      <c r="X107" s="3">
        <v>15</v>
      </c>
      <c r="Y107" s="3">
        <v>12.5</v>
      </c>
      <c r="Z107" s="3">
        <v>1</v>
      </c>
      <c r="AA107" s="3">
        <v>0</v>
      </c>
      <c r="AB107" s="3">
        <v>0</v>
      </c>
      <c r="AC107" s="3">
        <v>220</v>
      </c>
      <c r="AE107" s="4">
        <v>22</v>
      </c>
      <c r="AF107">
        <v>20</v>
      </c>
      <c r="AG107">
        <v>50</v>
      </c>
      <c r="AH107">
        <v>60</v>
      </c>
      <c r="AI107">
        <v>-20</v>
      </c>
      <c r="AJ107" t="s">
        <v>276</v>
      </c>
      <c r="AK107" t="s">
        <v>277</v>
      </c>
      <c r="AL107">
        <v>0</v>
      </c>
      <c r="AN107">
        <v>105</v>
      </c>
      <c r="AO107">
        <v>0</v>
      </c>
      <c r="AP107">
        <f t="shared" si="20"/>
        <v>2</v>
      </c>
      <c r="AR107">
        <v>1</v>
      </c>
      <c r="AS107">
        <v>0</v>
      </c>
      <c r="AT107">
        <v>0</v>
      </c>
      <c r="AU107">
        <v>0</v>
      </c>
      <c r="AW107">
        <v>0</v>
      </c>
      <c r="AY107" t="str">
        <f t="shared" si="21"/>
        <v>3</v>
      </c>
      <c r="BA107" s="13" t="str">
        <f t="shared" si="37"/>
        <v>('F4600', 3, 402, 476.5, 148, 15.5, 60, -20, 'CONVECÇÃO NATURAL', 'IP65', 'TRANSFORMERLESS', 4600, 5060, 220, 20, 22, 50, 2, 2, 0),</v>
      </c>
      <c r="BB107" t="str">
        <f t="shared" si="23"/>
        <v xml:space="preserve">(105, 0, 1, 600, 120, 550, 80, 550, 200, 360, 15, 12.5), </v>
      </c>
      <c r="BC107" t="str">
        <f t="shared" si="24"/>
        <v>(105, 'ON-GRID'),</v>
      </c>
      <c r="BD107" t="str">
        <f t="shared" si="25"/>
        <v/>
      </c>
      <c r="BE107" t="str">
        <f t="shared" si="26"/>
        <v/>
      </c>
      <c r="BF107" t="str">
        <f t="shared" si="27"/>
        <v/>
      </c>
      <c r="BG107" t="str">
        <f t="shared" si="31"/>
        <v>(105, 'WIFI'),</v>
      </c>
      <c r="BH107" t="str">
        <f t="shared" si="32"/>
        <v>(105, 'RS485'),</v>
      </c>
      <c r="BI107" t="str">
        <f t="shared" si="33"/>
        <v>(105, 'DISPLAY'),</v>
      </c>
      <c r="BJ107" t="str">
        <f t="shared" si="34"/>
        <v>(105, 'LED'),</v>
      </c>
      <c r="BK107" t="str">
        <f t="shared" si="35"/>
        <v/>
      </c>
      <c r="BL107" t="str">
        <f t="shared" si="36"/>
        <v/>
      </c>
      <c r="BM107" t="str">
        <f t="shared" si="28"/>
        <v/>
      </c>
      <c r="BN107" t="str">
        <f t="shared" si="29"/>
        <v/>
      </c>
      <c r="BO107" t="str">
        <f t="shared" si="30"/>
        <v>(105, 'SINGLE_PHASE'),</v>
      </c>
    </row>
    <row r="108" spans="1:67">
      <c r="A108" s="2" t="s">
        <v>383</v>
      </c>
      <c r="B108" s="3" t="s">
        <v>359</v>
      </c>
      <c r="C108" s="3">
        <v>148</v>
      </c>
      <c r="D108" s="3">
        <v>402</v>
      </c>
      <c r="E108" s="3">
        <v>476.5</v>
      </c>
      <c r="F108" s="3">
        <v>15.5</v>
      </c>
      <c r="G108" s="3" t="s">
        <v>275</v>
      </c>
      <c r="H108" s="3">
        <v>1</v>
      </c>
      <c r="I108" s="3">
        <v>1</v>
      </c>
      <c r="J108" s="3">
        <v>1</v>
      </c>
      <c r="K108" s="3">
        <v>1</v>
      </c>
      <c r="L108" s="3">
        <v>0</v>
      </c>
      <c r="M108" s="3">
        <v>5000</v>
      </c>
      <c r="N108" s="3">
        <v>5500</v>
      </c>
      <c r="O108" s="3">
        <v>1</v>
      </c>
      <c r="P108" s="3">
        <v>2</v>
      </c>
      <c r="Q108" s="3">
        <v>600</v>
      </c>
      <c r="R108" s="3">
        <v>120</v>
      </c>
      <c r="S108" s="3">
        <v>550</v>
      </c>
      <c r="T108" s="3">
        <v>80</v>
      </c>
      <c r="U108" s="3">
        <v>550</v>
      </c>
      <c r="V108" s="3">
        <v>210</v>
      </c>
      <c r="W108" s="3">
        <v>360</v>
      </c>
      <c r="X108" s="3">
        <v>15</v>
      </c>
      <c r="Y108" s="3">
        <v>12.5</v>
      </c>
      <c r="Z108" s="3">
        <v>1</v>
      </c>
      <c r="AA108" s="3">
        <v>0</v>
      </c>
      <c r="AB108" s="3">
        <v>0</v>
      </c>
      <c r="AC108" s="3">
        <v>220</v>
      </c>
      <c r="AE108" s="4">
        <v>23.9</v>
      </c>
      <c r="AF108">
        <v>21.7</v>
      </c>
      <c r="AG108">
        <v>50</v>
      </c>
      <c r="AH108">
        <v>60</v>
      </c>
      <c r="AI108">
        <v>-20</v>
      </c>
      <c r="AJ108" t="s">
        <v>276</v>
      </c>
      <c r="AK108" t="s">
        <v>277</v>
      </c>
      <c r="AL108">
        <v>0</v>
      </c>
      <c r="AN108">
        <v>106</v>
      </c>
      <c r="AO108">
        <v>0</v>
      </c>
      <c r="AP108">
        <f t="shared" si="20"/>
        <v>2</v>
      </c>
      <c r="AR108">
        <v>1</v>
      </c>
      <c r="AS108">
        <v>0</v>
      </c>
      <c r="AT108">
        <v>0</v>
      </c>
      <c r="AU108">
        <v>0</v>
      </c>
      <c r="AW108">
        <v>0</v>
      </c>
      <c r="AY108" t="str">
        <f t="shared" si="21"/>
        <v>3</v>
      </c>
      <c r="BA108" s="13" t="str">
        <f t="shared" si="37"/>
        <v>('F5000', 3, 402, 476.5, 148, 15.5, 60, -20, 'CONVECÇÃO NATURAL', 'IP65', 'TRANSFORMERLESS', 5000, 5500, 220, 21.7, 23.9, 50, 2, 2, 0),</v>
      </c>
      <c r="BB108" t="str">
        <f t="shared" si="23"/>
        <v xml:space="preserve">(106, 0, 1, 600, 120, 550, 80, 550, 210, 360, 15, 12.5), </v>
      </c>
      <c r="BC108" t="str">
        <f t="shared" si="24"/>
        <v>(106, 'ON-GRID'),</v>
      </c>
      <c r="BD108" t="str">
        <f t="shared" si="25"/>
        <v/>
      </c>
      <c r="BE108" t="str">
        <f t="shared" si="26"/>
        <v/>
      </c>
      <c r="BF108" t="str">
        <f t="shared" si="27"/>
        <v/>
      </c>
      <c r="BG108" t="str">
        <f t="shared" si="31"/>
        <v>(106, 'WIFI'),</v>
      </c>
      <c r="BH108" t="str">
        <f t="shared" si="32"/>
        <v>(106, 'RS485'),</v>
      </c>
      <c r="BI108" t="str">
        <f t="shared" si="33"/>
        <v>(106, 'DISPLAY'),</v>
      </c>
      <c r="BJ108" t="str">
        <f t="shared" si="34"/>
        <v>(106, 'LED'),</v>
      </c>
      <c r="BK108" t="str">
        <f t="shared" si="35"/>
        <v/>
      </c>
      <c r="BL108" t="str">
        <f t="shared" si="36"/>
        <v/>
      </c>
      <c r="BM108" t="str">
        <f t="shared" si="28"/>
        <v/>
      </c>
      <c r="BN108" t="str">
        <f t="shared" si="29"/>
        <v/>
      </c>
      <c r="BO108" t="str">
        <f t="shared" si="30"/>
        <v>(106, 'SINGLE_PHASE'),</v>
      </c>
    </row>
    <row r="109" spans="1:67">
      <c r="A109" s="2" t="s">
        <v>384</v>
      </c>
      <c r="B109" s="3" t="s">
        <v>359</v>
      </c>
      <c r="C109" s="3">
        <v>148</v>
      </c>
      <c r="D109" s="3">
        <v>402</v>
      </c>
      <c r="E109" s="3">
        <v>476.5</v>
      </c>
      <c r="F109" s="3">
        <v>15.5</v>
      </c>
      <c r="G109" s="3" t="s">
        <v>275</v>
      </c>
      <c r="H109" s="3">
        <v>1</v>
      </c>
      <c r="I109" s="3">
        <v>1</v>
      </c>
      <c r="J109" s="3">
        <v>1</v>
      </c>
      <c r="K109" s="3">
        <v>1</v>
      </c>
      <c r="L109" s="3">
        <v>0</v>
      </c>
      <c r="M109" s="3">
        <v>5300</v>
      </c>
      <c r="N109" s="3">
        <v>5830</v>
      </c>
      <c r="O109" s="3">
        <v>1</v>
      </c>
      <c r="P109" s="3">
        <v>2</v>
      </c>
      <c r="Q109" s="3">
        <v>600</v>
      </c>
      <c r="R109" s="3">
        <v>120</v>
      </c>
      <c r="S109" s="3">
        <v>550</v>
      </c>
      <c r="T109" s="3">
        <v>80</v>
      </c>
      <c r="U109" s="3">
        <v>550</v>
      </c>
      <c r="V109" s="3">
        <v>250</v>
      </c>
      <c r="W109" s="3">
        <v>360</v>
      </c>
      <c r="X109" s="3">
        <v>15</v>
      </c>
      <c r="Y109" s="3">
        <v>12.5</v>
      </c>
      <c r="Z109" s="3">
        <v>1</v>
      </c>
      <c r="AA109" s="3">
        <v>0</v>
      </c>
      <c r="AB109" s="3">
        <v>0</v>
      </c>
      <c r="AC109" s="3">
        <v>220</v>
      </c>
      <c r="AE109" s="4">
        <v>25.3</v>
      </c>
      <c r="AF109">
        <v>23</v>
      </c>
      <c r="AG109">
        <v>50</v>
      </c>
      <c r="AH109">
        <v>60</v>
      </c>
      <c r="AI109">
        <v>-20</v>
      </c>
      <c r="AJ109" t="s">
        <v>276</v>
      </c>
      <c r="AK109" t="s">
        <v>277</v>
      </c>
      <c r="AL109">
        <v>0</v>
      </c>
      <c r="AN109">
        <v>107</v>
      </c>
      <c r="AO109">
        <v>0</v>
      </c>
      <c r="AP109">
        <f t="shared" si="20"/>
        <v>2</v>
      </c>
      <c r="AR109">
        <v>1</v>
      </c>
      <c r="AS109">
        <v>0</v>
      </c>
      <c r="AT109">
        <v>0</v>
      </c>
      <c r="AU109">
        <v>0</v>
      </c>
      <c r="AW109">
        <v>0</v>
      </c>
      <c r="AY109" t="str">
        <f t="shared" si="21"/>
        <v>3</v>
      </c>
      <c r="BA109" s="13" t="str">
        <f t="shared" si="37"/>
        <v>('F5300', 3, 402, 476.5, 148, 15.5, 60, -20, 'CONVECÇÃO NATURAL', 'IP65', 'TRANSFORMERLESS', 5300, 5830, 220, 23, 25.3, 50, 2, 2, 0),</v>
      </c>
      <c r="BB109" t="str">
        <f t="shared" si="23"/>
        <v xml:space="preserve">(107, 0, 1, 600, 120, 550, 80, 550, 250, 360, 15, 12.5), </v>
      </c>
      <c r="BC109" t="str">
        <f t="shared" si="24"/>
        <v>(107, 'ON-GRID'),</v>
      </c>
      <c r="BD109" t="str">
        <f t="shared" si="25"/>
        <v/>
      </c>
      <c r="BE109" t="str">
        <f t="shared" si="26"/>
        <v/>
      </c>
      <c r="BF109" t="str">
        <f t="shared" si="27"/>
        <v/>
      </c>
      <c r="BG109" t="str">
        <f t="shared" si="31"/>
        <v>(107, 'WIFI'),</v>
      </c>
      <c r="BH109" t="str">
        <f t="shared" si="32"/>
        <v>(107, 'RS485'),</v>
      </c>
      <c r="BI109" t="str">
        <f t="shared" si="33"/>
        <v>(107, 'DISPLAY'),</v>
      </c>
      <c r="BJ109" t="str">
        <f t="shared" si="34"/>
        <v>(107, 'LED'),</v>
      </c>
      <c r="BK109" t="str">
        <f t="shared" si="35"/>
        <v/>
      </c>
      <c r="BL109" t="str">
        <f t="shared" si="36"/>
        <v/>
      </c>
      <c r="BM109" t="str">
        <f t="shared" si="28"/>
        <v/>
      </c>
      <c r="BN109" t="str">
        <f t="shared" si="29"/>
        <v/>
      </c>
      <c r="BO109" t="str">
        <f t="shared" si="30"/>
        <v>(107, 'SINGLE_PHASE'),</v>
      </c>
    </row>
    <row r="110" spans="1:67">
      <c r="A110" s="2" t="s">
        <v>385</v>
      </c>
      <c r="B110" s="3" t="s">
        <v>359</v>
      </c>
      <c r="C110" s="3">
        <v>148</v>
      </c>
      <c r="D110" s="3">
        <v>402</v>
      </c>
      <c r="E110" s="3">
        <v>476.5</v>
      </c>
      <c r="F110" s="3">
        <v>15.5</v>
      </c>
      <c r="G110" s="3" t="s">
        <v>275</v>
      </c>
      <c r="H110" s="3">
        <v>1</v>
      </c>
      <c r="I110" s="3">
        <v>1</v>
      </c>
      <c r="J110" s="3">
        <v>1</v>
      </c>
      <c r="K110" s="3">
        <v>1</v>
      </c>
      <c r="L110" s="3">
        <v>0</v>
      </c>
      <c r="M110" s="3">
        <v>6000</v>
      </c>
      <c r="N110" s="3">
        <v>6000</v>
      </c>
      <c r="O110" s="3">
        <v>1</v>
      </c>
      <c r="P110" s="3">
        <v>2</v>
      </c>
      <c r="Q110" s="3">
        <v>600</v>
      </c>
      <c r="R110" s="3">
        <v>120</v>
      </c>
      <c r="S110" s="3">
        <v>550</v>
      </c>
      <c r="T110" s="3">
        <v>80</v>
      </c>
      <c r="U110" s="3">
        <v>550</v>
      </c>
      <c r="V110" s="3">
        <v>250</v>
      </c>
      <c r="W110" s="3">
        <v>360</v>
      </c>
      <c r="X110" s="3">
        <v>15</v>
      </c>
      <c r="Y110" s="3">
        <v>12.5</v>
      </c>
      <c r="Z110" s="3">
        <v>1</v>
      </c>
      <c r="AA110" s="3">
        <v>0</v>
      </c>
      <c r="AB110" s="3">
        <v>0</v>
      </c>
      <c r="AC110" s="3">
        <v>220</v>
      </c>
      <c r="AE110" s="4">
        <v>26.1</v>
      </c>
      <c r="AF110">
        <v>26.1</v>
      </c>
      <c r="AG110">
        <v>50</v>
      </c>
      <c r="AH110">
        <v>60</v>
      </c>
      <c r="AI110">
        <v>-20</v>
      </c>
      <c r="AJ110" t="s">
        <v>276</v>
      </c>
      <c r="AK110" t="s">
        <v>277</v>
      </c>
      <c r="AL110">
        <v>0</v>
      </c>
      <c r="AN110">
        <v>108</v>
      </c>
      <c r="AO110">
        <v>0</v>
      </c>
      <c r="AP110">
        <f t="shared" si="20"/>
        <v>2</v>
      </c>
      <c r="AR110">
        <v>1</v>
      </c>
      <c r="AS110">
        <v>0</v>
      </c>
      <c r="AT110">
        <v>0</v>
      </c>
      <c r="AU110">
        <v>0</v>
      </c>
      <c r="AW110">
        <v>0</v>
      </c>
      <c r="AY110" t="str">
        <f t="shared" si="21"/>
        <v>3</v>
      </c>
      <c r="BA110" s="13" t="str">
        <f t="shared" si="37"/>
        <v>('F6000', 3, 402, 476.5, 148, 15.5, 60, -20, 'CONVECÇÃO NATURAL', 'IP65', 'TRANSFORMERLESS', 6000, 6000, 220, 26.1, 26.1, 50, 2, 2, 0),</v>
      </c>
      <c r="BB110" t="str">
        <f t="shared" si="23"/>
        <v xml:space="preserve">(108, 0, 1, 600, 120, 550, 80, 550, 250, 360, 15, 12.5), </v>
      </c>
      <c r="BC110" t="str">
        <f t="shared" si="24"/>
        <v>(108, 'ON-GRID'),</v>
      </c>
      <c r="BD110" t="str">
        <f t="shared" si="25"/>
        <v/>
      </c>
      <c r="BE110" t="str">
        <f t="shared" si="26"/>
        <v/>
      </c>
      <c r="BF110" t="str">
        <f t="shared" si="27"/>
        <v/>
      </c>
      <c r="BG110" t="str">
        <f t="shared" si="31"/>
        <v>(108, 'WIFI'),</v>
      </c>
      <c r="BH110" t="str">
        <f t="shared" si="32"/>
        <v>(108, 'RS485'),</v>
      </c>
      <c r="BI110" t="str">
        <f t="shared" si="33"/>
        <v>(108, 'DISPLAY'),</v>
      </c>
      <c r="BJ110" t="str">
        <f t="shared" si="34"/>
        <v>(108, 'LED'),</v>
      </c>
      <c r="BK110" t="str">
        <f t="shared" si="35"/>
        <v/>
      </c>
      <c r="BL110" t="str">
        <f t="shared" si="36"/>
        <v/>
      </c>
      <c r="BM110" t="str">
        <f t="shared" si="28"/>
        <v/>
      </c>
      <c r="BN110" t="str">
        <f t="shared" si="29"/>
        <v/>
      </c>
      <c r="BO110" t="str">
        <f t="shared" si="30"/>
        <v>(108, 'SINGLE_PHASE'),</v>
      </c>
    </row>
    <row r="111" spans="1:67">
      <c r="A111" s="2" t="s">
        <v>386</v>
      </c>
      <c r="B111" s="3" t="s">
        <v>387</v>
      </c>
      <c r="C111" s="3">
        <v>135</v>
      </c>
      <c r="D111" s="3">
        <v>344</v>
      </c>
      <c r="E111" s="3">
        <v>312.5</v>
      </c>
      <c r="F111" s="3">
        <v>7.5</v>
      </c>
      <c r="G111" s="3" t="s">
        <v>275</v>
      </c>
      <c r="H111" s="3">
        <v>1</v>
      </c>
      <c r="I111" s="3">
        <v>1</v>
      </c>
      <c r="J111" s="3">
        <v>1</v>
      </c>
      <c r="K111" s="3">
        <v>1</v>
      </c>
      <c r="L111" s="3">
        <v>0</v>
      </c>
      <c r="M111" s="3">
        <v>1500</v>
      </c>
      <c r="N111" s="3">
        <v>1500</v>
      </c>
      <c r="O111" s="3">
        <v>1</v>
      </c>
      <c r="P111" s="3">
        <v>1</v>
      </c>
      <c r="Q111" s="3">
        <v>450</v>
      </c>
      <c r="R111" s="3">
        <v>80</v>
      </c>
      <c r="S111" s="3">
        <v>400</v>
      </c>
      <c r="T111" s="3">
        <v>80</v>
      </c>
      <c r="U111" s="3">
        <v>-1</v>
      </c>
      <c r="V111" s="3">
        <v>-1</v>
      </c>
      <c r="W111" s="3">
        <v>-1</v>
      </c>
      <c r="X111" s="3">
        <v>10</v>
      </c>
      <c r="Y111" s="3">
        <v>10</v>
      </c>
      <c r="Z111" s="3">
        <v>1</v>
      </c>
      <c r="AA111" s="3">
        <v>0</v>
      </c>
      <c r="AB111" s="3">
        <v>0</v>
      </c>
      <c r="AC111" s="3">
        <v>220</v>
      </c>
      <c r="AE111" s="4">
        <v>7.5</v>
      </c>
      <c r="AF111" s="4">
        <v>7.5</v>
      </c>
      <c r="AG111">
        <v>50</v>
      </c>
      <c r="AH111">
        <v>60</v>
      </c>
      <c r="AI111">
        <v>-25</v>
      </c>
      <c r="AJ111" t="s">
        <v>276</v>
      </c>
      <c r="AK111" t="s">
        <v>277</v>
      </c>
      <c r="AL111">
        <v>0</v>
      </c>
      <c r="AN111">
        <v>109</v>
      </c>
      <c r="AO111">
        <v>0</v>
      </c>
      <c r="AP111">
        <f t="shared" si="20"/>
        <v>1</v>
      </c>
      <c r="AR111">
        <v>1</v>
      </c>
      <c r="AS111">
        <v>0</v>
      </c>
      <c r="AT111">
        <v>0</v>
      </c>
      <c r="AU111">
        <v>0</v>
      </c>
      <c r="AW111">
        <v>0</v>
      </c>
      <c r="AY111" t="str">
        <f t="shared" si="21"/>
        <v>5</v>
      </c>
      <c r="BA111" s="13" t="str">
        <f t="shared" si="37"/>
        <v>('PHB1500-NS', 5, 344, 312.5, 135, 7.5, 60, -25, 'CONVECÇÃO NATURAL', 'IP65', 'TRANSFORMERLESS', 1500, 1500, 220, 7.5, 7.5, 50, 1, 1, 0),</v>
      </c>
      <c r="BB111" t="str">
        <f t="shared" si="23"/>
        <v xml:space="preserve">(109, 0, 1, 450, 80, 400, 80, -1, -1, -1, 10, 10), </v>
      </c>
      <c r="BC111" t="str">
        <f t="shared" si="24"/>
        <v>(109, 'ON-GRID'),</v>
      </c>
      <c r="BD111" t="str">
        <f t="shared" si="25"/>
        <v/>
      </c>
      <c r="BE111" t="str">
        <f t="shared" si="26"/>
        <v/>
      </c>
      <c r="BF111" t="str">
        <f t="shared" si="27"/>
        <v/>
      </c>
      <c r="BG111" t="str">
        <f t="shared" si="31"/>
        <v>(109, 'WIFI'),</v>
      </c>
      <c r="BH111" t="str">
        <f t="shared" si="32"/>
        <v>(109, 'RS485'),</v>
      </c>
      <c r="BI111" t="str">
        <f t="shared" si="33"/>
        <v>(109, 'DISPLAY'),</v>
      </c>
      <c r="BJ111" t="str">
        <f t="shared" si="34"/>
        <v>(109, 'LED'),</v>
      </c>
      <c r="BK111" t="str">
        <f t="shared" si="35"/>
        <v/>
      </c>
      <c r="BL111" t="str">
        <f t="shared" si="36"/>
        <v/>
      </c>
      <c r="BM111" t="str">
        <f t="shared" si="28"/>
        <v/>
      </c>
      <c r="BN111" t="str">
        <f t="shared" si="29"/>
        <v/>
      </c>
      <c r="BO111" t="str">
        <f t="shared" si="30"/>
        <v>(109, 'SINGLE_PHASE'),</v>
      </c>
    </row>
    <row r="112" spans="1:67">
      <c r="A112" s="2" t="s">
        <v>388</v>
      </c>
      <c r="B112" s="3" t="s">
        <v>387</v>
      </c>
      <c r="C112" s="3">
        <v>135</v>
      </c>
      <c r="D112" s="3">
        <v>344</v>
      </c>
      <c r="E112" s="3">
        <v>312.5</v>
      </c>
      <c r="F112" s="3">
        <v>8.5</v>
      </c>
      <c r="G112" s="3" t="s">
        <v>275</v>
      </c>
      <c r="H112" s="3">
        <v>1</v>
      </c>
      <c r="I112" s="3">
        <v>1</v>
      </c>
      <c r="J112" s="3">
        <v>1</v>
      </c>
      <c r="K112" s="3">
        <v>1</v>
      </c>
      <c r="L112" s="3">
        <v>0</v>
      </c>
      <c r="M112" s="3">
        <v>3000</v>
      </c>
      <c r="N112" s="3">
        <v>3000</v>
      </c>
      <c r="O112" s="3">
        <v>1</v>
      </c>
      <c r="P112" s="3">
        <v>1</v>
      </c>
      <c r="Q112" s="3">
        <v>500</v>
      </c>
      <c r="R112" s="3">
        <v>80</v>
      </c>
      <c r="S112" s="3">
        <v>450</v>
      </c>
      <c r="T112" s="3">
        <v>80</v>
      </c>
      <c r="U112" s="3">
        <v>-1</v>
      </c>
      <c r="V112" s="3">
        <v>-1</v>
      </c>
      <c r="W112" s="3">
        <v>-1</v>
      </c>
      <c r="X112" s="3">
        <v>15</v>
      </c>
      <c r="Y112" s="3">
        <v>15</v>
      </c>
      <c r="Z112" s="3">
        <v>1</v>
      </c>
      <c r="AA112" s="3">
        <v>0</v>
      </c>
      <c r="AB112" s="3">
        <v>0</v>
      </c>
      <c r="AC112" s="3">
        <v>220</v>
      </c>
      <c r="AE112" s="4">
        <v>13.5</v>
      </c>
      <c r="AF112" s="4">
        <v>13.5</v>
      </c>
      <c r="AG112">
        <v>50</v>
      </c>
      <c r="AH112">
        <v>60</v>
      </c>
      <c r="AI112">
        <v>-25</v>
      </c>
      <c r="AJ112" t="s">
        <v>276</v>
      </c>
      <c r="AK112" t="s">
        <v>277</v>
      </c>
      <c r="AL112">
        <v>0</v>
      </c>
      <c r="AN112">
        <v>110</v>
      </c>
      <c r="AO112">
        <v>0</v>
      </c>
      <c r="AP112">
        <f t="shared" si="20"/>
        <v>1</v>
      </c>
      <c r="AR112">
        <v>1</v>
      </c>
      <c r="AS112">
        <v>0</v>
      </c>
      <c r="AT112">
        <v>0</v>
      </c>
      <c r="AU112">
        <v>0</v>
      </c>
      <c r="AW112">
        <v>0</v>
      </c>
      <c r="AY112" t="str">
        <f t="shared" si="21"/>
        <v>5</v>
      </c>
      <c r="BA112" s="13" t="str">
        <f t="shared" si="37"/>
        <v>('PHB3000-NS', 5, 344, 312.5, 135, 8.5, 60, -25, 'CONVECÇÃO NATURAL', 'IP65', 'TRANSFORMERLESS', 3000, 3000, 220, 13.5, 13.5, 50, 1, 1, 0),</v>
      </c>
      <c r="BB112" t="str">
        <f t="shared" si="23"/>
        <v xml:space="preserve">(110, 0, 1, 500, 80, 450, 80, -1, -1, -1, 15, 15), </v>
      </c>
      <c r="BC112" t="str">
        <f t="shared" si="24"/>
        <v>(110, 'ON-GRID'),</v>
      </c>
      <c r="BD112" t="str">
        <f t="shared" si="25"/>
        <v/>
      </c>
      <c r="BE112" t="str">
        <f t="shared" si="26"/>
        <v/>
      </c>
      <c r="BF112" t="str">
        <f t="shared" si="27"/>
        <v/>
      </c>
      <c r="BG112" t="str">
        <f t="shared" si="31"/>
        <v>(110, 'WIFI'),</v>
      </c>
      <c r="BH112" t="str">
        <f t="shared" si="32"/>
        <v>(110, 'RS485'),</v>
      </c>
      <c r="BI112" t="str">
        <f t="shared" si="33"/>
        <v>(110, 'DISPLAY'),</v>
      </c>
      <c r="BJ112" t="str">
        <f t="shared" si="34"/>
        <v>(110, 'LED'),</v>
      </c>
      <c r="BK112" t="str">
        <f t="shared" si="35"/>
        <v/>
      </c>
      <c r="BL112" t="str">
        <f t="shared" si="36"/>
        <v/>
      </c>
      <c r="BM112" t="str">
        <f t="shared" si="28"/>
        <v/>
      </c>
      <c r="BN112" t="str">
        <f t="shared" si="29"/>
        <v/>
      </c>
      <c r="BO112" t="str">
        <f t="shared" si="30"/>
        <v>(110, 'SINGLE_PHASE'),</v>
      </c>
    </row>
    <row r="113" spans="1:67">
      <c r="A113" s="2" t="s">
        <v>389</v>
      </c>
      <c r="B113" s="3" t="s">
        <v>387</v>
      </c>
      <c r="C113" s="3">
        <v>150</v>
      </c>
      <c r="D113" s="3">
        <v>347</v>
      </c>
      <c r="E113" s="3">
        <v>431</v>
      </c>
      <c r="F113" s="3">
        <v>14</v>
      </c>
      <c r="G113" s="3" t="s">
        <v>275</v>
      </c>
      <c r="H113" s="3">
        <v>1</v>
      </c>
      <c r="I113" s="3">
        <v>1</v>
      </c>
      <c r="J113" s="3">
        <v>1</v>
      </c>
      <c r="K113" s="3">
        <v>1</v>
      </c>
      <c r="L113" s="3">
        <v>0</v>
      </c>
      <c r="M113" s="3">
        <v>5000</v>
      </c>
      <c r="N113" s="3">
        <v>5000</v>
      </c>
      <c r="O113" s="3">
        <v>1</v>
      </c>
      <c r="P113" s="3">
        <v>2</v>
      </c>
      <c r="Q113" s="3">
        <v>580</v>
      </c>
      <c r="R113" s="3">
        <v>120</v>
      </c>
      <c r="S113" s="3">
        <v>550</v>
      </c>
      <c r="T113" s="3">
        <v>125</v>
      </c>
      <c r="U113" s="3">
        <v>-1</v>
      </c>
      <c r="V113" s="3">
        <v>-1</v>
      </c>
      <c r="W113" s="3">
        <v>-1</v>
      </c>
      <c r="X113" s="3">
        <v>11</v>
      </c>
      <c r="Y113" s="3">
        <v>11</v>
      </c>
      <c r="Z113" s="3">
        <v>1</v>
      </c>
      <c r="AA113" s="3">
        <v>0</v>
      </c>
      <c r="AB113" s="3">
        <v>0</v>
      </c>
      <c r="AC113" s="3">
        <v>220</v>
      </c>
      <c r="AE113" s="4">
        <v>22.8</v>
      </c>
      <c r="AF113" s="4">
        <v>22.8</v>
      </c>
      <c r="AG113">
        <v>50</v>
      </c>
      <c r="AH113">
        <v>60</v>
      </c>
      <c r="AI113">
        <v>-25</v>
      </c>
      <c r="AJ113" t="s">
        <v>276</v>
      </c>
      <c r="AK113" t="s">
        <v>277</v>
      </c>
      <c r="AL113">
        <v>0</v>
      </c>
      <c r="AN113">
        <v>111</v>
      </c>
      <c r="AO113">
        <v>0</v>
      </c>
      <c r="AP113">
        <f t="shared" si="20"/>
        <v>2</v>
      </c>
      <c r="AR113">
        <v>1</v>
      </c>
      <c r="AS113">
        <v>0</v>
      </c>
      <c r="AT113">
        <v>0</v>
      </c>
      <c r="AU113">
        <v>0</v>
      </c>
      <c r="AW113">
        <v>0</v>
      </c>
      <c r="AY113" t="str">
        <f t="shared" si="21"/>
        <v>5</v>
      </c>
      <c r="BA113" s="13" t="str">
        <f t="shared" si="37"/>
        <v>('PHB5000D-NS', 5, 347, 431, 150, 14, 60, -25, 'CONVECÇÃO NATURAL', 'IP65', 'TRANSFORMERLESS', 5000, 5000, 220, 22.8, 22.8, 50, 2, 2, 0),</v>
      </c>
      <c r="BB113" t="str">
        <f t="shared" si="23"/>
        <v xml:space="preserve">(111, 0, 1, 580, 120, 550, 125, -1, -1, -1, 11, 11), </v>
      </c>
      <c r="BC113" t="str">
        <f t="shared" si="24"/>
        <v>(111, 'ON-GRID'),</v>
      </c>
      <c r="BD113" t="str">
        <f t="shared" si="25"/>
        <v/>
      </c>
      <c r="BE113" t="str">
        <f t="shared" si="26"/>
        <v/>
      </c>
      <c r="BF113" t="str">
        <f t="shared" si="27"/>
        <v/>
      </c>
      <c r="BG113" t="str">
        <f t="shared" si="31"/>
        <v>(111, 'WIFI'),</v>
      </c>
      <c r="BH113" t="str">
        <f t="shared" si="32"/>
        <v>(111, 'RS485'),</v>
      </c>
      <c r="BI113" t="str">
        <f t="shared" si="33"/>
        <v>(111, 'DISPLAY'),</v>
      </c>
      <c r="BJ113" t="str">
        <f t="shared" si="34"/>
        <v>(111, 'LED'),</v>
      </c>
      <c r="BK113" t="str">
        <f t="shared" si="35"/>
        <v/>
      </c>
      <c r="BL113" t="str">
        <f t="shared" si="36"/>
        <v/>
      </c>
      <c r="BM113" t="str">
        <f t="shared" si="28"/>
        <v/>
      </c>
      <c r="BN113" t="str">
        <f t="shared" si="29"/>
        <v/>
      </c>
      <c r="BO113" t="str">
        <f t="shared" si="30"/>
        <v>(111, 'SINGLE_PHASE'),</v>
      </c>
    </row>
    <row r="114" spans="1:67">
      <c r="A114" s="2" t="s">
        <v>390</v>
      </c>
      <c r="B114" s="3" t="s">
        <v>387</v>
      </c>
      <c r="C114" s="3">
        <v>203</v>
      </c>
      <c r="D114" s="3">
        <v>516</v>
      </c>
      <c r="E114" s="3">
        <v>650</v>
      </c>
      <c r="F114" s="3">
        <v>39</v>
      </c>
      <c r="G114" s="3" t="s">
        <v>316</v>
      </c>
      <c r="H114" s="3">
        <v>1</v>
      </c>
      <c r="I114" s="3">
        <v>1</v>
      </c>
      <c r="J114" s="3">
        <v>1</v>
      </c>
      <c r="K114" s="3">
        <v>1</v>
      </c>
      <c r="L114" s="3">
        <v>0</v>
      </c>
      <c r="M114" s="3">
        <v>14000</v>
      </c>
      <c r="N114" s="3">
        <v>14000</v>
      </c>
      <c r="O114" s="3">
        <v>3</v>
      </c>
      <c r="P114" s="3">
        <v>2</v>
      </c>
      <c r="Q114" s="3">
        <v>800</v>
      </c>
      <c r="R114" s="3">
        <v>250</v>
      </c>
      <c r="S114" s="3">
        <v>650</v>
      </c>
      <c r="T114" s="3">
        <v>260</v>
      </c>
      <c r="U114" s="3">
        <v>-1</v>
      </c>
      <c r="V114" s="3">
        <v>-1</v>
      </c>
      <c r="W114" s="3">
        <v>-1</v>
      </c>
      <c r="X114" s="3">
        <v>27</v>
      </c>
      <c r="Y114" s="3">
        <v>27</v>
      </c>
      <c r="Z114" s="3">
        <v>0</v>
      </c>
      <c r="AA114" s="3">
        <v>0</v>
      </c>
      <c r="AB114" s="3">
        <v>1</v>
      </c>
      <c r="AC114" s="3">
        <v>220</v>
      </c>
      <c r="AE114" s="4">
        <v>37</v>
      </c>
      <c r="AF114" s="4">
        <v>37</v>
      </c>
      <c r="AG114">
        <v>50</v>
      </c>
      <c r="AH114">
        <v>60</v>
      </c>
      <c r="AI114">
        <v>-25</v>
      </c>
      <c r="AJ114" t="s">
        <v>276</v>
      </c>
      <c r="AK114" t="s">
        <v>277</v>
      </c>
      <c r="AL114">
        <v>0</v>
      </c>
      <c r="AN114">
        <v>112</v>
      </c>
      <c r="AO114">
        <v>0</v>
      </c>
      <c r="AP114">
        <f t="shared" si="20"/>
        <v>6</v>
      </c>
      <c r="AR114">
        <v>1</v>
      </c>
      <c r="AS114">
        <v>0</v>
      </c>
      <c r="AT114">
        <v>0</v>
      </c>
      <c r="AU114">
        <v>0</v>
      </c>
      <c r="AW114">
        <v>0</v>
      </c>
      <c r="AY114" t="str">
        <f t="shared" si="21"/>
        <v>5</v>
      </c>
      <c r="BA114" s="13" t="str">
        <f t="shared" si="37"/>
        <v>('PHB14K-DT', 5, 516, 650, 203, 39, 60, -25, 'COOLER', 'IP65', 'TRANSFORMERLESS', 14000, 14000, 220, 37, 37, 50, 2, 6, 0),</v>
      </c>
      <c r="BB114" t="str">
        <f t="shared" si="23"/>
        <v xml:space="preserve">(112, 0, 3, 800, 250, 650, 260, -1, -1, -1, 27, 27), </v>
      </c>
      <c r="BC114" t="str">
        <f t="shared" si="24"/>
        <v>(112, 'ON-GRID'),</v>
      </c>
      <c r="BD114" t="str">
        <f t="shared" si="25"/>
        <v/>
      </c>
      <c r="BE114" t="str">
        <f t="shared" si="26"/>
        <v/>
      </c>
      <c r="BF114" t="str">
        <f t="shared" si="27"/>
        <v/>
      </c>
      <c r="BG114" t="str">
        <f t="shared" si="31"/>
        <v>(112, 'WIFI'),</v>
      </c>
      <c r="BH114" t="str">
        <f t="shared" si="32"/>
        <v>(112, 'RS485'),</v>
      </c>
      <c r="BI114" t="str">
        <f t="shared" si="33"/>
        <v>(112, 'DISPLAY'),</v>
      </c>
      <c r="BJ114" t="str">
        <f t="shared" si="34"/>
        <v>(112, 'LED'),</v>
      </c>
      <c r="BK114" t="str">
        <f t="shared" si="35"/>
        <v/>
      </c>
      <c r="BL114" t="str">
        <f t="shared" si="36"/>
        <v/>
      </c>
      <c r="BM114" t="str">
        <f t="shared" si="28"/>
        <v/>
      </c>
      <c r="BN114" t="str">
        <f t="shared" si="29"/>
        <v>(112, 'THREE_PHASE_FOUR_WIRE'),</v>
      </c>
      <c r="BO114" t="str">
        <f t="shared" si="30"/>
        <v/>
      </c>
    </row>
    <row r="115" spans="1:67">
      <c r="A115" s="2" t="s">
        <v>391</v>
      </c>
      <c r="B115" s="3" t="s">
        <v>387</v>
      </c>
      <c r="C115" s="3">
        <v>203</v>
      </c>
      <c r="D115" s="3">
        <v>516</v>
      </c>
      <c r="E115" s="3">
        <v>650</v>
      </c>
      <c r="F115" s="3">
        <v>39</v>
      </c>
      <c r="G115" s="3" t="s">
        <v>316</v>
      </c>
      <c r="H115" s="3">
        <v>1</v>
      </c>
      <c r="I115" s="3">
        <v>1</v>
      </c>
      <c r="J115" s="3">
        <v>1</v>
      </c>
      <c r="K115" s="3">
        <v>1</v>
      </c>
      <c r="L115" s="3">
        <v>0</v>
      </c>
      <c r="M115" s="3">
        <v>20000</v>
      </c>
      <c r="N115" s="3">
        <v>20000</v>
      </c>
      <c r="O115" s="3">
        <v>2</v>
      </c>
      <c r="P115" s="3">
        <v>2</v>
      </c>
      <c r="Q115" s="3">
        <v>1000</v>
      </c>
      <c r="R115" s="3">
        <v>250</v>
      </c>
      <c r="S115" s="3">
        <v>850</v>
      </c>
      <c r="T115" s="3">
        <v>260</v>
      </c>
      <c r="U115" s="3">
        <v>-1</v>
      </c>
      <c r="V115" s="3">
        <v>-1</v>
      </c>
      <c r="W115" s="3">
        <v>-1</v>
      </c>
      <c r="X115" s="3">
        <v>22</v>
      </c>
      <c r="Y115" s="3">
        <v>22</v>
      </c>
      <c r="Z115" s="3">
        <v>0</v>
      </c>
      <c r="AA115" s="3">
        <v>0</v>
      </c>
      <c r="AB115" s="3">
        <v>1</v>
      </c>
      <c r="AC115" s="3">
        <v>380</v>
      </c>
      <c r="AE115" s="4">
        <v>30</v>
      </c>
      <c r="AF115" s="4">
        <v>30</v>
      </c>
      <c r="AG115">
        <v>50</v>
      </c>
      <c r="AH115">
        <v>60</v>
      </c>
      <c r="AI115">
        <v>-25</v>
      </c>
      <c r="AJ115" t="s">
        <v>276</v>
      </c>
      <c r="AK115" t="s">
        <v>277</v>
      </c>
      <c r="AL115">
        <v>0</v>
      </c>
      <c r="AN115">
        <v>113</v>
      </c>
      <c r="AO115">
        <v>0</v>
      </c>
      <c r="AP115">
        <f t="shared" si="20"/>
        <v>4</v>
      </c>
      <c r="AR115">
        <v>1</v>
      </c>
      <c r="AS115">
        <v>0</v>
      </c>
      <c r="AT115">
        <v>0</v>
      </c>
      <c r="AU115">
        <v>0</v>
      </c>
      <c r="AW115">
        <v>0</v>
      </c>
      <c r="AY115" t="str">
        <f t="shared" si="21"/>
        <v>5</v>
      </c>
      <c r="BA115" s="13" t="str">
        <f t="shared" si="37"/>
        <v>('PHB20K-DT', 5, 516, 650, 203, 39, 60, -25, 'COOLER', 'IP65', 'TRANSFORMERLESS', 20000, 20000, 380, 30, 30, 50, 2, 4, 0),</v>
      </c>
      <c r="BB115" t="str">
        <f t="shared" si="23"/>
        <v xml:space="preserve">(113, 0, 2, 1000, 250, 850, 260, -1, -1, -1, 22, 22), </v>
      </c>
      <c r="BC115" t="str">
        <f t="shared" si="24"/>
        <v>(113, 'ON-GRID'),</v>
      </c>
      <c r="BD115" t="str">
        <f t="shared" si="25"/>
        <v/>
      </c>
      <c r="BE115" t="str">
        <f t="shared" si="26"/>
        <v/>
      </c>
      <c r="BF115" t="str">
        <f t="shared" si="27"/>
        <v/>
      </c>
      <c r="BG115" t="str">
        <f t="shared" si="31"/>
        <v>(113, 'WIFI'),</v>
      </c>
      <c r="BH115" t="str">
        <f t="shared" si="32"/>
        <v>(113, 'RS485'),</v>
      </c>
      <c r="BI115" t="str">
        <f t="shared" si="33"/>
        <v>(113, 'DISPLAY'),</v>
      </c>
      <c r="BJ115" t="str">
        <f t="shared" si="34"/>
        <v>(113, 'LED'),</v>
      </c>
      <c r="BK115" t="str">
        <f t="shared" si="35"/>
        <v/>
      </c>
      <c r="BL115" t="str">
        <f t="shared" si="36"/>
        <v/>
      </c>
      <c r="BM115" t="str">
        <f t="shared" si="28"/>
        <v/>
      </c>
      <c r="BN115" t="str">
        <f t="shared" si="29"/>
        <v>(113, 'THREE_PHASE_FOUR_WIRE'),</v>
      </c>
      <c r="BO115" t="str">
        <f t="shared" si="30"/>
        <v/>
      </c>
    </row>
    <row r="116" spans="1:67">
      <c r="A116" s="2" t="s">
        <v>392</v>
      </c>
      <c r="B116" s="3" t="s">
        <v>387</v>
      </c>
      <c r="C116" s="3">
        <v>203</v>
      </c>
      <c r="D116" s="3">
        <v>516</v>
      </c>
      <c r="E116" s="3">
        <v>650</v>
      </c>
      <c r="F116" s="3">
        <v>39</v>
      </c>
      <c r="G116" s="3" t="s">
        <v>316</v>
      </c>
      <c r="H116" s="3">
        <v>1</v>
      </c>
      <c r="I116" s="3">
        <v>1</v>
      </c>
      <c r="J116" s="3">
        <v>1</v>
      </c>
      <c r="K116" s="3">
        <v>1</v>
      </c>
      <c r="L116" s="3">
        <v>0</v>
      </c>
      <c r="M116" s="3">
        <v>25000</v>
      </c>
      <c r="N116" s="3">
        <v>25000</v>
      </c>
      <c r="O116" s="3">
        <v>3</v>
      </c>
      <c r="P116" s="3">
        <v>2</v>
      </c>
      <c r="Q116" s="3">
        <v>1000</v>
      </c>
      <c r="R116" s="3">
        <v>250</v>
      </c>
      <c r="S116" s="3">
        <v>850</v>
      </c>
      <c r="T116" s="3">
        <v>260</v>
      </c>
      <c r="U116" s="3">
        <v>-1</v>
      </c>
      <c r="V116" s="3">
        <v>-1</v>
      </c>
      <c r="W116" s="3">
        <v>-1</v>
      </c>
      <c r="X116" s="3">
        <v>27</v>
      </c>
      <c r="Y116" s="3">
        <v>27</v>
      </c>
      <c r="Z116" s="3">
        <v>0</v>
      </c>
      <c r="AA116" s="3">
        <v>0</v>
      </c>
      <c r="AB116" s="3">
        <v>1</v>
      </c>
      <c r="AC116" s="3">
        <v>380</v>
      </c>
      <c r="AE116" s="4">
        <v>37</v>
      </c>
      <c r="AF116" s="4">
        <v>37</v>
      </c>
      <c r="AG116">
        <v>50</v>
      </c>
      <c r="AH116">
        <v>60</v>
      </c>
      <c r="AI116">
        <v>-25</v>
      </c>
      <c r="AJ116" t="s">
        <v>276</v>
      </c>
      <c r="AK116" t="s">
        <v>277</v>
      </c>
      <c r="AL116">
        <v>0</v>
      </c>
      <c r="AN116">
        <v>114</v>
      </c>
      <c r="AO116">
        <v>0</v>
      </c>
      <c r="AP116">
        <f t="shared" si="20"/>
        <v>6</v>
      </c>
      <c r="AR116">
        <v>1</v>
      </c>
      <c r="AS116">
        <v>0</v>
      </c>
      <c r="AT116">
        <v>0</v>
      </c>
      <c r="AU116">
        <v>0</v>
      </c>
      <c r="AW116">
        <v>0</v>
      </c>
      <c r="AY116" t="str">
        <f t="shared" si="21"/>
        <v>5</v>
      </c>
      <c r="BA116" s="13" t="str">
        <f t="shared" si="37"/>
        <v>('PHB25K-DT', 5, 516, 650, 203, 39, 60, -25, 'COOLER', 'IP65', 'TRANSFORMERLESS', 25000, 25000, 380, 37, 37, 50, 2, 6, 0),</v>
      </c>
      <c r="BB116" t="str">
        <f t="shared" si="23"/>
        <v xml:space="preserve">(114, 0, 3, 1000, 250, 850, 260, -1, -1, -1, 27, 27), </v>
      </c>
      <c r="BC116" t="str">
        <f t="shared" si="24"/>
        <v>(114, 'ON-GRID'),</v>
      </c>
      <c r="BD116" t="str">
        <f t="shared" si="25"/>
        <v/>
      </c>
      <c r="BE116" t="str">
        <f t="shared" si="26"/>
        <v/>
      </c>
      <c r="BF116" t="str">
        <f t="shared" si="27"/>
        <v/>
      </c>
      <c r="BG116" t="str">
        <f t="shared" si="31"/>
        <v>(114, 'WIFI'),</v>
      </c>
      <c r="BH116" t="str">
        <f t="shared" si="32"/>
        <v>(114, 'RS485'),</v>
      </c>
      <c r="BI116" t="str">
        <f t="shared" si="33"/>
        <v>(114, 'DISPLAY'),</v>
      </c>
      <c r="BJ116" t="str">
        <f t="shared" si="34"/>
        <v>(114, 'LED'),</v>
      </c>
      <c r="BK116" t="str">
        <f t="shared" si="35"/>
        <v/>
      </c>
      <c r="BL116" t="str">
        <f t="shared" si="36"/>
        <v/>
      </c>
      <c r="BM116" t="str">
        <f t="shared" si="28"/>
        <v/>
      </c>
      <c r="BN116" t="str">
        <f t="shared" si="29"/>
        <v>(114, 'THREE_PHASE_FOUR_WIRE'),</v>
      </c>
      <c r="BO116" t="str">
        <f t="shared" si="30"/>
        <v/>
      </c>
    </row>
    <row r="117" spans="1:67">
      <c r="A117" s="2" t="s">
        <v>393</v>
      </c>
      <c r="B117" s="3" t="s">
        <v>387</v>
      </c>
      <c r="C117" s="3">
        <v>264</v>
      </c>
      <c r="D117" s="3">
        <v>586</v>
      </c>
      <c r="E117" s="3">
        <v>788</v>
      </c>
      <c r="F117" s="3">
        <v>64</v>
      </c>
      <c r="G117" s="3" t="s">
        <v>316</v>
      </c>
      <c r="H117" s="3">
        <v>1</v>
      </c>
      <c r="I117" s="3">
        <v>1</v>
      </c>
      <c r="J117" s="3">
        <v>1</v>
      </c>
      <c r="K117" s="3">
        <v>1</v>
      </c>
      <c r="L117" s="3">
        <v>0</v>
      </c>
      <c r="M117" s="3">
        <v>35000</v>
      </c>
      <c r="N117" s="3">
        <v>35000</v>
      </c>
      <c r="O117" s="3">
        <v>3</v>
      </c>
      <c r="P117" s="3">
        <v>4</v>
      </c>
      <c r="Q117" s="3">
        <v>800</v>
      </c>
      <c r="R117" s="3">
        <v>200</v>
      </c>
      <c r="S117" s="3">
        <v>650</v>
      </c>
      <c r="T117" s="3">
        <v>200</v>
      </c>
      <c r="U117" s="3">
        <v>-1</v>
      </c>
      <c r="V117" s="3">
        <v>-1</v>
      </c>
      <c r="W117" s="3">
        <v>-1</v>
      </c>
      <c r="X117" s="3">
        <v>30</v>
      </c>
      <c r="Y117" s="3">
        <v>30</v>
      </c>
      <c r="Z117" s="3">
        <v>0</v>
      </c>
      <c r="AA117" s="3">
        <v>1</v>
      </c>
      <c r="AB117" s="3">
        <v>1</v>
      </c>
      <c r="AC117" s="3">
        <v>220</v>
      </c>
      <c r="AE117" s="4">
        <v>96</v>
      </c>
      <c r="AF117" s="4">
        <v>96</v>
      </c>
      <c r="AG117">
        <v>50</v>
      </c>
      <c r="AH117">
        <v>60</v>
      </c>
      <c r="AI117">
        <v>-25</v>
      </c>
      <c r="AJ117" t="s">
        <v>276</v>
      </c>
      <c r="AK117" t="s">
        <v>277</v>
      </c>
      <c r="AL117">
        <v>0</v>
      </c>
      <c r="AN117">
        <v>115</v>
      </c>
      <c r="AO117">
        <v>0</v>
      </c>
      <c r="AP117">
        <f t="shared" si="20"/>
        <v>12</v>
      </c>
      <c r="AR117">
        <v>1</v>
      </c>
      <c r="AS117">
        <v>0</v>
      </c>
      <c r="AT117">
        <v>0</v>
      </c>
      <c r="AU117">
        <v>0</v>
      </c>
      <c r="AW117">
        <v>0</v>
      </c>
      <c r="AY117" t="str">
        <f t="shared" si="21"/>
        <v>5</v>
      </c>
      <c r="BA117" s="13" t="str">
        <f t="shared" si="37"/>
        <v>('PHB35K-MT', 5, 586, 788, 264, 64, 60, -25, 'COOLER', 'IP65', 'TRANSFORMERLESS', 35000, 35000, 220, 96, 96, 50, 4, 12, 0),</v>
      </c>
      <c r="BB117" t="str">
        <f t="shared" si="23"/>
        <v xml:space="preserve">(115, 0, 3, 800, 200, 650, 200, -1, -1, -1, 30, 30), </v>
      </c>
      <c r="BC117" t="str">
        <f t="shared" si="24"/>
        <v>(115, 'ON-GRID'),</v>
      </c>
      <c r="BD117" t="str">
        <f t="shared" si="25"/>
        <v/>
      </c>
      <c r="BE117" t="str">
        <f t="shared" si="26"/>
        <v/>
      </c>
      <c r="BF117" t="str">
        <f t="shared" si="27"/>
        <v/>
      </c>
      <c r="BG117" t="str">
        <f t="shared" si="31"/>
        <v>(115, 'WIFI'),</v>
      </c>
      <c r="BH117" t="str">
        <f t="shared" si="32"/>
        <v>(115, 'RS485'),</v>
      </c>
      <c r="BI117" t="str">
        <f t="shared" si="33"/>
        <v>(115, 'DISPLAY'),</v>
      </c>
      <c r="BJ117" t="str">
        <f t="shared" si="34"/>
        <v>(115, 'LED'),</v>
      </c>
      <c r="BK117" t="str">
        <f t="shared" si="35"/>
        <v/>
      </c>
      <c r="BL117" t="str">
        <f t="shared" si="36"/>
        <v/>
      </c>
      <c r="BM117" t="str">
        <f t="shared" si="28"/>
        <v>(115, 'THREE_PHASE_THREE_WIRE'),</v>
      </c>
      <c r="BN117" t="str">
        <f t="shared" si="29"/>
        <v>(115, 'THREE_PHASE_FOUR_WIRE'),</v>
      </c>
      <c r="BO117" t="str">
        <f t="shared" si="30"/>
        <v/>
      </c>
    </row>
    <row r="118" spans="1:67">
      <c r="A118" s="2" t="s">
        <v>394</v>
      </c>
      <c r="B118" s="3" t="s">
        <v>387</v>
      </c>
      <c r="C118" s="3">
        <v>267</v>
      </c>
      <c r="D118" s="3">
        <v>586</v>
      </c>
      <c r="E118" s="3">
        <v>788</v>
      </c>
      <c r="F118" s="3">
        <v>70</v>
      </c>
      <c r="G118" s="3" t="s">
        <v>316</v>
      </c>
      <c r="H118" s="3">
        <v>1</v>
      </c>
      <c r="I118" s="3">
        <v>1</v>
      </c>
      <c r="J118" s="3">
        <v>1</v>
      </c>
      <c r="K118" s="3">
        <v>1</v>
      </c>
      <c r="L118" s="3">
        <v>0</v>
      </c>
      <c r="M118" s="3">
        <v>50000</v>
      </c>
      <c r="N118" s="3">
        <v>50000</v>
      </c>
      <c r="O118" s="3">
        <v>4</v>
      </c>
      <c r="P118" s="3">
        <v>4</v>
      </c>
      <c r="Q118" s="3">
        <v>800</v>
      </c>
      <c r="R118" s="3">
        <v>200</v>
      </c>
      <c r="S118" s="3">
        <v>650</v>
      </c>
      <c r="T118" s="3">
        <v>200</v>
      </c>
      <c r="U118" s="3">
        <v>-1</v>
      </c>
      <c r="V118" s="3">
        <v>-1</v>
      </c>
      <c r="W118" s="3">
        <v>-1</v>
      </c>
      <c r="X118" s="3">
        <v>44</v>
      </c>
      <c r="Y118" s="3">
        <v>44</v>
      </c>
      <c r="Z118" s="3">
        <v>0</v>
      </c>
      <c r="AA118" s="3">
        <v>1</v>
      </c>
      <c r="AB118" s="3">
        <v>1</v>
      </c>
      <c r="AC118" s="3">
        <v>220</v>
      </c>
      <c r="AE118" s="4">
        <v>133</v>
      </c>
      <c r="AF118" s="4">
        <v>133</v>
      </c>
      <c r="AG118">
        <v>50</v>
      </c>
      <c r="AH118">
        <v>60</v>
      </c>
      <c r="AI118">
        <v>-25</v>
      </c>
      <c r="AJ118" t="s">
        <v>276</v>
      </c>
      <c r="AK118" t="s">
        <v>277</v>
      </c>
      <c r="AL118">
        <v>0</v>
      </c>
      <c r="AN118">
        <v>116</v>
      </c>
      <c r="AO118">
        <v>0</v>
      </c>
      <c r="AP118">
        <f t="shared" si="20"/>
        <v>16</v>
      </c>
      <c r="AR118">
        <v>1</v>
      </c>
      <c r="AS118">
        <v>0</v>
      </c>
      <c r="AT118">
        <v>0</v>
      </c>
      <c r="AU118">
        <v>0</v>
      </c>
      <c r="AW118">
        <v>0</v>
      </c>
      <c r="AY118" t="str">
        <f t="shared" si="21"/>
        <v>5</v>
      </c>
      <c r="BA118" s="13" t="str">
        <f t="shared" si="37"/>
        <v>('PHB50K-MT', 5, 586, 788, 267, 70, 60, -25, 'COOLER', 'IP65', 'TRANSFORMERLESS', 50000, 50000, 220, 133, 133, 50, 4, 16, 0),</v>
      </c>
      <c r="BB118" t="str">
        <f t="shared" si="23"/>
        <v xml:space="preserve">(116, 0, 4, 800, 200, 650, 200, -1, -1, -1, 44, 44), </v>
      </c>
      <c r="BC118" t="str">
        <f t="shared" si="24"/>
        <v>(116, 'ON-GRID'),</v>
      </c>
      <c r="BD118" t="str">
        <f t="shared" si="25"/>
        <v/>
      </c>
      <c r="BE118" t="str">
        <f t="shared" si="26"/>
        <v/>
      </c>
      <c r="BF118" t="str">
        <f t="shared" si="27"/>
        <v/>
      </c>
      <c r="BG118" t="str">
        <f t="shared" si="31"/>
        <v>(116, 'WIFI'),</v>
      </c>
      <c r="BH118" t="str">
        <f t="shared" si="32"/>
        <v>(116, 'RS485'),</v>
      </c>
      <c r="BI118" t="str">
        <f t="shared" si="33"/>
        <v>(116, 'DISPLAY'),</v>
      </c>
      <c r="BJ118" t="str">
        <f t="shared" si="34"/>
        <v>(116, 'LED'),</v>
      </c>
      <c r="BK118" t="str">
        <f t="shared" si="35"/>
        <v/>
      </c>
      <c r="BL118" t="str">
        <f t="shared" si="36"/>
        <v/>
      </c>
      <c r="BM118" t="str">
        <f t="shared" si="28"/>
        <v>(116, 'THREE_PHASE_THREE_WIRE'),</v>
      </c>
      <c r="BN118" t="str">
        <f t="shared" si="29"/>
        <v>(116, 'THREE_PHASE_FOUR_WIRE'),</v>
      </c>
      <c r="BO118" t="str">
        <f t="shared" si="30"/>
        <v/>
      </c>
    </row>
    <row r="119" spans="1:67">
      <c r="A119" s="2" t="s">
        <v>395</v>
      </c>
      <c r="B119" s="3" t="s">
        <v>387</v>
      </c>
      <c r="C119" s="3">
        <v>264</v>
      </c>
      <c r="D119" s="3">
        <v>586</v>
      </c>
      <c r="E119" s="3">
        <v>788</v>
      </c>
      <c r="F119" s="3">
        <v>64</v>
      </c>
      <c r="G119" s="3" t="s">
        <v>316</v>
      </c>
      <c r="H119" s="3">
        <v>1</v>
      </c>
      <c r="I119" s="3">
        <v>1</v>
      </c>
      <c r="J119" s="3">
        <v>1</v>
      </c>
      <c r="K119" s="3">
        <v>1</v>
      </c>
      <c r="L119" s="3">
        <v>0</v>
      </c>
      <c r="M119" s="3">
        <v>60000</v>
      </c>
      <c r="N119" s="3">
        <v>60000</v>
      </c>
      <c r="O119" s="3">
        <v>3</v>
      </c>
      <c r="P119" s="3">
        <v>4</v>
      </c>
      <c r="Q119" s="3">
        <v>1000</v>
      </c>
      <c r="R119" s="3">
        <v>200</v>
      </c>
      <c r="S119" s="3">
        <v>850</v>
      </c>
      <c r="T119" s="3">
        <v>200</v>
      </c>
      <c r="U119" s="3">
        <v>-1</v>
      </c>
      <c r="V119" s="3">
        <v>-1</v>
      </c>
      <c r="W119" s="3">
        <v>-1</v>
      </c>
      <c r="X119" s="3">
        <v>30</v>
      </c>
      <c r="Y119" s="3">
        <v>30</v>
      </c>
      <c r="Z119" s="3">
        <v>0</v>
      </c>
      <c r="AA119" s="3">
        <v>1</v>
      </c>
      <c r="AB119" s="3">
        <v>1</v>
      </c>
      <c r="AC119" s="3">
        <v>380</v>
      </c>
      <c r="AE119" s="4">
        <v>96</v>
      </c>
      <c r="AF119" s="4">
        <v>96</v>
      </c>
      <c r="AG119">
        <v>50</v>
      </c>
      <c r="AH119">
        <v>60</v>
      </c>
      <c r="AI119">
        <v>-25</v>
      </c>
      <c r="AJ119" t="s">
        <v>276</v>
      </c>
      <c r="AK119" t="s">
        <v>277</v>
      </c>
      <c r="AL119">
        <v>0</v>
      </c>
      <c r="AN119">
        <v>117</v>
      </c>
      <c r="AO119">
        <v>0</v>
      </c>
      <c r="AP119">
        <f t="shared" si="20"/>
        <v>12</v>
      </c>
      <c r="AR119">
        <v>1</v>
      </c>
      <c r="AS119">
        <v>0</v>
      </c>
      <c r="AT119">
        <v>0</v>
      </c>
      <c r="AU119">
        <v>0</v>
      </c>
      <c r="AW119">
        <v>0</v>
      </c>
      <c r="AY119" t="str">
        <f t="shared" si="21"/>
        <v>5</v>
      </c>
      <c r="BA119" s="13" t="str">
        <f t="shared" si="37"/>
        <v>('PHB60K-MT', 5, 586, 788, 264, 64, 60, -25, 'COOLER', 'IP65', 'TRANSFORMERLESS', 60000, 60000, 380, 96, 96, 50, 4, 12, 0),</v>
      </c>
      <c r="BB119" t="str">
        <f t="shared" si="23"/>
        <v xml:space="preserve">(117, 0, 3, 1000, 200, 850, 200, -1, -1, -1, 30, 30), </v>
      </c>
      <c r="BC119" t="str">
        <f t="shared" si="24"/>
        <v>(117, 'ON-GRID'),</v>
      </c>
      <c r="BD119" t="str">
        <f t="shared" si="25"/>
        <v/>
      </c>
      <c r="BE119" t="str">
        <f t="shared" si="26"/>
        <v/>
      </c>
      <c r="BF119" t="str">
        <f t="shared" si="27"/>
        <v/>
      </c>
      <c r="BG119" t="str">
        <f t="shared" si="31"/>
        <v>(117, 'WIFI'),</v>
      </c>
      <c r="BH119" t="str">
        <f t="shared" si="32"/>
        <v>(117, 'RS485'),</v>
      </c>
      <c r="BI119" t="str">
        <f t="shared" si="33"/>
        <v>(117, 'DISPLAY'),</v>
      </c>
      <c r="BJ119" t="str">
        <f t="shared" si="34"/>
        <v>(117, 'LED'),</v>
      </c>
      <c r="BK119" t="str">
        <f t="shared" si="35"/>
        <v/>
      </c>
      <c r="BL119" t="str">
        <f t="shared" si="36"/>
        <v/>
      </c>
      <c r="BM119" t="str">
        <f t="shared" si="28"/>
        <v>(117, 'THREE_PHASE_THREE_WIRE'),</v>
      </c>
      <c r="BN119" t="str">
        <f t="shared" si="29"/>
        <v>(117, 'THREE_PHASE_FOUR_WIRE'),</v>
      </c>
      <c r="BO119" t="str">
        <f t="shared" si="30"/>
        <v/>
      </c>
    </row>
    <row r="120" spans="1:67">
      <c r="A120" s="2" t="s">
        <v>396</v>
      </c>
      <c r="B120" s="3" t="s">
        <v>212</v>
      </c>
      <c r="C120" s="3">
        <v>270</v>
      </c>
      <c r="D120" s="3">
        <v>182</v>
      </c>
      <c r="E120" s="3">
        <v>34.5</v>
      </c>
      <c r="F120" s="3">
        <v>4</v>
      </c>
      <c r="G120" s="3" t="s">
        <v>275</v>
      </c>
      <c r="H120" s="3">
        <v>1</v>
      </c>
      <c r="I120" s="3">
        <v>0</v>
      </c>
      <c r="J120" s="3">
        <v>0</v>
      </c>
      <c r="K120" s="3">
        <v>1</v>
      </c>
      <c r="L120" s="3">
        <v>0</v>
      </c>
      <c r="M120" s="3">
        <v>600</v>
      </c>
      <c r="N120" s="3">
        <v>600</v>
      </c>
      <c r="O120" s="3">
        <v>1</v>
      </c>
      <c r="P120" s="3">
        <v>2</v>
      </c>
      <c r="Q120" s="3">
        <v>60</v>
      </c>
      <c r="R120" s="3">
        <v>24</v>
      </c>
      <c r="S120" s="3">
        <v>45</v>
      </c>
      <c r="T120" s="3">
        <v>31</v>
      </c>
      <c r="U120" s="3">
        <v>-1</v>
      </c>
      <c r="V120" s="3">
        <v>-1</v>
      </c>
      <c r="W120" s="3">
        <v>-1</v>
      </c>
      <c r="X120" s="3">
        <v>24</v>
      </c>
      <c r="Y120" s="3">
        <v>20</v>
      </c>
      <c r="Z120" s="3">
        <v>1</v>
      </c>
      <c r="AA120" s="3">
        <v>0</v>
      </c>
      <c r="AB120" s="3">
        <v>0</v>
      </c>
      <c r="AC120" s="3">
        <v>220</v>
      </c>
      <c r="AE120" s="4">
        <v>-1</v>
      </c>
      <c r="AF120" s="4">
        <v>2.72</v>
      </c>
      <c r="AG120">
        <v>50</v>
      </c>
      <c r="AH120">
        <v>65</v>
      </c>
      <c r="AI120">
        <v>-25</v>
      </c>
      <c r="AJ120" t="s">
        <v>397</v>
      </c>
      <c r="AK120" t="s">
        <v>398</v>
      </c>
      <c r="AL120">
        <v>0</v>
      </c>
      <c r="AN120">
        <v>118</v>
      </c>
      <c r="AO120">
        <v>0</v>
      </c>
      <c r="AP120">
        <f t="shared" ref="AP120:AP139" si="38">O120*P120</f>
        <v>2</v>
      </c>
      <c r="AR120">
        <v>1</v>
      </c>
      <c r="AS120">
        <v>0</v>
      </c>
      <c r="AT120">
        <v>0</v>
      </c>
      <c r="AU120">
        <v>0</v>
      </c>
      <c r="AW120">
        <v>0</v>
      </c>
      <c r="AY120" t="str">
        <f t="shared" ref="AY120:AY139" si="39">IF(B120="WEG","1",IF(B120="HUAWEI","2",IF(B120="FOX ESS","3",IF(B120="GOODWE","4",IF(B120="PHB","5",IF(B120="ASTRONERGY","6",IF(B120="BYD","7",IF(B120="HUASUN","8",IF(B120="JA SOLAR","9",IF(B120="JINKO","10",IF(B120="LONGI","11",IF(B120="RISEN","12",IF(B120="SUNOVA","13",IF(B120="TALESUN","14",IF(B120="TRINA SOLAR","15","NÃO CADASTRADO")))))))))))))))</f>
        <v>1</v>
      </c>
      <c r="BA120" s="13" t="str">
        <f t="shared" ref="BA120:BA136" si="40">_xlfn.CONCAT("('",A120,"', ",AY120,", ",SUBSTITUTE(D120,",","."),", ",SUBSTITUTE(E120,",","."),", ",SUBSTITUTE(C120,",","."),", ",SUBSTITUTE(F120,",","."),", ",AH120,", ",AI120,", '",G120,"', '",AJ120,"', '",AK120,"', ",M120,", ",N120,", ",AC120,", ",SUBSTITUTE(AF120,",","."),", ",SUBSTITUTE(AE120,",","."),", ",AG120,", ",P120,", ",AP120,", ",AL120,"),")</f>
        <v>('SIW100G M006 W00', 1, 182, 34.5, 270, 4, 65, -25, 'CONVECÇÃO NATURAL', 'IP67', 'REINFORCE ISOLATION', 600, 600, 220, 2.72, -1, 50, 2, 2, 0),</v>
      </c>
      <c r="BB120" t="str">
        <f t="shared" ref="BB120:BB136" si="41">_xlfn.CONCAT("(",AN120,", 0, ",O120,", ",Q120,", ",R120,", ",S120,", ",T120,", ",U120,", ",V120,", ",W120,", ",SUBSTITUTE(X120,",","."),", ",SUBSTITUTE(Y120,",","."),"), ")</f>
        <v xml:space="preserve">(118, 0, 1, 60, 24, 45, 31, -1, -1, -1, 24, 20), </v>
      </c>
      <c r="BC120" t="str">
        <f t="shared" ref="BC120:BC136" si="42">IF(AR120=1,_xlfn.CONCAT("(",$AN120,", 'ON-GRID'),"),"")</f>
        <v>(118, 'ON-GRID'),</v>
      </c>
      <c r="BD120" t="str">
        <f t="shared" ref="BD120:BD136" si="43">IF(AS120=1,_xlfn.CONCAT("(",$AN120,", 'OFF-GRID'),"),"")</f>
        <v/>
      </c>
      <c r="BE120" t="str">
        <f t="shared" ref="BE120:BE136" si="44">IF(AT120=1,_xlfn.CONCAT("(",$AN120,", 'GRIDZERO'),"),"")</f>
        <v/>
      </c>
      <c r="BF120" t="str">
        <f t="shared" ref="BF120:BF136" si="45">IF(AU120=1,_xlfn.CONCAT("(",$AN120,", 'HYBRID'),"),"")</f>
        <v/>
      </c>
      <c r="BG120" t="str">
        <f t="shared" ref="BG120:BG136" si="46">IF(H120=1,_xlfn.CONCAT("(",$AN120,", '",BG$2,"'),"),"")</f>
        <v>(118, 'WIFI'),</v>
      </c>
      <c r="BH120" t="str">
        <f t="shared" ref="BH120:BH136" si="47">IF(I120=1,_xlfn.CONCAT("(",$AN120,", '",BH$2,"'),"),"")</f>
        <v/>
      </c>
      <c r="BI120" t="str">
        <f t="shared" ref="BI120:BI136" si="48">IF(J120=1,_xlfn.CONCAT("(",$AN120,", '",BI$2,"'),"),"")</f>
        <v/>
      </c>
      <c r="BJ120" t="str">
        <f t="shared" ref="BJ120:BJ136" si="49">IF(K120=1,_xlfn.CONCAT("(",$AN120,", '",BJ$2,"'),"),"")</f>
        <v>(118, 'LED'),</v>
      </c>
      <c r="BK120" t="str">
        <f t="shared" ref="BK120:BK136" si="50">IF(L120=1,_xlfn.CONCAT("(",$AN120,", '",BK$2,"'),"),"")</f>
        <v/>
      </c>
      <c r="BL120" t="str">
        <f t="shared" ref="BL120:BL136" si="51">IF(M120=1,_xlfn.CONCAT("(",$AN120,", '",BL$2,"'),"),"")</f>
        <v/>
      </c>
      <c r="BM120" t="str">
        <f t="shared" ref="BM120:BM136" si="52">IF(AA120=1,_xlfn.CONCAT("(",$AN120,", '",BM$2,"'),"),"")</f>
        <v/>
      </c>
      <c r="BN120" t="str">
        <f t="shared" ref="BN120:BN136" si="53">IF(AB120=1,_xlfn.CONCAT("(",$AN120,", '",BN$2,"'),"),"")</f>
        <v/>
      </c>
      <c r="BO120" t="str">
        <f t="shared" ref="BO120:BO136" si="54">IF(Z120=1,_xlfn.CONCAT("(",$AN120,", '",BO$2,"'),"),"")</f>
        <v>(118, 'SINGLE_PHASE'),</v>
      </c>
    </row>
    <row r="121" spans="1:67">
      <c r="A121" s="2" t="s">
        <v>399</v>
      </c>
      <c r="B121" s="3" t="s">
        <v>212</v>
      </c>
      <c r="C121" s="3">
        <v>270</v>
      </c>
      <c r="D121" s="3">
        <v>182</v>
      </c>
      <c r="E121" s="3">
        <v>34.5</v>
      </c>
      <c r="F121" s="3">
        <v>4</v>
      </c>
      <c r="G121" s="3" t="s">
        <v>275</v>
      </c>
      <c r="H121" s="3">
        <v>1</v>
      </c>
      <c r="I121" s="3">
        <v>0</v>
      </c>
      <c r="J121" s="3">
        <v>0</v>
      </c>
      <c r="K121" s="3">
        <v>1</v>
      </c>
      <c r="L121" s="3">
        <v>0</v>
      </c>
      <c r="M121" s="3">
        <v>800</v>
      </c>
      <c r="N121" s="3">
        <v>800</v>
      </c>
      <c r="O121" s="3">
        <v>1</v>
      </c>
      <c r="P121" s="3">
        <v>2</v>
      </c>
      <c r="Q121" s="3">
        <v>60</v>
      </c>
      <c r="R121" s="3">
        <v>24</v>
      </c>
      <c r="S121" s="3">
        <v>45</v>
      </c>
      <c r="T121" s="3">
        <v>31</v>
      </c>
      <c r="U121" s="3">
        <v>-1</v>
      </c>
      <c r="V121" s="3">
        <v>-1</v>
      </c>
      <c r="W121" s="3">
        <v>-1</v>
      </c>
      <c r="X121" s="3">
        <v>24</v>
      </c>
      <c r="Y121" s="3">
        <v>20</v>
      </c>
      <c r="Z121" s="3">
        <v>1</v>
      </c>
      <c r="AA121" s="3">
        <v>0</v>
      </c>
      <c r="AB121" s="3">
        <v>0</v>
      </c>
      <c r="AC121" s="3">
        <v>220</v>
      </c>
      <c r="AE121" s="4">
        <v>-1</v>
      </c>
      <c r="AF121" s="4">
        <v>3.64</v>
      </c>
      <c r="AG121">
        <v>50</v>
      </c>
      <c r="AH121">
        <v>65</v>
      </c>
      <c r="AI121">
        <v>-25</v>
      </c>
      <c r="AJ121" t="s">
        <v>397</v>
      </c>
      <c r="AK121" t="s">
        <v>398</v>
      </c>
      <c r="AL121">
        <v>0</v>
      </c>
      <c r="AN121">
        <v>119</v>
      </c>
      <c r="AO121">
        <v>0</v>
      </c>
      <c r="AP121">
        <f t="shared" si="38"/>
        <v>2</v>
      </c>
      <c r="AR121">
        <v>1</v>
      </c>
      <c r="AS121">
        <v>0</v>
      </c>
      <c r="AT121">
        <v>0</v>
      </c>
      <c r="AU121">
        <v>0</v>
      </c>
      <c r="AW121">
        <v>0</v>
      </c>
      <c r="AY121" t="str">
        <f t="shared" si="39"/>
        <v>1</v>
      </c>
      <c r="BA121" s="13" t="str">
        <f t="shared" si="40"/>
        <v>('SIW100G M008 W00', 1, 182, 34.5, 270, 4, 65, -25, 'CONVECÇÃO NATURAL', 'IP67', 'REINFORCE ISOLATION', 800, 800, 220, 3.64, -1, 50, 2, 2, 0),</v>
      </c>
      <c r="BB121" t="str">
        <f t="shared" si="41"/>
        <v xml:space="preserve">(119, 0, 1, 60, 24, 45, 31, -1, -1, -1, 24, 20), </v>
      </c>
      <c r="BC121" t="str">
        <f t="shared" si="42"/>
        <v>(119, 'ON-GRID'),</v>
      </c>
      <c r="BD121" t="str">
        <f t="shared" si="43"/>
        <v/>
      </c>
      <c r="BE121" t="str">
        <f t="shared" si="44"/>
        <v/>
      </c>
      <c r="BF121" t="str">
        <f t="shared" si="45"/>
        <v/>
      </c>
      <c r="BG121" t="str">
        <f t="shared" si="46"/>
        <v>(119, 'WIFI'),</v>
      </c>
      <c r="BH121" t="str">
        <f t="shared" si="47"/>
        <v/>
      </c>
      <c r="BI121" t="str">
        <f t="shared" si="48"/>
        <v/>
      </c>
      <c r="BJ121" t="str">
        <f t="shared" si="49"/>
        <v>(119, 'LED'),</v>
      </c>
      <c r="BK121" t="str">
        <f t="shared" si="50"/>
        <v/>
      </c>
      <c r="BL121" t="str">
        <f t="shared" si="51"/>
        <v/>
      </c>
      <c r="BM121" t="str">
        <f t="shared" si="52"/>
        <v/>
      </c>
      <c r="BN121" t="str">
        <f t="shared" si="53"/>
        <v/>
      </c>
      <c r="BO121" t="str">
        <f t="shared" si="54"/>
        <v>(119, 'SINGLE_PHASE'),</v>
      </c>
    </row>
    <row r="122" spans="1:67">
      <c r="A122" s="2" t="s">
        <v>400</v>
      </c>
      <c r="B122" s="3" t="s">
        <v>212</v>
      </c>
      <c r="C122" s="3">
        <v>270</v>
      </c>
      <c r="D122" s="3">
        <v>182</v>
      </c>
      <c r="E122" s="3">
        <v>34.5</v>
      </c>
      <c r="F122" s="3">
        <v>4</v>
      </c>
      <c r="G122" s="3" t="s">
        <v>275</v>
      </c>
      <c r="H122" s="3">
        <v>1</v>
      </c>
      <c r="I122" s="3">
        <v>0</v>
      </c>
      <c r="J122" s="3">
        <v>0</v>
      </c>
      <c r="K122" s="3">
        <v>1</v>
      </c>
      <c r="L122" s="3">
        <v>0</v>
      </c>
      <c r="M122" s="3">
        <v>1000</v>
      </c>
      <c r="N122" s="3">
        <v>1000</v>
      </c>
      <c r="O122" s="3">
        <v>1</v>
      </c>
      <c r="P122" s="3">
        <v>2</v>
      </c>
      <c r="Q122" s="3">
        <v>60</v>
      </c>
      <c r="R122" s="3">
        <v>24</v>
      </c>
      <c r="S122" s="3">
        <v>45</v>
      </c>
      <c r="T122" s="3">
        <v>31</v>
      </c>
      <c r="U122" s="3">
        <v>-1</v>
      </c>
      <c r="V122" s="3">
        <v>-1</v>
      </c>
      <c r="W122" s="3">
        <v>-1</v>
      </c>
      <c r="X122" s="3">
        <v>24</v>
      </c>
      <c r="Y122" s="3">
        <v>20</v>
      </c>
      <c r="Z122" s="3">
        <v>1</v>
      </c>
      <c r="AA122" s="3">
        <v>0</v>
      </c>
      <c r="AB122" s="3">
        <v>0</v>
      </c>
      <c r="AC122" s="3">
        <v>220</v>
      </c>
      <c r="AE122" s="4">
        <v>-1</v>
      </c>
      <c r="AF122" s="4">
        <v>4.54</v>
      </c>
      <c r="AG122">
        <v>50</v>
      </c>
      <c r="AH122">
        <v>65</v>
      </c>
      <c r="AI122">
        <v>-25</v>
      </c>
      <c r="AJ122" t="s">
        <v>397</v>
      </c>
      <c r="AK122" t="s">
        <v>398</v>
      </c>
      <c r="AL122">
        <v>1</v>
      </c>
      <c r="AN122">
        <v>120</v>
      </c>
      <c r="AO122">
        <v>0</v>
      </c>
      <c r="AP122">
        <f t="shared" si="38"/>
        <v>2</v>
      </c>
      <c r="AR122">
        <v>1</v>
      </c>
      <c r="AS122">
        <v>0</v>
      </c>
      <c r="AT122">
        <v>0</v>
      </c>
      <c r="AU122">
        <v>0</v>
      </c>
      <c r="AW122">
        <v>0</v>
      </c>
      <c r="AY122" t="str">
        <f t="shared" si="39"/>
        <v>1</v>
      </c>
      <c r="BA122" s="13" t="str">
        <f t="shared" si="40"/>
        <v>('SIW100G M010 W00', 1, 182, 34.5, 270, 4, 65, -25, 'CONVECÇÃO NATURAL', 'IP67', 'REINFORCE ISOLATION', 1000, 1000, 220, 4.54, -1, 50, 2, 2, 1),</v>
      </c>
      <c r="BB122" t="str">
        <f t="shared" si="41"/>
        <v xml:space="preserve">(120, 0, 1, 60, 24, 45, 31, -1, -1, -1, 24, 20), </v>
      </c>
      <c r="BC122" t="str">
        <f t="shared" si="42"/>
        <v>(120, 'ON-GRID'),</v>
      </c>
      <c r="BD122" t="str">
        <f t="shared" si="43"/>
        <v/>
      </c>
      <c r="BE122" t="str">
        <f t="shared" si="44"/>
        <v/>
      </c>
      <c r="BF122" t="str">
        <f t="shared" si="45"/>
        <v/>
      </c>
      <c r="BG122" t="str">
        <f t="shared" si="46"/>
        <v>(120, 'WIFI'),</v>
      </c>
      <c r="BH122" t="str">
        <f t="shared" si="47"/>
        <v/>
      </c>
      <c r="BI122" t="str">
        <f t="shared" si="48"/>
        <v/>
      </c>
      <c r="BJ122" t="str">
        <f t="shared" si="49"/>
        <v>(120, 'LED'),</v>
      </c>
      <c r="BK122" t="str">
        <f t="shared" si="50"/>
        <v/>
      </c>
      <c r="BL122" t="str">
        <f t="shared" si="51"/>
        <v/>
      </c>
      <c r="BM122" t="str">
        <f t="shared" si="52"/>
        <v/>
      </c>
      <c r="BN122" t="str">
        <f t="shared" si="53"/>
        <v/>
      </c>
      <c r="BO122" t="str">
        <f t="shared" si="54"/>
        <v>(120, 'SINGLE_PHASE'),</v>
      </c>
    </row>
    <row r="123" spans="1:67">
      <c r="A123" s="2" t="s">
        <v>401</v>
      </c>
      <c r="B123" s="3" t="s">
        <v>212</v>
      </c>
      <c r="C123" s="3">
        <v>270</v>
      </c>
      <c r="D123" s="3">
        <v>182</v>
      </c>
      <c r="E123" s="3">
        <v>34.5</v>
      </c>
      <c r="F123" s="3">
        <v>4</v>
      </c>
      <c r="G123" s="3" t="s">
        <v>275</v>
      </c>
      <c r="H123" s="3">
        <v>1</v>
      </c>
      <c r="I123" s="3">
        <v>0</v>
      </c>
      <c r="J123" s="3">
        <v>0</v>
      </c>
      <c r="K123" s="3">
        <v>1</v>
      </c>
      <c r="L123" s="3">
        <v>0</v>
      </c>
      <c r="M123" s="3">
        <v>1200</v>
      </c>
      <c r="N123" s="3">
        <v>1200</v>
      </c>
      <c r="O123" s="3">
        <v>1</v>
      </c>
      <c r="P123" s="3">
        <v>2</v>
      </c>
      <c r="Q123" s="3">
        <v>60</v>
      </c>
      <c r="R123" s="3">
        <v>24</v>
      </c>
      <c r="S123" s="3">
        <v>45</v>
      </c>
      <c r="T123" s="3">
        <v>31</v>
      </c>
      <c r="U123" s="3">
        <v>-1</v>
      </c>
      <c r="V123" s="3">
        <v>-1</v>
      </c>
      <c r="W123" s="3">
        <v>-1</v>
      </c>
      <c r="X123" s="3">
        <v>24</v>
      </c>
      <c r="Y123" s="3">
        <v>20</v>
      </c>
      <c r="Z123" s="3">
        <v>1</v>
      </c>
      <c r="AA123" s="3">
        <v>0</v>
      </c>
      <c r="AB123" s="3">
        <v>0</v>
      </c>
      <c r="AC123" s="3">
        <v>220</v>
      </c>
      <c r="AE123" s="4">
        <v>-1</v>
      </c>
      <c r="AF123" s="4">
        <v>5.56</v>
      </c>
      <c r="AG123">
        <v>50</v>
      </c>
      <c r="AH123">
        <v>65</v>
      </c>
      <c r="AI123">
        <v>-25</v>
      </c>
      <c r="AJ123" t="s">
        <v>397</v>
      </c>
      <c r="AK123" t="s">
        <v>398</v>
      </c>
      <c r="AL123">
        <v>0</v>
      </c>
      <c r="AN123">
        <v>121</v>
      </c>
      <c r="AO123">
        <v>0</v>
      </c>
      <c r="AP123">
        <f t="shared" si="38"/>
        <v>2</v>
      </c>
      <c r="AR123">
        <v>1</v>
      </c>
      <c r="AS123">
        <v>0</v>
      </c>
      <c r="AT123">
        <v>0</v>
      </c>
      <c r="AU123">
        <v>0</v>
      </c>
      <c r="AW123">
        <v>0</v>
      </c>
      <c r="AY123" t="str">
        <f t="shared" si="39"/>
        <v>1</v>
      </c>
      <c r="BA123" s="13" t="str">
        <f t="shared" si="40"/>
        <v>('SIW100G M012 W00', 1, 182, 34.5, 270, 4, 65, -25, 'CONVECÇÃO NATURAL', 'IP67', 'REINFORCE ISOLATION', 1200, 1200, 220, 5.56, -1, 50, 2, 2, 0),</v>
      </c>
      <c r="BB123" t="str">
        <f t="shared" si="41"/>
        <v xml:space="preserve">(121, 0, 1, 60, 24, 45, 31, -1, -1, -1, 24, 20), </v>
      </c>
      <c r="BC123" t="str">
        <f t="shared" si="42"/>
        <v>(121, 'ON-GRID'),</v>
      </c>
      <c r="BD123" t="str">
        <f t="shared" si="43"/>
        <v/>
      </c>
      <c r="BE123" t="str">
        <f t="shared" si="44"/>
        <v/>
      </c>
      <c r="BF123" t="str">
        <f t="shared" si="45"/>
        <v/>
      </c>
      <c r="BG123" t="str">
        <f t="shared" si="46"/>
        <v>(121, 'WIFI'),</v>
      </c>
      <c r="BH123" t="str">
        <f t="shared" si="47"/>
        <v/>
      </c>
      <c r="BI123" t="str">
        <f t="shared" si="48"/>
        <v/>
      </c>
      <c r="BJ123" t="str">
        <f t="shared" si="49"/>
        <v>(121, 'LED'),</v>
      </c>
      <c r="BK123" t="str">
        <f t="shared" si="50"/>
        <v/>
      </c>
      <c r="BL123" t="str">
        <f t="shared" si="51"/>
        <v/>
      </c>
      <c r="BM123" t="str">
        <f t="shared" si="52"/>
        <v/>
      </c>
      <c r="BN123" t="str">
        <f t="shared" si="53"/>
        <v/>
      </c>
      <c r="BO123" t="str">
        <f t="shared" si="54"/>
        <v>(121, 'SINGLE_PHASE'),</v>
      </c>
    </row>
    <row r="124" spans="1:67">
      <c r="A124" s="2" t="s">
        <v>402</v>
      </c>
      <c r="B124" s="3" t="s">
        <v>212</v>
      </c>
      <c r="C124" s="3">
        <v>113</v>
      </c>
      <c r="D124" s="3">
        <v>295</v>
      </c>
      <c r="E124" s="3">
        <v>230</v>
      </c>
      <c r="F124" s="3">
        <v>5.8</v>
      </c>
      <c r="G124" s="3" t="s">
        <v>275</v>
      </c>
      <c r="H124" s="3">
        <v>1</v>
      </c>
      <c r="I124" s="3">
        <v>1</v>
      </c>
      <c r="J124" s="3">
        <v>1</v>
      </c>
      <c r="K124" s="3">
        <v>1</v>
      </c>
      <c r="L124" s="3">
        <v>0</v>
      </c>
      <c r="M124" s="3">
        <v>3000</v>
      </c>
      <c r="N124" s="3">
        <v>3300</v>
      </c>
      <c r="O124" s="3">
        <v>1</v>
      </c>
      <c r="P124" s="3">
        <v>1</v>
      </c>
      <c r="Q124" s="3">
        <v>600</v>
      </c>
      <c r="R124" s="3">
        <v>50</v>
      </c>
      <c r="S124" s="3">
        <v>550</v>
      </c>
      <c r="T124" s="3">
        <v>50</v>
      </c>
      <c r="U124" s="3">
        <v>-1</v>
      </c>
      <c r="V124" s="3">
        <v>-1</v>
      </c>
      <c r="W124" s="3">
        <v>360</v>
      </c>
      <c r="X124" s="3">
        <v>16.3</v>
      </c>
      <c r="Y124" s="3">
        <v>13</v>
      </c>
      <c r="Z124" s="3">
        <v>1</v>
      </c>
      <c r="AA124" s="3">
        <v>0</v>
      </c>
      <c r="AB124" s="3">
        <v>0</v>
      </c>
      <c r="AC124" s="3">
        <v>220</v>
      </c>
      <c r="AE124" s="4">
        <v>14.3</v>
      </c>
      <c r="AF124">
        <v>13.6</v>
      </c>
      <c r="AG124">
        <v>50</v>
      </c>
      <c r="AH124">
        <v>60</v>
      </c>
      <c r="AI124">
        <v>-25</v>
      </c>
      <c r="AJ124" t="s">
        <v>276</v>
      </c>
      <c r="AK124" t="s">
        <v>277</v>
      </c>
      <c r="AL124">
        <v>0</v>
      </c>
      <c r="AN124">
        <v>122</v>
      </c>
      <c r="AO124">
        <v>0</v>
      </c>
      <c r="AP124">
        <f t="shared" si="38"/>
        <v>1</v>
      </c>
      <c r="AR124">
        <v>1</v>
      </c>
      <c r="AS124">
        <v>0</v>
      </c>
      <c r="AT124">
        <v>0</v>
      </c>
      <c r="AU124">
        <v>0</v>
      </c>
      <c r="AW124">
        <v>0</v>
      </c>
      <c r="AY124" t="str">
        <f t="shared" si="39"/>
        <v>1</v>
      </c>
      <c r="BA124" s="13" t="str">
        <f t="shared" si="40"/>
        <v>('SIW200 M030', 1, 295, 230, 113, 5.8, 60, -25, 'CONVECÇÃO NATURAL', 'IP65', 'TRANSFORMERLESS', 3000, 3300, 220, 13.6, 14.3, 50, 1, 1, 0),</v>
      </c>
      <c r="BB124" t="str">
        <f t="shared" si="41"/>
        <v xml:space="preserve">(122, 0, 1, 600, 50, 550, 50, -1, -1, 360, 16.3, 13), </v>
      </c>
      <c r="BC124" t="str">
        <f t="shared" si="42"/>
        <v>(122, 'ON-GRID'),</v>
      </c>
      <c r="BD124" t="str">
        <f t="shared" si="43"/>
        <v/>
      </c>
      <c r="BE124" t="str">
        <f t="shared" si="44"/>
        <v/>
      </c>
      <c r="BF124" t="str">
        <f t="shared" si="45"/>
        <v/>
      </c>
      <c r="BG124" t="str">
        <f t="shared" si="46"/>
        <v>(122, 'WIFI'),</v>
      </c>
      <c r="BH124" t="str">
        <f t="shared" si="47"/>
        <v>(122, 'RS485'),</v>
      </c>
      <c r="BI124" t="str">
        <f t="shared" si="48"/>
        <v>(122, 'DISPLAY'),</v>
      </c>
      <c r="BJ124" t="str">
        <f t="shared" si="49"/>
        <v>(122, 'LED'),</v>
      </c>
      <c r="BK124" t="str">
        <f t="shared" si="50"/>
        <v/>
      </c>
      <c r="BL124" t="str">
        <f t="shared" si="51"/>
        <v/>
      </c>
      <c r="BM124" t="str">
        <f t="shared" si="52"/>
        <v/>
      </c>
      <c r="BN124" t="str">
        <f t="shared" si="53"/>
        <v/>
      </c>
      <c r="BO124" t="str">
        <f t="shared" si="54"/>
        <v>(122, 'SINGLE_PHASE'),</v>
      </c>
    </row>
    <row r="125" spans="1:67">
      <c r="A125" s="2" t="s">
        <v>403</v>
      </c>
      <c r="B125" s="3" t="s">
        <v>212</v>
      </c>
      <c r="C125" s="3">
        <v>147</v>
      </c>
      <c r="D125" s="3">
        <v>354</v>
      </c>
      <c r="E125" s="3">
        <v>433</v>
      </c>
      <c r="F125" s="3">
        <v>13</v>
      </c>
      <c r="G125" s="3" t="s">
        <v>275</v>
      </c>
      <c r="H125" s="3">
        <v>1</v>
      </c>
      <c r="I125" s="3">
        <v>1</v>
      </c>
      <c r="J125" s="3">
        <v>1</v>
      </c>
      <c r="K125" s="3">
        <v>1</v>
      </c>
      <c r="L125" s="3">
        <v>0</v>
      </c>
      <c r="M125" s="3">
        <v>5000</v>
      </c>
      <c r="N125" s="3">
        <v>5000</v>
      </c>
      <c r="O125" s="3">
        <v>1</v>
      </c>
      <c r="P125" s="3">
        <v>2</v>
      </c>
      <c r="Q125" s="3">
        <v>600</v>
      </c>
      <c r="R125" s="3">
        <v>80</v>
      </c>
      <c r="S125" s="3">
        <v>550</v>
      </c>
      <c r="T125" s="3">
        <v>80</v>
      </c>
      <c r="U125" s="3">
        <v>550</v>
      </c>
      <c r="V125" s="3">
        <v>200</v>
      </c>
      <c r="W125" s="3">
        <v>360</v>
      </c>
      <c r="X125" s="3">
        <v>16.3</v>
      </c>
      <c r="Y125" s="3">
        <v>13</v>
      </c>
      <c r="Z125" s="3">
        <v>1</v>
      </c>
      <c r="AA125" s="3">
        <v>0</v>
      </c>
      <c r="AB125" s="3">
        <v>0</v>
      </c>
      <c r="AC125" s="3">
        <v>220</v>
      </c>
      <c r="AE125" s="4">
        <v>22.8</v>
      </c>
      <c r="AF125">
        <v>22.8</v>
      </c>
      <c r="AG125">
        <v>50</v>
      </c>
      <c r="AH125">
        <v>60</v>
      </c>
      <c r="AI125">
        <v>-25</v>
      </c>
      <c r="AJ125" t="s">
        <v>276</v>
      </c>
      <c r="AK125" t="s">
        <v>277</v>
      </c>
      <c r="AL125">
        <v>0</v>
      </c>
      <c r="AN125">
        <v>123</v>
      </c>
      <c r="AO125">
        <v>0</v>
      </c>
      <c r="AP125">
        <f t="shared" si="38"/>
        <v>2</v>
      </c>
      <c r="AR125">
        <v>1</v>
      </c>
      <c r="AS125">
        <v>0</v>
      </c>
      <c r="AT125">
        <v>0</v>
      </c>
      <c r="AU125">
        <v>0</v>
      </c>
      <c r="AW125">
        <v>0</v>
      </c>
      <c r="AY125" t="str">
        <f t="shared" si="39"/>
        <v>1</v>
      </c>
      <c r="BA125" s="13" t="str">
        <f t="shared" si="40"/>
        <v>('SIW200 M050', 1, 354, 433, 147, 13, 60, -25, 'CONVECÇÃO NATURAL', 'IP65', 'TRANSFORMERLESS', 5000, 5000, 220, 22.8, 22.8, 50, 2, 2, 0),</v>
      </c>
      <c r="BB125" t="str">
        <f t="shared" si="41"/>
        <v xml:space="preserve">(123, 0, 1, 600, 80, 550, 80, 550, 200, 360, 16.3, 13), </v>
      </c>
      <c r="BC125" t="str">
        <f t="shared" si="42"/>
        <v>(123, 'ON-GRID'),</v>
      </c>
      <c r="BD125" t="str">
        <f t="shared" si="43"/>
        <v/>
      </c>
      <c r="BE125" t="str">
        <f t="shared" si="44"/>
        <v/>
      </c>
      <c r="BF125" t="str">
        <f t="shared" si="45"/>
        <v/>
      </c>
      <c r="BG125" t="str">
        <f t="shared" si="46"/>
        <v>(123, 'WIFI'),</v>
      </c>
      <c r="BH125" t="str">
        <f t="shared" si="47"/>
        <v>(123, 'RS485'),</v>
      </c>
      <c r="BI125" t="str">
        <f t="shared" si="48"/>
        <v>(123, 'DISPLAY'),</v>
      </c>
      <c r="BJ125" t="str">
        <f t="shared" si="49"/>
        <v>(123, 'LED'),</v>
      </c>
      <c r="BK125" t="str">
        <f t="shared" si="50"/>
        <v/>
      </c>
      <c r="BL125" t="str">
        <f t="shared" si="51"/>
        <v/>
      </c>
      <c r="BM125" t="str">
        <f t="shared" si="52"/>
        <v/>
      </c>
      <c r="BN125" t="str">
        <f t="shared" si="53"/>
        <v/>
      </c>
      <c r="BO125" t="str">
        <f t="shared" si="54"/>
        <v>(123, 'SINGLE_PHASE'),</v>
      </c>
    </row>
    <row r="126" spans="1:67">
      <c r="A126" s="2" t="s">
        <v>404</v>
      </c>
      <c r="B126" s="3" t="s">
        <v>212</v>
      </c>
      <c r="C126" s="3">
        <v>175</v>
      </c>
      <c r="D126" s="3">
        <v>415</v>
      </c>
      <c r="E126" s="3">
        <v>511</v>
      </c>
      <c r="F126" s="3">
        <v>22.5</v>
      </c>
      <c r="G126" s="3" t="s">
        <v>275</v>
      </c>
      <c r="H126" s="3">
        <v>1</v>
      </c>
      <c r="I126" s="3">
        <v>1</v>
      </c>
      <c r="J126" s="3">
        <v>1</v>
      </c>
      <c r="K126" s="3">
        <v>1</v>
      </c>
      <c r="L126" s="3">
        <v>0</v>
      </c>
      <c r="M126" s="3">
        <v>8500</v>
      </c>
      <c r="N126" s="3">
        <v>9350</v>
      </c>
      <c r="O126" s="3">
        <v>1</v>
      </c>
      <c r="P126" s="3">
        <v>3</v>
      </c>
      <c r="Q126" s="3">
        <v>600</v>
      </c>
      <c r="R126" s="3">
        <v>120</v>
      </c>
      <c r="S126" s="3">
        <v>550</v>
      </c>
      <c r="T126" s="3">
        <v>80</v>
      </c>
      <c r="U126" s="3">
        <v>-1</v>
      </c>
      <c r="V126" s="3">
        <v>-1</v>
      </c>
      <c r="W126" s="3">
        <v>360</v>
      </c>
      <c r="X126" s="3">
        <v>15</v>
      </c>
      <c r="Y126" s="3">
        <v>12.5</v>
      </c>
      <c r="Z126" s="3">
        <v>1</v>
      </c>
      <c r="AA126" s="3">
        <v>0</v>
      </c>
      <c r="AB126" s="3">
        <v>0</v>
      </c>
      <c r="AC126" s="3">
        <v>220</v>
      </c>
      <c r="AE126" s="4">
        <v>42.5</v>
      </c>
      <c r="AF126">
        <v>42.5</v>
      </c>
      <c r="AG126">
        <v>50</v>
      </c>
      <c r="AH126">
        <v>60</v>
      </c>
      <c r="AI126">
        <v>-25</v>
      </c>
      <c r="AJ126" t="s">
        <v>276</v>
      </c>
      <c r="AK126" t="s">
        <v>277</v>
      </c>
      <c r="AL126">
        <v>0</v>
      </c>
      <c r="AN126">
        <v>124</v>
      </c>
      <c r="AO126">
        <v>0</v>
      </c>
      <c r="AP126">
        <f t="shared" si="38"/>
        <v>3</v>
      </c>
      <c r="AR126">
        <v>1</v>
      </c>
      <c r="AS126">
        <v>0</v>
      </c>
      <c r="AT126">
        <v>0</v>
      </c>
      <c r="AU126">
        <v>0</v>
      </c>
      <c r="AW126">
        <v>0</v>
      </c>
      <c r="AY126" t="str">
        <f t="shared" si="39"/>
        <v>1</v>
      </c>
      <c r="BA126" s="13" t="str">
        <f t="shared" si="40"/>
        <v>('SIW200 M085', 1, 415, 511, 175, 22.5, 60, -25, 'CONVECÇÃO NATURAL', 'IP65', 'TRANSFORMERLESS', 8500, 9350, 220, 42.5, 42.5, 50, 3, 3, 0),</v>
      </c>
      <c r="BB126" t="str">
        <f t="shared" si="41"/>
        <v xml:space="preserve">(124, 0, 1, 600, 120, 550, 80, -1, -1, 360, 15, 12.5), </v>
      </c>
      <c r="BC126" t="str">
        <f t="shared" si="42"/>
        <v>(124, 'ON-GRID'),</v>
      </c>
      <c r="BD126" t="str">
        <f t="shared" si="43"/>
        <v/>
      </c>
      <c r="BE126" t="str">
        <f t="shared" si="44"/>
        <v/>
      </c>
      <c r="BF126" t="str">
        <f t="shared" si="45"/>
        <v/>
      </c>
      <c r="BG126" t="str">
        <f t="shared" si="46"/>
        <v>(124, 'WIFI'),</v>
      </c>
      <c r="BH126" t="str">
        <f t="shared" si="47"/>
        <v>(124, 'RS485'),</v>
      </c>
      <c r="BI126" t="str">
        <f t="shared" si="48"/>
        <v>(124, 'DISPLAY'),</v>
      </c>
      <c r="BJ126" t="str">
        <f t="shared" si="49"/>
        <v>(124, 'LED'),</v>
      </c>
      <c r="BK126" t="str">
        <f t="shared" si="50"/>
        <v/>
      </c>
      <c r="BL126" t="str">
        <f t="shared" si="51"/>
        <v/>
      </c>
      <c r="BM126" t="str">
        <f t="shared" si="52"/>
        <v/>
      </c>
      <c r="BN126" t="str">
        <f t="shared" si="53"/>
        <v/>
      </c>
      <c r="BO126" t="str">
        <f t="shared" si="54"/>
        <v>(124, 'SINGLE_PHASE'),</v>
      </c>
    </row>
    <row r="127" spans="1:67">
      <c r="A127" s="2" t="s">
        <v>405</v>
      </c>
      <c r="B127" s="3" t="s">
        <v>212</v>
      </c>
      <c r="C127" s="3">
        <v>175</v>
      </c>
      <c r="D127" s="3">
        <v>415</v>
      </c>
      <c r="E127" s="3">
        <v>511</v>
      </c>
      <c r="F127" s="3">
        <v>22.5</v>
      </c>
      <c r="G127" s="3" t="s">
        <v>275</v>
      </c>
      <c r="H127" s="3">
        <v>1</v>
      </c>
      <c r="I127" s="3">
        <v>1</v>
      </c>
      <c r="J127" s="3">
        <v>1</v>
      </c>
      <c r="K127" s="3">
        <v>1</v>
      </c>
      <c r="L127" s="3">
        <v>0</v>
      </c>
      <c r="M127" s="3">
        <v>10000</v>
      </c>
      <c r="N127" s="3">
        <v>10000</v>
      </c>
      <c r="O127" s="3">
        <v>1</v>
      </c>
      <c r="P127" s="3">
        <v>3</v>
      </c>
      <c r="Q127" s="3">
        <v>600</v>
      </c>
      <c r="R127" s="3">
        <v>120</v>
      </c>
      <c r="S127" s="3">
        <v>550</v>
      </c>
      <c r="T127" s="3">
        <v>80</v>
      </c>
      <c r="U127" s="3">
        <v>-1</v>
      </c>
      <c r="V127" s="3">
        <v>-1</v>
      </c>
      <c r="W127" s="3">
        <v>360</v>
      </c>
      <c r="X127" s="3">
        <v>15</v>
      </c>
      <c r="Y127" s="3">
        <v>12.5</v>
      </c>
      <c r="Z127" s="3">
        <v>1</v>
      </c>
      <c r="AA127" s="3">
        <v>0</v>
      </c>
      <c r="AB127" s="3">
        <v>0</v>
      </c>
      <c r="AC127" s="3">
        <v>220</v>
      </c>
      <c r="AE127" s="4">
        <v>45.5</v>
      </c>
      <c r="AF127">
        <v>45.5</v>
      </c>
      <c r="AG127">
        <v>50</v>
      </c>
      <c r="AH127">
        <v>60</v>
      </c>
      <c r="AI127">
        <v>-25</v>
      </c>
      <c r="AJ127" t="s">
        <v>276</v>
      </c>
      <c r="AK127" t="s">
        <v>277</v>
      </c>
      <c r="AL127">
        <v>0</v>
      </c>
      <c r="AN127">
        <v>125</v>
      </c>
      <c r="AO127">
        <v>0</v>
      </c>
      <c r="AP127">
        <f t="shared" si="38"/>
        <v>3</v>
      </c>
      <c r="AR127">
        <v>1</v>
      </c>
      <c r="AS127">
        <v>0</v>
      </c>
      <c r="AT127">
        <v>0</v>
      </c>
      <c r="AU127">
        <v>0</v>
      </c>
      <c r="AW127">
        <v>0</v>
      </c>
      <c r="AY127" t="str">
        <f t="shared" si="39"/>
        <v>1</v>
      </c>
      <c r="BA127" s="13" t="str">
        <f t="shared" si="40"/>
        <v>('SIW200 M100', 1, 415, 511, 175, 22.5, 60, -25, 'CONVECÇÃO NATURAL', 'IP65', 'TRANSFORMERLESS', 10000, 10000, 220, 45.5, 45.5, 50, 3, 3, 0),</v>
      </c>
      <c r="BB127" t="str">
        <f t="shared" si="41"/>
        <v xml:space="preserve">(125, 0, 1, 600, 120, 550, 80, -1, -1, 360, 15, 12.5), </v>
      </c>
      <c r="BC127" t="str">
        <f t="shared" si="42"/>
        <v>(125, 'ON-GRID'),</v>
      </c>
      <c r="BD127" t="str">
        <f t="shared" si="43"/>
        <v/>
      </c>
      <c r="BE127" t="str">
        <f t="shared" si="44"/>
        <v/>
      </c>
      <c r="BF127" t="str">
        <f t="shared" si="45"/>
        <v/>
      </c>
      <c r="BG127" t="str">
        <f t="shared" si="46"/>
        <v>(125, 'WIFI'),</v>
      </c>
      <c r="BH127" t="str">
        <f t="shared" si="47"/>
        <v>(125, 'RS485'),</v>
      </c>
      <c r="BI127" t="str">
        <f t="shared" si="48"/>
        <v>(125, 'DISPLAY'),</v>
      </c>
      <c r="BJ127" t="str">
        <f t="shared" si="49"/>
        <v>(125, 'LED'),</v>
      </c>
      <c r="BK127" t="str">
        <f t="shared" si="50"/>
        <v/>
      </c>
      <c r="BL127" t="str">
        <f t="shared" si="51"/>
        <v/>
      </c>
      <c r="BM127" t="str">
        <f t="shared" si="52"/>
        <v/>
      </c>
      <c r="BN127" t="str">
        <f t="shared" si="53"/>
        <v/>
      </c>
      <c r="BO127" t="str">
        <f t="shared" si="54"/>
        <v>(125, 'SINGLE_PHASE'),</v>
      </c>
    </row>
    <row r="128" spans="1:67">
      <c r="A128" s="2" t="s">
        <v>406</v>
      </c>
      <c r="B128" s="3" t="s">
        <v>212</v>
      </c>
      <c r="C128" s="3">
        <v>148</v>
      </c>
      <c r="D128" s="3">
        <v>476.5</v>
      </c>
      <c r="E128" s="3">
        <v>402</v>
      </c>
      <c r="F128" s="3">
        <v>15.5</v>
      </c>
      <c r="G128" s="3" t="s">
        <v>275</v>
      </c>
      <c r="H128" s="3">
        <v>1</v>
      </c>
      <c r="I128" s="3">
        <v>1</v>
      </c>
      <c r="J128" s="3">
        <v>1</v>
      </c>
      <c r="K128" s="3">
        <v>1</v>
      </c>
      <c r="L128" s="3">
        <v>1</v>
      </c>
      <c r="M128" s="3">
        <v>3000</v>
      </c>
      <c r="N128" s="3">
        <v>3300</v>
      </c>
      <c r="O128" s="3">
        <v>1</v>
      </c>
      <c r="P128" s="3">
        <v>2</v>
      </c>
      <c r="Q128" s="3">
        <v>600</v>
      </c>
      <c r="R128" s="3">
        <v>120</v>
      </c>
      <c r="S128" s="3">
        <v>550</v>
      </c>
      <c r="T128" s="3">
        <v>80</v>
      </c>
      <c r="U128" s="3">
        <v>550</v>
      </c>
      <c r="V128" s="3">
        <v>130</v>
      </c>
      <c r="W128" s="3">
        <v>360</v>
      </c>
      <c r="X128" s="3">
        <v>15</v>
      </c>
      <c r="Y128" s="3">
        <v>12.5</v>
      </c>
      <c r="Z128" s="3">
        <v>1</v>
      </c>
      <c r="AA128" s="3">
        <v>0</v>
      </c>
      <c r="AB128" s="3">
        <v>0</v>
      </c>
      <c r="AC128" s="3">
        <v>220</v>
      </c>
      <c r="AE128" s="4">
        <v>14.3</v>
      </c>
      <c r="AF128">
        <v>13</v>
      </c>
      <c r="AG128">
        <v>50</v>
      </c>
      <c r="AH128">
        <v>60</v>
      </c>
      <c r="AI128">
        <v>-25</v>
      </c>
      <c r="AJ128" t="s">
        <v>276</v>
      </c>
      <c r="AK128" t="s">
        <v>277</v>
      </c>
      <c r="AL128">
        <v>0</v>
      </c>
      <c r="AN128">
        <v>126</v>
      </c>
      <c r="AO128">
        <v>0</v>
      </c>
      <c r="AP128">
        <f t="shared" si="38"/>
        <v>2</v>
      </c>
      <c r="AR128">
        <v>1</v>
      </c>
      <c r="AS128">
        <v>0</v>
      </c>
      <c r="AT128">
        <v>0</v>
      </c>
      <c r="AU128">
        <v>0</v>
      </c>
      <c r="AW128">
        <v>0</v>
      </c>
      <c r="AY128" t="str">
        <f t="shared" si="39"/>
        <v>1</v>
      </c>
      <c r="BA128" s="13" t="str">
        <f t="shared" si="40"/>
        <v>('SIW200F M030', 1, 476.5, 402, 148, 15.5, 60, -25, 'CONVECÇÃO NATURAL', 'IP65', 'TRANSFORMERLESS', 3000, 3300, 220, 13, 14.3, 50, 2, 2, 0),</v>
      </c>
      <c r="BB128" t="str">
        <f t="shared" si="41"/>
        <v xml:space="preserve">(126, 0, 1, 600, 120, 550, 80, 550, 130, 360, 15, 12.5), </v>
      </c>
      <c r="BC128" t="str">
        <f t="shared" si="42"/>
        <v>(126, 'ON-GRID'),</v>
      </c>
      <c r="BD128" t="str">
        <f t="shared" si="43"/>
        <v/>
      </c>
      <c r="BE128" t="str">
        <f t="shared" si="44"/>
        <v/>
      </c>
      <c r="BF128" t="str">
        <f t="shared" si="45"/>
        <v/>
      </c>
      <c r="BG128" t="str">
        <f t="shared" si="46"/>
        <v>(126, 'WIFI'),</v>
      </c>
      <c r="BH128" t="str">
        <f t="shared" si="47"/>
        <v>(126, 'RS485'),</v>
      </c>
      <c r="BI128" t="str">
        <f t="shared" si="48"/>
        <v>(126, 'DISPLAY'),</v>
      </c>
      <c r="BJ128" t="str">
        <f t="shared" si="49"/>
        <v>(126, 'LED'),</v>
      </c>
      <c r="BK128" t="str">
        <f t="shared" si="50"/>
        <v>(126, 'USB'),</v>
      </c>
      <c r="BL128" t="str">
        <f t="shared" si="51"/>
        <v/>
      </c>
      <c r="BM128" t="str">
        <f t="shared" si="52"/>
        <v/>
      </c>
      <c r="BN128" t="str">
        <f t="shared" si="53"/>
        <v/>
      </c>
      <c r="BO128" t="str">
        <f t="shared" si="54"/>
        <v>(126, 'SINGLE_PHASE'),</v>
      </c>
    </row>
    <row r="129" spans="1:67">
      <c r="A129" s="2" t="s">
        <v>407</v>
      </c>
      <c r="B129" s="3" t="s">
        <v>212</v>
      </c>
      <c r="C129" s="3">
        <v>148</v>
      </c>
      <c r="D129" s="3">
        <v>476.5</v>
      </c>
      <c r="E129" s="3">
        <v>402</v>
      </c>
      <c r="F129" s="3">
        <v>15.5</v>
      </c>
      <c r="G129" s="3" t="s">
        <v>275</v>
      </c>
      <c r="H129" s="3">
        <v>1</v>
      </c>
      <c r="I129" s="3">
        <v>1</v>
      </c>
      <c r="J129" s="3">
        <v>1</v>
      </c>
      <c r="K129" s="3">
        <v>1</v>
      </c>
      <c r="L129" s="3">
        <v>1</v>
      </c>
      <c r="M129" s="3">
        <v>3600</v>
      </c>
      <c r="N129" s="3">
        <v>3960</v>
      </c>
      <c r="O129" s="3">
        <v>1</v>
      </c>
      <c r="P129" s="3">
        <v>2</v>
      </c>
      <c r="Q129" s="3">
        <v>600</v>
      </c>
      <c r="R129" s="3">
        <v>120</v>
      </c>
      <c r="S129" s="3">
        <v>550</v>
      </c>
      <c r="T129" s="3">
        <v>80</v>
      </c>
      <c r="U129" s="3">
        <v>550</v>
      </c>
      <c r="V129" s="3">
        <v>150</v>
      </c>
      <c r="W129" s="3">
        <v>360</v>
      </c>
      <c r="X129" s="3">
        <v>15</v>
      </c>
      <c r="Y129" s="3">
        <v>12.5</v>
      </c>
      <c r="Z129" s="3">
        <v>1</v>
      </c>
      <c r="AA129" s="3">
        <v>0</v>
      </c>
      <c r="AB129" s="3">
        <v>0</v>
      </c>
      <c r="AC129" s="3">
        <v>220</v>
      </c>
      <c r="AE129" s="4">
        <v>17.2</v>
      </c>
      <c r="AF129">
        <v>15.7</v>
      </c>
      <c r="AG129">
        <v>50</v>
      </c>
      <c r="AH129">
        <v>60</v>
      </c>
      <c r="AI129">
        <v>-25</v>
      </c>
      <c r="AJ129" t="s">
        <v>276</v>
      </c>
      <c r="AK129" t="s">
        <v>277</v>
      </c>
      <c r="AL129">
        <v>0</v>
      </c>
      <c r="AN129">
        <v>127</v>
      </c>
      <c r="AO129">
        <v>0</v>
      </c>
      <c r="AP129">
        <f t="shared" si="38"/>
        <v>2</v>
      </c>
      <c r="AR129">
        <v>1</v>
      </c>
      <c r="AS129">
        <v>0</v>
      </c>
      <c r="AT129">
        <v>0</v>
      </c>
      <c r="AU129">
        <v>0</v>
      </c>
      <c r="AW129">
        <v>0</v>
      </c>
      <c r="AY129" t="str">
        <f t="shared" si="39"/>
        <v>1</v>
      </c>
      <c r="BA129" s="13" t="str">
        <f t="shared" si="40"/>
        <v>('SIW200F M036', 1, 476.5, 402, 148, 15.5, 60, -25, 'CONVECÇÃO NATURAL', 'IP65', 'TRANSFORMERLESS', 3600, 3960, 220, 15.7, 17.2, 50, 2, 2, 0),</v>
      </c>
      <c r="BB129" t="str">
        <f t="shared" si="41"/>
        <v xml:space="preserve">(127, 0, 1, 600, 120, 550, 80, 550, 150, 360, 15, 12.5), </v>
      </c>
      <c r="BC129" t="str">
        <f t="shared" si="42"/>
        <v>(127, 'ON-GRID'),</v>
      </c>
      <c r="BD129" t="str">
        <f t="shared" si="43"/>
        <v/>
      </c>
      <c r="BE129" t="str">
        <f t="shared" si="44"/>
        <v/>
      </c>
      <c r="BF129" t="str">
        <f t="shared" si="45"/>
        <v/>
      </c>
      <c r="BG129" t="str">
        <f t="shared" si="46"/>
        <v>(127, 'WIFI'),</v>
      </c>
      <c r="BH129" t="str">
        <f t="shared" si="47"/>
        <v>(127, 'RS485'),</v>
      </c>
      <c r="BI129" t="str">
        <f t="shared" si="48"/>
        <v>(127, 'DISPLAY'),</v>
      </c>
      <c r="BJ129" t="str">
        <f t="shared" si="49"/>
        <v>(127, 'LED'),</v>
      </c>
      <c r="BK129" t="str">
        <f t="shared" si="50"/>
        <v>(127, 'USB'),</v>
      </c>
      <c r="BL129" t="str">
        <f t="shared" si="51"/>
        <v/>
      </c>
      <c r="BM129" t="str">
        <f t="shared" si="52"/>
        <v/>
      </c>
      <c r="BN129" t="str">
        <f t="shared" si="53"/>
        <v/>
      </c>
      <c r="BO129" t="str">
        <f t="shared" si="54"/>
        <v>(127, 'SINGLE_PHASE'),</v>
      </c>
    </row>
    <row r="130" spans="1:67">
      <c r="A130" s="2" t="s">
        <v>408</v>
      </c>
      <c r="B130" s="3" t="s">
        <v>212</v>
      </c>
      <c r="C130" s="3">
        <v>148</v>
      </c>
      <c r="D130" s="3">
        <v>476.5</v>
      </c>
      <c r="E130" s="3">
        <v>402</v>
      </c>
      <c r="F130" s="3">
        <v>15.5</v>
      </c>
      <c r="G130" s="3" t="s">
        <v>275</v>
      </c>
      <c r="H130" s="3">
        <v>1</v>
      </c>
      <c r="I130" s="3">
        <v>1</v>
      </c>
      <c r="J130" s="3">
        <v>1</v>
      </c>
      <c r="K130" s="3">
        <v>1</v>
      </c>
      <c r="L130" s="3">
        <v>1</v>
      </c>
      <c r="M130" s="3">
        <v>4600</v>
      </c>
      <c r="N130" s="3">
        <v>5060</v>
      </c>
      <c r="O130" s="3">
        <v>1</v>
      </c>
      <c r="P130" s="3">
        <v>2</v>
      </c>
      <c r="Q130" s="3">
        <v>600</v>
      </c>
      <c r="R130" s="3">
        <v>120</v>
      </c>
      <c r="S130" s="3">
        <v>550</v>
      </c>
      <c r="T130" s="3">
        <v>80</v>
      </c>
      <c r="U130" s="3">
        <v>550</v>
      </c>
      <c r="V130" s="3">
        <v>200</v>
      </c>
      <c r="W130" s="3">
        <v>360</v>
      </c>
      <c r="X130" s="3">
        <v>15</v>
      </c>
      <c r="Y130" s="3">
        <v>12.5</v>
      </c>
      <c r="Z130" s="3">
        <v>1</v>
      </c>
      <c r="AA130" s="3">
        <v>0</v>
      </c>
      <c r="AB130" s="3">
        <v>0</v>
      </c>
      <c r="AC130" s="3">
        <v>220</v>
      </c>
      <c r="AE130" s="4">
        <v>22</v>
      </c>
      <c r="AF130">
        <v>20</v>
      </c>
      <c r="AG130">
        <v>50</v>
      </c>
      <c r="AH130">
        <v>60</v>
      </c>
      <c r="AI130">
        <v>-25</v>
      </c>
      <c r="AJ130" t="s">
        <v>276</v>
      </c>
      <c r="AK130" t="s">
        <v>277</v>
      </c>
      <c r="AL130">
        <v>0</v>
      </c>
      <c r="AN130">
        <v>128</v>
      </c>
      <c r="AO130">
        <v>0</v>
      </c>
      <c r="AP130">
        <f t="shared" si="38"/>
        <v>2</v>
      </c>
      <c r="AR130">
        <v>1</v>
      </c>
      <c r="AS130">
        <v>0</v>
      </c>
      <c r="AT130">
        <v>0</v>
      </c>
      <c r="AU130">
        <v>0</v>
      </c>
      <c r="AW130">
        <v>0</v>
      </c>
      <c r="AY130" t="str">
        <f t="shared" si="39"/>
        <v>1</v>
      </c>
      <c r="BA130" s="13" t="str">
        <f t="shared" si="40"/>
        <v>('SIW200F M046', 1, 476.5, 402, 148, 15.5, 60, -25, 'CONVECÇÃO NATURAL', 'IP65', 'TRANSFORMERLESS', 4600, 5060, 220, 20, 22, 50, 2, 2, 0),</v>
      </c>
      <c r="BB130" t="str">
        <f t="shared" si="41"/>
        <v xml:space="preserve">(128, 0, 1, 600, 120, 550, 80, 550, 200, 360, 15, 12.5), </v>
      </c>
      <c r="BC130" t="str">
        <f t="shared" si="42"/>
        <v>(128, 'ON-GRID'),</v>
      </c>
      <c r="BD130" t="str">
        <f t="shared" si="43"/>
        <v/>
      </c>
      <c r="BE130" t="str">
        <f t="shared" si="44"/>
        <v/>
      </c>
      <c r="BF130" t="str">
        <f t="shared" si="45"/>
        <v/>
      </c>
      <c r="BG130" t="str">
        <f t="shared" si="46"/>
        <v>(128, 'WIFI'),</v>
      </c>
      <c r="BH130" t="str">
        <f t="shared" si="47"/>
        <v>(128, 'RS485'),</v>
      </c>
      <c r="BI130" t="str">
        <f t="shared" si="48"/>
        <v>(128, 'DISPLAY'),</v>
      </c>
      <c r="BJ130" t="str">
        <f t="shared" si="49"/>
        <v>(128, 'LED'),</v>
      </c>
      <c r="BK130" t="str">
        <f t="shared" si="50"/>
        <v>(128, 'USB'),</v>
      </c>
      <c r="BL130" t="str">
        <f t="shared" si="51"/>
        <v/>
      </c>
      <c r="BM130" t="str">
        <f t="shared" si="52"/>
        <v/>
      </c>
      <c r="BN130" t="str">
        <f t="shared" si="53"/>
        <v/>
      </c>
      <c r="BO130" t="str">
        <f t="shared" si="54"/>
        <v>(128, 'SINGLE_PHASE'),</v>
      </c>
    </row>
    <row r="131" spans="1:67">
      <c r="A131" s="2" t="s">
        <v>409</v>
      </c>
      <c r="B131" s="3" t="s">
        <v>212</v>
      </c>
      <c r="C131" s="3">
        <v>148</v>
      </c>
      <c r="D131" s="3">
        <v>476.5</v>
      </c>
      <c r="E131" s="3">
        <v>402</v>
      </c>
      <c r="F131" s="3">
        <v>15.5</v>
      </c>
      <c r="G131" s="3" t="s">
        <v>275</v>
      </c>
      <c r="H131" s="3">
        <v>1</v>
      </c>
      <c r="I131" s="3">
        <v>1</v>
      </c>
      <c r="J131" s="3">
        <v>1</v>
      </c>
      <c r="K131" s="3">
        <v>1</v>
      </c>
      <c r="L131" s="3">
        <v>1</v>
      </c>
      <c r="M131" s="3">
        <v>5000</v>
      </c>
      <c r="N131" s="3">
        <v>5500</v>
      </c>
      <c r="O131" s="3">
        <v>1</v>
      </c>
      <c r="P131" s="3">
        <v>2</v>
      </c>
      <c r="Q131" s="3">
        <v>600</v>
      </c>
      <c r="R131" s="3">
        <v>120</v>
      </c>
      <c r="S131" s="3">
        <v>550</v>
      </c>
      <c r="T131" s="3">
        <v>80</v>
      </c>
      <c r="U131" s="3">
        <v>550</v>
      </c>
      <c r="V131" s="3">
        <v>210</v>
      </c>
      <c r="W131" s="3">
        <v>360</v>
      </c>
      <c r="X131" s="3">
        <v>15</v>
      </c>
      <c r="Y131" s="3">
        <v>12.5</v>
      </c>
      <c r="Z131" s="3">
        <v>1</v>
      </c>
      <c r="AA131" s="3">
        <v>0</v>
      </c>
      <c r="AB131" s="3">
        <v>0</v>
      </c>
      <c r="AC131" s="3">
        <v>220</v>
      </c>
      <c r="AE131" s="4">
        <v>23.9</v>
      </c>
      <c r="AF131">
        <v>21.7</v>
      </c>
      <c r="AG131">
        <v>50</v>
      </c>
      <c r="AH131">
        <v>60</v>
      </c>
      <c r="AI131">
        <v>-25</v>
      </c>
      <c r="AJ131" t="s">
        <v>276</v>
      </c>
      <c r="AK131" t="s">
        <v>277</v>
      </c>
      <c r="AL131">
        <v>0</v>
      </c>
      <c r="AN131">
        <v>129</v>
      </c>
      <c r="AO131">
        <v>0</v>
      </c>
      <c r="AP131">
        <f t="shared" si="38"/>
        <v>2</v>
      </c>
      <c r="AR131">
        <v>1</v>
      </c>
      <c r="AS131">
        <v>0</v>
      </c>
      <c r="AT131">
        <v>0</v>
      </c>
      <c r="AU131">
        <v>0</v>
      </c>
      <c r="AW131">
        <v>0</v>
      </c>
      <c r="AY131" t="str">
        <f t="shared" si="39"/>
        <v>1</v>
      </c>
      <c r="BA131" s="13" t="str">
        <f t="shared" si="40"/>
        <v>('SIW200F M050', 1, 476.5, 402, 148, 15.5, 60, -25, 'CONVECÇÃO NATURAL', 'IP65', 'TRANSFORMERLESS', 5000, 5500, 220, 21.7, 23.9, 50, 2, 2, 0),</v>
      </c>
      <c r="BB131" t="str">
        <f t="shared" si="41"/>
        <v xml:space="preserve">(129, 0, 1, 600, 120, 550, 80, 550, 210, 360, 15, 12.5), </v>
      </c>
      <c r="BC131" t="str">
        <f t="shared" si="42"/>
        <v>(129, 'ON-GRID'),</v>
      </c>
      <c r="BD131" t="str">
        <f t="shared" si="43"/>
        <v/>
      </c>
      <c r="BE131" t="str">
        <f t="shared" si="44"/>
        <v/>
      </c>
      <c r="BF131" t="str">
        <f t="shared" si="45"/>
        <v/>
      </c>
      <c r="BG131" t="str">
        <f t="shared" si="46"/>
        <v>(129, 'WIFI'),</v>
      </c>
      <c r="BH131" t="str">
        <f t="shared" si="47"/>
        <v>(129, 'RS485'),</v>
      </c>
      <c r="BI131" t="str">
        <f t="shared" si="48"/>
        <v>(129, 'DISPLAY'),</v>
      </c>
      <c r="BJ131" t="str">
        <f t="shared" si="49"/>
        <v>(129, 'LED'),</v>
      </c>
      <c r="BK131" t="str">
        <f t="shared" si="50"/>
        <v>(129, 'USB'),</v>
      </c>
      <c r="BL131" t="str">
        <f t="shared" si="51"/>
        <v/>
      </c>
      <c r="BM131" t="str">
        <f t="shared" si="52"/>
        <v/>
      </c>
      <c r="BN131" t="str">
        <f t="shared" si="53"/>
        <v/>
      </c>
      <c r="BO131" t="str">
        <f t="shared" si="54"/>
        <v>(129, 'SINGLE_PHASE'),</v>
      </c>
    </row>
    <row r="132" spans="1:67">
      <c r="A132" s="2" t="s">
        <v>410</v>
      </c>
      <c r="B132" s="3" t="s">
        <v>212</v>
      </c>
      <c r="C132" s="3">
        <v>148</v>
      </c>
      <c r="D132" s="3">
        <v>476.5</v>
      </c>
      <c r="E132" s="3">
        <v>402</v>
      </c>
      <c r="F132" s="3">
        <v>15.5</v>
      </c>
      <c r="G132" s="3" t="s">
        <v>275</v>
      </c>
      <c r="H132" s="3">
        <v>1</v>
      </c>
      <c r="I132" s="3">
        <v>1</v>
      </c>
      <c r="J132" s="3">
        <v>1</v>
      </c>
      <c r="K132" s="3">
        <v>1</v>
      </c>
      <c r="L132" s="3">
        <v>1</v>
      </c>
      <c r="M132" s="3">
        <v>6000</v>
      </c>
      <c r="N132" s="3">
        <v>6000</v>
      </c>
      <c r="O132" s="3">
        <v>1</v>
      </c>
      <c r="P132" s="3">
        <v>2</v>
      </c>
      <c r="Q132" s="3">
        <v>600</v>
      </c>
      <c r="R132" s="3">
        <v>120</v>
      </c>
      <c r="S132" s="3">
        <v>550</v>
      </c>
      <c r="T132" s="3">
        <v>80</v>
      </c>
      <c r="U132" s="3">
        <v>550</v>
      </c>
      <c r="V132" s="3">
        <v>250</v>
      </c>
      <c r="W132" s="3">
        <v>360</v>
      </c>
      <c r="X132" s="3">
        <v>15</v>
      </c>
      <c r="Y132" s="3">
        <v>12.5</v>
      </c>
      <c r="Z132" s="3">
        <v>1</v>
      </c>
      <c r="AA132" s="3">
        <v>0</v>
      </c>
      <c r="AB132" s="3">
        <v>0</v>
      </c>
      <c r="AC132" s="3">
        <v>220</v>
      </c>
      <c r="AE132" s="4">
        <v>26.1</v>
      </c>
      <c r="AF132">
        <v>26.1</v>
      </c>
      <c r="AG132">
        <v>50</v>
      </c>
      <c r="AH132">
        <v>60</v>
      </c>
      <c r="AI132">
        <v>-25</v>
      </c>
      <c r="AJ132" t="s">
        <v>276</v>
      </c>
      <c r="AK132" t="s">
        <v>277</v>
      </c>
      <c r="AL132">
        <v>0</v>
      </c>
      <c r="AN132">
        <v>130</v>
      </c>
      <c r="AO132">
        <v>0</v>
      </c>
      <c r="AP132">
        <f t="shared" si="38"/>
        <v>2</v>
      </c>
      <c r="AR132">
        <v>1</v>
      </c>
      <c r="AS132">
        <v>0</v>
      </c>
      <c r="AT132">
        <v>0</v>
      </c>
      <c r="AU132">
        <v>0</v>
      </c>
      <c r="AW132">
        <v>0</v>
      </c>
      <c r="AY132" t="str">
        <f t="shared" si="39"/>
        <v>1</v>
      </c>
      <c r="BA132" s="13" t="str">
        <f t="shared" si="40"/>
        <v>('SIW200F M060', 1, 476.5, 402, 148, 15.5, 60, -25, 'CONVECÇÃO NATURAL', 'IP65', 'TRANSFORMERLESS', 6000, 6000, 220, 26.1, 26.1, 50, 2, 2, 0),</v>
      </c>
      <c r="BB132" t="str">
        <f t="shared" si="41"/>
        <v xml:space="preserve">(130, 0, 1, 600, 120, 550, 80, 550, 250, 360, 15, 12.5), </v>
      </c>
      <c r="BC132" t="str">
        <f t="shared" si="42"/>
        <v>(130, 'ON-GRID'),</v>
      </c>
      <c r="BD132" t="str">
        <f t="shared" si="43"/>
        <v/>
      </c>
      <c r="BE132" t="str">
        <f t="shared" si="44"/>
        <v/>
      </c>
      <c r="BF132" t="str">
        <f t="shared" si="45"/>
        <v/>
      </c>
      <c r="BG132" t="str">
        <f t="shared" si="46"/>
        <v>(130, 'WIFI'),</v>
      </c>
      <c r="BH132" t="str">
        <f t="shared" si="47"/>
        <v>(130, 'RS485'),</v>
      </c>
      <c r="BI132" t="str">
        <f t="shared" si="48"/>
        <v>(130, 'DISPLAY'),</v>
      </c>
      <c r="BJ132" t="str">
        <f t="shared" si="49"/>
        <v>(130, 'LED'),</v>
      </c>
      <c r="BK132" t="str">
        <f t="shared" si="50"/>
        <v>(130, 'USB'),</v>
      </c>
      <c r="BL132" t="str">
        <f t="shared" si="51"/>
        <v/>
      </c>
      <c r="BM132" t="str">
        <f t="shared" si="52"/>
        <v/>
      </c>
      <c r="BN132" t="str">
        <f t="shared" si="53"/>
        <v/>
      </c>
      <c r="BO132" t="str">
        <f t="shared" si="54"/>
        <v>(130, 'SINGLE_PHASE'),</v>
      </c>
    </row>
    <row r="133" spans="1:67">
      <c r="A133" s="2" t="s">
        <v>411</v>
      </c>
      <c r="B133" s="3" t="s">
        <v>212</v>
      </c>
      <c r="C133" s="3">
        <v>145</v>
      </c>
      <c r="D133" s="3">
        <v>400</v>
      </c>
      <c r="E133" s="3">
        <v>419</v>
      </c>
      <c r="F133" s="3">
        <v>15.5</v>
      </c>
      <c r="G133" s="3" t="s">
        <v>275</v>
      </c>
      <c r="H133" s="3">
        <v>1</v>
      </c>
      <c r="I133" s="3">
        <v>1</v>
      </c>
      <c r="J133" s="3">
        <v>1</v>
      </c>
      <c r="K133" s="3">
        <v>1</v>
      </c>
      <c r="L133" s="3">
        <v>1</v>
      </c>
      <c r="M133" s="3">
        <v>3000</v>
      </c>
      <c r="N133" s="3">
        <v>3300</v>
      </c>
      <c r="O133" s="3">
        <v>1</v>
      </c>
      <c r="P133" s="3">
        <v>2</v>
      </c>
      <c r="Q133" s="3">
        <v>600</v>
      </c>
      <c r="R133" s="3">
        <v>120</v>
      </c>
      <c r="S133" s="3">
        <v>550</v>
      </c>
      <c r="T133" s="3">
        <v>80</v>
      </c>
      <c r="U133" s="3">
        <v>550</v>
      </c>
      <c r="V133" s="3">
        <v>130</v>
      </c>
      <c r="W133" s="3">
        <v>360</v>
      </c>
      <c r="X133" s="3">
        <v>18</v>
      </c>
      <c r="Y133" s="3">
        <v>14</v>
      </c>
      <c r="Z133" s="3">
        <v>1</v>
      </c>
      <c r="AA133" s="3">
        <v>0</v>
      </c>
      <c r="AB133" s="3">
        <v>0</v>
      </c>
      <c r="AC133" s="3">
        <v>220</v>
      </c>
      <c r="AE133" s="4">
        <v>14.3</v>
      </c>
      <c r="AF133">
        <v>13</v>
      </c>
      <c r="AG133">
        <v>50</v>
      </c>
      <c r="AH133">
        <v>60</v>
      </c>
      <c r="AI133">
        <v>-25</v>
      </c>
      <c r="AJ133" t="s">
        <v>276</v>
      </c>
      <c r="AK133" t="s">
        <v>277</v>
      </c>
      <c r="AL133">
        <v>1</v>
      </c>
      <c r="AN133">
        <v>131</v>
      </c>
      <c r="AO133">
        <v>0</v>
      </c>
      <c r="AP133">
        <f t="shared" si="38"/>
        <v>2</v>
      </c>
      <c r="AR133">
        <v>1</v>
      </c>
      <c r="AS133">
        <v>0</v>
      </c>
      <c r="AT133">
        <v>0</v>
      </c>
      <c r="AU133">
        <v>0</v>
      </c>
      <c r="AW133">
        <v>0</v>
      </c>
      <c r="AY133" t="str">
        <f t="shared" si="39"/>
        <v>1</v>
      </c>
      <c r="BA133" s="13" t="str">
        <f t="shared" si="40"/>
        <v>('SIW200G M030 W0', 1, 400, 419, 145, 15.5, 60, -25, 'CONVECÇÃO NATURAL', 'IP65', 'TRANSFORMERLESS', 3000, 3300, 220, 13, 14.3, 50, 2, 2, 1),</v>
      </c>
      <c r="BB133" t="str">
        <f t="shared" si="41"/>
        <v xml:space="preserve">(131, 0, 1, 600, 120, 550, 80, 550, 130, 360, 18, 14), </v>
      </c>
      <c r="BC133" t="str">
        <f t="shared" si="42"/>
        <v>(131, 'ON-GRID'),</v>
      </c>
      <c r="BD133" t="str">
        <f t="shared" si="43"/>
        <v/>
      </c>
      <c r="BE133" t="str">
        <f t="shared" si="44"/>
        <v/>
      </c>
      <c r="BF133" t="str">
        <f t="shared" si="45"/>
        <v/>
      </c>
      <c r="BG133" t="str">
        <f t="shared" si="46"/>
        <v>(131, 'WIFI'),</v>
      </c>
      <c r="BH133" t="str">
        <f t="shared" si="47"/>
        <v>(131, 'RS485'),</v>
      </c>
      <c r="BI133" t="str">
        <f t="shared" si="48"/>
        <v>(131, 'DISPLAY'),</v>
      </c>
      <c r="BJ133" t="str">
        <f t="shared" si="49"/>
        <v>(131, 'LED'),</v>
      </c>
      <c r="BK133" t="str">
        <f t="shared" si="50"/>
        <v>(131, 'USB'),</v>
      </c>
      <c r="BL133" t="str">
        <f t="shared" si="51"/>
        <v/>
      </c>
      <c r="BM133" t="str">
        <f t="shared" si="52"/>
        <v/>
      </c>
      <c r="BN133" t="str">
        <f t="shared" si="53"/>
        <v/>
      </c>
      <c r="BO133" t="str">
        <f t="shared" si="54"/>
        <v>(131, 'SINGLE_PHASE'),</v>
      </c>
    </row>
    <row r="134" spans="1:67">
      <c r="A134" s="2" t="s">
        <v>412</v>
      </c>
      <c r="B134" s="3" t="s">
        <v>212</v>
      </c>
      <c r="C134" s="3">
        <v>145</v>
      </c>
      <c r="D134" s="3">
        <v>400</v>
      </c>
      <c r="E134" s="3">
        <v>419</v>
      </c>
      <c r="F134" s="3">
        <v>15.5</v>
      </c>
      <c r="G134" s="3" t="s">
        <v>275</v>
      </c>
      <c r="H134" s="3">
        <v>1</v>
      </c>
      <c r="I134" s="3">
        <v>1</v>
      </c>
      <c r="J134" s="3">
        <v>1</v>
      </c>
      <c r="K134" s="3">
        <v>1</v>
      </c>
      <c r="L134" s="3">
        <v>1</v>
      </c>
      <c r="M134" s="3">
        <v>5000</v>
      </c>
      <c r="N134" s="3">
        <v>5500</v>
      </c>
      <c r="O134" s="3">
        <v>1</v>
      </c>
      <c r="P134" s="3">
        <v>2</v>
      </c>
      <c r="Q134" s="3">
        <v>600</v>
      </c>
      <c r="R134" s="3">
        <v>120</v>
      </c>
      <c r="S134" s="3">
        <v>550</v>
      </c>
      <c r="T134" s="3">
        <v>80</v>
      </c>
      <c r="U134" s="3">
        <v>550</v>
      </c>
      <c r="V134" s="3">
        <v>210</v>
      </c>
      <c r="W134" s="3">
        <v>360</v>
      </c>
      <c r="X134" s="3">
        <v>18</v>
      </c>
      <c r="Y134" s="3">
        <v>14</v>
      </c>
      <c r="Z134" s="3">
        <v>1</v>
      </c>
      <c r="AA134" s="3">
        <v>0</v>
      </c>
      <c r="AB134" s="3">
        <v>0</v>
      </c>
      <c r="AC134" s="3">
        <v>220</v>
      </c>
      <c r="AE134" s="4">
        <v>23.9</v>
      </c>
      <c r="AF134">
        <v>21.7</v>
      </c>
      <c r="AG134">
        <v>50</v>
      </c>
      <c r="AH134">
        <v>60</v>
      </c>
      <c r="AI134">
        <v>-25</v>
      </c>
      <c r="AJ134" t="s">
        <v>276</v>
      </c>
      <c r="AK134" t="s">
        <v>277</v>
      </c>
      <c r="AL134">
        <v>1</v>
      </c>
      <c r="AN134">
        <v>132</v>
      </c>
      <c r="AO134">
        <v>0</v>
      </c>
      <c r="AP134">
        <f t="shared" si="38"/>
        <v>2</v>
      </c>
      <c r="AR134">
        <v>1</v>
      </c>
      <c r="AS134">
        <v>0</v>
      </c>
      <c r="AT134">
        <v>0</v>
      </c>
      <c r="AU134">
        <v>0</v>
      </c>
      <c r="AW134">
        <v>0</v>
      </c>
      <c r="AY134" t="str">
        <f t="shared" si="39"/>
        <v>1</v>
      </c>
      <c r="BA134" s="13" t="str">
        <f t="shared" si="40"/>
        <v>('SIW200G M050 W0', 1, 400, 419, 145, 15.5, 60, -25, 'CONVECÇÃO NATURAL', 'IP65', 'TRANSFORMERLESS', 5000, 5500, 220, 21.7, 23.9, 50, 2, 2, 1),</v>
      </c>
      <c r="BB134" t="str">
        <f t="shared" si="41"/>
        <v xml:space="preserve">(132, 0, 1, 600, 120, 550, 80, 550, 210, 360, 18, 14), </v>
      </c>
      <c r="BC134" t="str">
        <f t="shared" si="42"/>
        <v>(132, 'ON-GRID'),</v>
      </c>
      <c r="BD134" t="str">
        <f t="shared" si="43"/>
        <v/>
      </c>
      <c r="BE134" t="str">
        <f t="shared" si="44"/>
        <v/>
      </c>
      <c r="BF134" t="str">
        <f t="shared" si="45"/>
        <v/>
      </c>
      <c r="BG134" t="str">
        <f t="shared" si="46"/>
        <v>(132, 'WIFI'),</v>
      </c>
      <c r="BH134" t="str">
        <f t="shared" si="47"/>
        <v>(132, 'RS485'),</v>
      </c>
      <c r="BI134" t="str">
        <f t="shared" si="48"/>
        <v>(132, 'DISPLAY'),</v>
      </c>
      <c r="BJ134" t="str">
        <f t="shared" si="49"/>
        <v>(132, 'LED'),</v>
      </c>
      <c r="BK134" t="str">
        <f t="shared" si="50"/>
        <v>(132, 'USB'),</v>
      </c>
      <c r="BL134" t="str">
        <f t="shared" si="51"/>
        <v/>
      </c>
      <c r="BM134" t="str">
        <f t="shared" si="52"/>
        <v/>
      </c>
      <c r="BN134" t="str">
        <f t="shared" si="53"/>
        <v/>
      </c>
      <c r="BO134" t="str">
        <f t="shared" si="54"/>
        <v>(132, 'SINGLE_PHASE'),</v>
      </c>
    </row>
    <row r="135" spans="1:67">
      <c r="A135" s="2" t="s">
        <v>413</v>
      </c>
      <c r="B135" s="3" t="s">
        <v>212</v>
      </c>
      <c r="C135" s="3">
        <v>145</v>
      </c>
      <c r="D135" s="3">
        <v>400</v>
      </c>
      <c r="E135" s="3">
        <v>419</v>
      </c>
      <c r="F135" s="3">
        <v>15.5</v>
      </c>
      <c r="G135" s="3" t="s">
        <v>275</v>
      </c>
      <c r="H135" s="3">
        <v>1</v>
      </c>
      <c r="I135" s="3">
        <v>1</v>
      </c>
      <c r="J135" s="3">
        <v>1</v>
      </c>
      <c r="K135" s="3">
        <v>1</v>
      </c>
      <c r="L135" s="3">
        <v>1</v>
      </c>
      <c r="M135" s="3">
        <v>6000</v>
      </c>
      <c r="N135" s="3">
        <v>6000</v>
      </c>
      <c r="O135" s="3">
        <v>1</v>
      </c>
      <c r="P135" s="3">
        <v>2</v>
      </c>
      <c r="Q135" s="3">
        <v>600</v>
      </c>
      <c r="R135" s="3">
        <v>120</v>
      </c>
      <c r="S135" s="3">
        <v>550</v>
      </c>
      <c r="T135" s="3">
        <v>80</v>
      </c>
      <c r="U135" s="3">
        <v>550</v>
      </c>
      <c r="V135" s="3">
        <v>250</v>
      </c>
      <c r="W135" s="3">
        <v>360</v>
      </c>
      <c r="X135" s="3">
        <v>18</v>
      </c>
      <c r="Y135" s="3">
        <v>14</v>
      </c>
      <c r="Z135" s="3">
        <v>1</v>
      </c>
      <c r="AA135" s="3">
        <v>0</v>
      </c>
      <c r="AB135" s="3">
        <v>0</v>
      </c>
      <c r="AC135" s="3">
        <v>220</v>
      </c>
      <c r="AE135" s="4">
        <v>26.1</v>
      </c>
      <c r="AF135">
        <v>26.1</v>
      </c>
      <c r="AG135">
        <v>50</v>
      </c>
      <c r="AH135">
        <v>60</v>
      </c>
      <c r="AI135">
        <v>-25</v>
      </c>
      <c r="AJ135" t="s">
        <v>276</v>
      </c>
      <c r="AK135" t="s">
        <v>277</v>
      </c>
      <c r="AL135">
        <v>1</v>
      </c>
      <c r="AN135">
        <v>133</v>
      </c>
      <c r="AO135">
        <v>0</v>
      </c>
      <c r="AP135">
        <f t="shared" si="38"/>
        <v>2</v>
      </c>
      <c r="AR135">
        <v>1</v>
      </c>
      <c r="AS135">
        <v>0</v>
      </c>
      <c r="AT135">
        <v>0</v>
      </c>
      <c r="AU135">
        <v>0</v>
      </c>
      <c r="AW135">
        <v>0</v>
      </c>
      <c r="AY135" t="str">
        <f t="shared" si="39"/>
        <v>1</v>
      </c>
      <c r="BA135" s="13" t="str">
        <f t="shared" si="40"/>
        <v>('SIW200G M060 W0', 1, 400, 419, 145, 15.5, 60, -25, 'CONVECÇÃO NATURAL', 'IP65', 'TRANSFORMERLESS', 6000, 6000, 220, 26.1, 26.1, 50, 2, 2, 1),</v>
      </c>
      <c r="BB135" t="str">
        <f t="shared" si="41"/>
        <v xml:space="preserve">(133, 0, 1, 600, 120, 550, 80, 550, 250, 360, 18, 14), </v>
      </c>
      <c r="BC135" t="str">
        <f t="shared" si="42"/>
        <v>(133, 'ON-GRID'),</v>
      </c>
      <c r="BD135" t="str">
        <f t="shared" si="43"/>
        <v/>
      </c>
      <c r="BE135" t="str">
        <f t="shared" si="44"/>
        <v/>
      </c>
      <c r="BF135" t="str">
        <f t="shared" si="45"/>
        <v/>
      </c>
      <c r="BG135" t="str">
        <f t="shared" si="46"/>
        <v>(133, 'WIFI'),</v>
      </c>
      <c r="BH135" t="str">
        <f t="shared" si="47"/>
        <v>(133, 'RS485'),</v>
      </c>
      <c r="BI135" t="str">
        <f t="shared" si="48"/>
        <v>(133, 'DISPLAY'),</v>
      </c>
      <c r="BJ135" t="str">
        <f t="shared" si="49"/>
        <v>(133, 'LED'),</v>
      </c>
      <c r="BK135" t="str">
        <f t="shared" si="50"/>
        <v>(133, 'USB'),</v>
      </c>
      <c r="BL135" t="str">
        <f t="shared" si="51"/>
        <v/>
      </c>
      <c r="BM135" t="str">
        <f t="shared" si="52"/>
        <v/>
      </c>
      <c r="BN135" t="str">
        <f t="shared" si="53"/>
        <v/>
      </c>
      <c r="BO135" t="str">
        <f t="shared" si="54"/>
        <v>(133, 'SINGLE_PHASE'),</v>
      </c>
    </row>
    <row r="136" spans="1:67">
      <c r="A136" s="2" t="s">
        <v>414</v>
      </c>
      <c r="B136" s="3" t="s">
        <v>212</v>
      </c>
      <c r="C136" s="3">
        <v>175</v>
      </c>
      <c r="D136" s="3">
        <v>380</v>
      </c>
      <c r="E136" s="3">
        <v>440</v>
      </c>
      <c r="F136" s="3">
        <v>19</v>
      </c>
      <c r="G136" s="3" t="s">
        <v>275</v>
      </c>
      <c r="H136" s="3">
        <v>1</v>
      </c>
      <c r="I136" s="3">
        <v>1</v>
      </c>
      <c r="J136" s="3">
        <v>1</v>
      </c>
      <c r="K136" s="3">
        <v>1</v>
      </c>
      <c r="L136" s="3">
        <v>1</v>
      </c>
      <c r="M136" s="3">
        <v>7000</v>
      </c>
      <c r="N136" s="3">
        <v>7700</v>
      </c>
      <c r="O136" s="3">
        <v>1</v>
      </c>
      <c r="P136" s="3">
        <v>3</v>
      </c>
      <c r="Q136" s="3">
        <v>600</v>
      </c>
      <c r="R136" s="3">
        <v>120</v>
      </c>
      <c r="S136" s="3">
        <v>550</v>
      </c>
      <c r="T136" s="3">
        <v>80</v>
      </c>
      <c r="U136" s="3">
        <v>550</v>
      </c>
      <c r="V136" s="3">
        <v>225</v>
      </c>
      <c r="W136" s="3">
        <v>360</v>
      </c>
      <c r="X136" s="3">
        <v>18</v>
      </c>
      <c r="Y136" s="3">
        <v>14</v>
      </c>
      <c r="Z136" s="3">
        <v>1</v>
      </c>
      <c r="AA136" s="3">
        <v>0</v>
      </c>
      <c r="AB136" s="3">
        <v>0</v>
      </c>
      <c r="AC136" s="3">
        <v>220</v>
      </c>
      <c r="AE136" s="4">
        <v>35</v>
      </c>
      <c r="AF136">
        <v>31.8</v>
      </c>
      <c r="AG136">
        <v>50</v>
      </c>
      <c r="AH136">
        <v>60</v>
      </c>
      <c r="AI136">
        <v>-25</v>
      </c>
      <c r="AJ136" t="s">
        <v>276</v>
      </c>
      <c r="AK136" t="s">
        <v>277</v>
      </c>
      <c r="AL136">
        <v>1</v>
      </c>
      <c r="AN136">
        <v>134</v>
      </c>
      <c r="AO136">
        <v>0</v>
      </c>
      <c r="AP136">
        <f t="shared" si="38"/>
        <v>3</v>
      </c>
      <c r="AR136">
        <v>1</v>
      </c>
      <c r="AS136">
        <v>0</v>
      </c>
      <c r="AT136">
        <v>0</v>
      </c>
      <c r="AU136">
        <v>0</v>
      </c>
      <c r="AW136">
        <v>0</v>
      </c>
      <c r="AY136" t="str">
        <f t="shared" si="39"/>
        <v>1</v>
      </c>
      <c r="BA136" s="13" t="str">
        <f t="shared" si="40"/>
        <v>('SIW200G M070 W0', 1, 380, 440, 175, 19, 60, -25, 'CONVECÇÃO NATURAL', 'IP65', 'TRANSFORMERLESS', 7000, 7700, 220, 31.8, 35, 50, 3, 3, 1),</v>
      </c>
      <c r="BB136" t="str">
        <f t="shared" si="41"/>
        <v xml:space="preserve">(134, 0, 1, 600, 120, 550, 80, 550, 225, 360, 18, 14), </v>
      </c>
      <c r="BC136" t="str">
        <f t="shared" si="42"/>
        <v>(134, 'ON-GRID'),</v>
      </c>
      <c r="BD136" t="str">
        <f t="shared" si="43"/>
        <v/>
      </c>
      <c r="BE136" t="str">
        <f t="shared" si="44"/>
        <v/>
      </c>
      <c r="BF136" t="str">
        <f t="shared" si="45"/>
        <v/>
      </c>
      <c r="BG136" t="str">
        <f t="shared" si="46"/>
        <v>(134, 'WIFI'),</v>
      </c>
      <c r="BH136" t="str">
        <f t="shared" si="47"/>
        <v>(134, 'RS485'),</v>
      </c>
      <c r="BI136" t="str">
        <f t="shared" si="48"/>
        <v>(134, 'DISPLAY'),</v>
      </c>
      <c r="BJ136" t="str">
        <f t="shared" si="49"/>
        <v>(134, 'LED'),</v>
      </c>
      <c r="BK136" t="str">
        <f t="shared" si="50"/>
        <v>(134, 'USB'),</v>
      </c>
      <c r="BL136" t="str">
        <f t="shared" si="51"/>
        <v/>
      </c>
      <c r="BM136" t="str">
        <f t="shared" si="52"/>
        <v/>
      </c>
      <c r="BN136" t="str">
        <f t="shared" si="53"/>
        <v/>
      </c>
      <c r="BO136" t="str">
        <f t="shared" si="54"/>
        <v>(134, 'SINGLE_PHASE'),</v>
      </c>
    </row>
    <row r="137" spans="1:67">
      <c r="A137" s="2" t="s">
        <v>415</v>
      </c>
      <c r="B137" s="3" t="s">
        <v>212</v>
      </c>
      <c r="C137" s="3">
        <v>175</v>
      </c>
      <c r="D137" s="3">
        <v>380</v>
      </c>
      <c r="E137" s="3">
        <v>440</v>
      </c>
      <c r="F137" s="3">
        <v>19</v>
      </c>
      <c r="G137" s="3" t="s">
        <v>275</v>
      </c>
      <c r="H137" s="3">
        <v>1</v>
      </c>
      <c r="I137" s="3">
        <v>1</v>
      </c>
      <c r="J137" s="3">
        <v>1</v>
      </c>
      <c r="K137" s="3">
        <v>1</v>
      </c>
      <c r="L137" s="3">
        <v>1</v>
      </c>
      <c r="M137" s="3">
        <v>8000</v>
      </c>
      <c r="N137" s="3">
        <v>8800</v>
      </c>
      <c r="O137" s="3">
        <v>1</v>
      </c>
      <c r="P137" s="3">
        <v>3</v>
      </c>
      <c r="Q137" s="3">
        <v>600</v>
      </c>
      <c r="R137" s="3">
        <v>120</v>
      </c>
      <c r="S137" s="3">
        <v>550</v>
      </c>
      <c r="T137" s="3">
        <v>80</v>
      </c>
      <c r="U137" s="3">
        <v>550</v>
      </c>
      <c r="V137" s="3">
        <v>225</v>
      </c>
      <c r="W137" s="3">
        <v>360</v>
      </c>
      <c r="X137" s="3">
        <v>18</v>
      </c>
      <c r="Y137" s="3">
        <v>14</v>
      </c>
      <c r="Z137" s="3">
        <v>1</v>
      </c>
      <c r="AA137" s="3">
        <v>0</v>
      </c>
      <c r="AB137" s="3">
        <v>0</v>
      </c>
      <c r="AC137" s="3">
        <v>220</v>
      </c>
      <c r="AE137" s="4">
        <v>40</v>
      </c>
      <c r="AF137">
        <v>36.4</v>
      </c>
      <c r="AG137">
        <v>50</v>
      </c>
      <c r="AH137">
        <v>60</v>
      </c>
      <c r="AI137">
        <v>-25</v>
      </c>
      <c r="AJ137" t="s">
        <v>276</v>
      </c>
      <c r="AK137" t="s">
        <v>277</v>
      </c>
      <c r="AL137">
        <v>1</v>
      </c>
      <c r="AN137">
        <v>135</v>
      </c>
      <c r="AO137">
        <v>0</v>
      </c>
      <c r="AP137">
        <f t="shared" si="38"/>
        <v>3</v>
      </c>
      <c r="AR137">
        <v>1</v>
      </c>
      <c r="AS137">
        <v>0</v>
      </c>
      <c r="AT137">
        <v>0</v>
      </c>
      <c r="AU137">
        <v>0</v>
      </c>
      <c r="AW137">
        <v>0</v>
      </c>
      <c r="AY137" t="str">
        <f t="shared" si="39"/>
        <v>1</v>
      </c>
      <c r="BA137" s="13" t="str">
        <f t="shared" ref="BA137:BA168" si="55">_xlfn.CONCAT("('",A137,"', ",AY137,", ",SUBSTITUTE(D137,",","."),", ",SUBSTITUTE(E137,",","."),", ",SUBSTITUTE(C137,",","."),", ",SUBSTITUTE(F137,",","."),", ",AH137,", ",AI137,", '",G137,"', '",AJ137,"', '",AK137,"', ",M137,", ",N137,", ",AC137,", ",SUBSTITUTE(AF137,",","."),", ",SUBSTITUTE(AE137,",","."),", ",AG137,", ",P137,", ",AP137,", ",AL137,"),")</f>
        <v>('SIW200G M080 W0', 1, 380, 440, 175, 19, 60, -25, 'CONVECÇÃO NATURAL', 'IP65', 'TRANSFORMERLESS', 8000, 8800, 220, 36.4, 40, 50, 3, 3, 1),</v>
      </c>
      <c r="BB137" t="str">
        <f t="shared" ref="BB137:BB168" si="56">_xlfn.CONCAT("(",AN137,", 0, ",O137,", ",Q137,", ",R137,", ",S137,", ",T137,", ",U137,", ",V137,", ",W137,", ",SUBSTITUTE(X137,",","."),", ",SUBSTITUTE(Y137,",","."),"), ")</f>
        <v xml:space="preserve">(135, 0, 1, 600, 120, 550, 80, 550, 225, 360, 18, 14), </v>
      </c>
      <c r="BC137" t="str">
        <f t="shared" ref="BC137:BC168" si="57">IF(AR137=1,_xlfn.CONCAT("(",$AN137,", 'ON-GRID'),"),"")</f>
        <v>(135, 'ON-GRID'),</v>
      </c>
      <c r="BD137" t="str">
        <f t="shared" ref="BD137:BD168" si="58">IF(AS137=1,_xlfn.CONCAT("(",$AN137,", 'OFF-GRID'),"),"")</f>
        <v/>
      </c>
      <c r="BE137" t="str">
        <f t="shared" ref="BE137:BE168" si="59">IF(AT137=1,_xlfn.CONCAT("(",$AN137,", 'GRIDZERO'),"),"")</f>
        <v/>
      </c>
      <c r="BF137" t="str">
        <f t="shared" ref="BF137:BF168" si="60">IF(AU137=1,_xlfn.CONCAT("(",$AN137,", 'HYBRID'),"),"")</f>
        <v/>
      </c>
      <c r="BG137" t="str">
        <f t="shared" ref="BG137:BG168" si="61">IF(H137=1,_xlfn.CONCAT("(",$AN137,", '",BG$2,"'),"),"")</f>
        <v>(135, 'WIFI'),</v>
      </c>
      <c r="BH137" t="str">
        <f t="shared" ref="BH137:BH168" si="62">IF(I137=1,_xlfn.CONCAT("(",$AN137,", '",BH$2,"'),"),"")</f>
        <v>(135, 'RS485'),</v>
      </c>
      <c r="BI137" t="str">
        <f t="shared" ref="BI137:BI168" si="63">IF(J137=1,_xlfn.CONCAT("(",$AN137,", '",BI$2,"'),"),"")</f>
        <v>(135, 'DISPLAY'),</v>
      </c>
      <c r="BJ137" t="str">
        <f t="shared" ref="BJ137:BJ168" si="64">IF(K137=1,_xlfn.CONCAT("(",$AN137,", '",BJ$2,"'),"),"")</f>
        <v>(135, 'LED'),</v>
      </c>
      <c r="BK137" t="str">
        <f t="shared" ref="BK137:BK168" si="65">IF(L137=1,_xlfn.CONCAT("(",$AN137,", '",BK$2,"'),"),"")</f>
        <v>(135, 'USB'),</v>
      </c>
      <c r="BL137" t="str">
        <f t="shared" ref="BL137:BL168" si="66">IF(M137=1,_xlfn.CONCAT("(",$AN137,", '",BL$2,"'),"),"")</f>
        <v/>
      </c>
      <c r="BM137" t="str">
        <f t="shared" ref="BM137:BM168" si="67">IF(AA137=1,_xlfn.CONCAT("(",$AN137,", '",BM$2,"'),"),"")</f>
        <v/>
      </c>
      <c r="BN137" t="str">
        <f t="shared" ref="BN137:BN168" si="68">IF(AB137=1,_xlfn.CONCAT("(",$AN137,", '",BN$2,"'),"),"")</f>
        <v/>
      </c>
      <c r="BO137" t="str">
        <f t="shared" ref="BO137:BO168" si="69">IF(Z137=1,_xlfn.CONCAT("(",$AN137,", '",BO$2,"'),"),"")</f>
        <v>(135, 'SINGLE_PHASE'),</v>
      </c>
    </row>
    <row r="138" spans="1:67">
      <c r="A138" s="2" t="s">
        <v>416</v>
      </c>
      <c r="B138" s="3" t="s">
        <v>212</v>
      </c>
      <c r="C138" s="3">
        <v>175</v>
      </c>
      <c r="D138" s="3">
        <v>380</v>
      </c>
      <c r="E138" s="3">
        <v>440</v>
      </c>
      <c r="F138" s="3">
        <v>19</v>
      </c>
      <c r="G138" s="3" t="s">
        <v>275</v>
      </c>
      <c r="H138" s="3">
        <v>1</v>
      </c>
      <c r="I138" s="3">
        <v>1</v>
      </c>
      <c r="J138" s="3">
        <v>1</v>
      </c>
      <c r="K138" s="3">
        <v>1</v>
      </c>
      <c r="L138" s="3">
        <v>1</v>
      </c>
      <c r="M138" s="3">
        <v>9000</v>
      </c>
      <c r="N138" s="3">
        <v>9900</v>
      </c>
      <c r="O138" s="3">
        <v>1</v>
      </c>
      <c r="P138" s="3">
        <v>3</v>
      </c>
      <c r="Q138" s="3">
        <v>600</v>
      </c>
      <c r="R138" s="3">
        <v>120</v>
      </c>
      <c r="S138" s="3">
        <v>550</v>
      </c>
      <c r="T138" s="3">
        <v>80</v>
      </c>
      <c r="U138" s="3">
        <v>550</v>
      </c>
      <c r="V138" s="3">
        <v>255</v>
      </c>
      <c r="W138" s="3">
        <v>360</v>
      </c>
      <c r="X138" s="3">
        <v>18</v>
      </c>
      <c r="Y138" s="3">
        <v>14</v>
      </c>
      <c r="Z138" s="3">
        <v>1</v>
      </c>
      <c r="AA138" s="3">
        <v>0</v>
      </c>
      <c r="AB138" s="3">
        <v>0</v>
      </c>
      <c r="AC138" s="3">
        <v>220</v>
      </c>
      <c r="AE138" s="4">
        <v>45</v>
      </c>
      <c r="AF138">
        <v>40.9</v>
      </c>
      <c r="AG138">
        <v>50</v>
      </c>
      <c r="AH138">
        <v>60</v>
      </c>
      <c r="AI138">
        <v>-25</v>
      </c>
      <c r="AJ138" t="s">
        <v>276</v>
      </c>
      <c r="AK138" t="s">
        <v>277</v>
      </c>
      <c r="AL138">
        <v>1</v>
      </c>
      <c r="AN138">
        <v>136</v>
      </c>
      <c r="AO138">
        <v>0</v>
      </c>
      <c r="AP138">
        <f t="shared" si="38"/>
        <v>3</v>
      </c>
      <c r="AR138">
        <v>1</v>
      </c>
      <c r="AS138">
        <v>0</v>
      </c>
      <c r="AT138">
        <v>0</v>
      </c>
      <c r="AU138">
        <v>0</v>
      </c>
      <c r="AW138">
        <v>0</v>
      </c>
      <c r="AY138" t="str">
        <f t="shared" si="39"/>
        <v>1</v>
      </c>
      <c r="BA138" s="13" t="str">
        <f t="shared" si="55"/>
        <v>('SIW200G M090 W0', 1, 380, 440, 175, 19, 60, -25, 'CONVECÇÃO NATURAL', 'IP65', 'TRANSFORMERLESS', 9000, 9900, 220, 40.9, 45, 50, 3, 3, 1),</v>
      </c>
      <c r="BB138" t="str">
        <f t="shared" si="56"/>
        <v xml:space="preserve">(136, 0, 1, 600, 120, 550, 80, 550, 255, 360, 18, 14), </v>
      </c>
      <c r="BC138" t="str">
        <f t="shared" si="57"/>
        <v>(136, 'ON-GRID'),</v>
      </c>
      <c r="BD138" t="str">
        <f t="shared" si="58"/>
        <v/>
      </c>
      <c r="BE138" t="str">
        <f t="shared" si="59"/>
        <v/>
      </c>
      <c r="BF138" t="str">
        <f t="shared" si="60"/>
        <v/>
      </c>
      <c r="BG138" t="str">
        <f t="shared" si="61"/>
        <v>(136, 'WIFI'),</v>
      </c>
      <c r="BH138" t="str">
        <f t="shared" si="62"/>
        <v>(136, 'RS485'),</v>
      </c>
      <c r="BI138" t="str">
        <f t="shared" si="63"/>
        <v>(136, 'DISPLAY'),</v>
      </c>
      <c r="BJ138" t="str">
        <f t="shared" si="64"/>
        <v>(136, 'LED'),</v>
      </c>
      <c r="BK138" t="str">
        <f t="shared" si="65"/>
        <v>(136, 'USB'),</v>
      </c>
      <c r="BL138" t="str">
        <f t="shared" si="66"/>
        <v/>
      </c>
      <c r="BM138" t="str">
        <f t="shared" si="67"/>
        <v/>
      </c>
      <c r="BN138" t="str">
        <f t="shared" si="68"/>
        <v/>
      </c>
      <c r="BO138" t="str">
        <f t="shared" si="69"/>
        <v>(136, 'SINGLE_PHASE'),</v>
      </c>
    </row>
    <row r="139" spans="1:67">
      <c r="A139" s="2" t="s">
        <v>417</v>
      </c>
      <c r="B139" s="3" t="s">
        <v>212</v>
      </c>
      <c r="C139" s="3">
        <v>175</v>
      </c>
      <c r="D139" s="3">
        <v>380</v>
      </c>
      <c r="E139" s="3">
        <v>440</v>
      </c>
      <c r="F139" s="3">
        <v>19</v>
      </c>
      <c r="G139" s="3" t="s">
        <v>275</v>
      </c>
      <c r="H139" s="3">
        <v>1</v>
      </c>
      <c r="I139" s="3">
        <v>1</v>
      </c>
      <c r="J139" s="3">
        <v>1</v>
      </c>
      <c r="K139" s="3">
        <v>1</v>
      </c>
      <c r="L139" s="3">
        <v>1</v>
      </c>
      <c r="M139" s="3">
        <v>10500</v>
      </c>
      <c r="N139" s="3">
        <v>10500</v>
      </c>
      <c r="O139" s="3">
        <v>1</v>
      </c>
      <c r="P139" s="3">
        <v>3</v>
      </c>
      <c r="Q139" s="3">
        <v>600</v>
      </c>
      <c r="R139" s="3">
        <v>120</v>
      </c>
      <c r="S139" s="3">
        <v>550</v>
      </c>
      <c r="T139" s="3">
        <v>80</v>
      </c>
      <c r="U139" s="3">
        <v>550</v>
      </c>
      <c r="V139" s="3">
        <v>225</v>
      </c>
      <c r="W139" s="3">
        <v>360</v>
      </c>
      <c r="X139" s="3">
        <v>18</v>
      </c>
      <c r="Y139" s="3">
        <v>14</v>
      </c>
      <c r="Z139" s="3">
        <v>1</v>
      </c>
      <c r="AA139" s="3">
        <v>0</v>
      </c>
      <c r="AB139" s="3">
        <v>0</v>
      </c>
      <c r="AC139" s="3">
        <v>220</v>
      </c>
      <c r="AE139" s="4">
        <v>47.7</v>
      </c>
      <c r="AF139">
        <v>47.7</v>
      </c>
      <c r="AG139">
        <v>50</v>
      </c>
      <c r="AH139">
        <v>60</v>
      </c>
      <c r="AI139">
        <v>-25</v>
      </c>
      <c r="AJ139" t="s">
        <v>276</v>
      </c>
      <c r="AK139" t="s">
        <v>277</v>
      </c>
      <c r="AL139">
        <v>1</v>
      </c>
      <c r="AN139">
        <v>137</v>
      </c>
      <c r="AO139">
        <v>0</v>
      </c>
      <c r="AP139">
        <f t="shared" si="38"/>
        <v>3</v>
      </c>
      <c r="AR139">
        <v>1</v>
      </c>
      <c r="AS139">
        <v>0</v>
      </c>
      <c r="AT139">
        <v>0</v>
      </c>
      <c r="AU139">
        <v>0</v>
      </c>
      <c r="AW139">
        <v>0</v>
      </c>
      <c r="AY139" t="str">
        <f t="shared" si="39"/>
        <v>1</v>
      </c>
      <c r="BA139" s="13" t="str">
        <f t="shared" si="55"/>
        <v>('SIW200G M105 W0', 1, 380, 440, 175, 19, 60, -25, 'CONVECÇÃO NATURAL', 'IP65', 'TRANSFORMERLESS', 10500, 10500, 220, 47.7, 47.7, 50, 3, 3, 1),</v>
      </c>
      <c r="BB139" t="str">
        <f t="shared" si="56"/>
        <v xml:space="preserve">(137, 0, 1, 600, 120, 550, 80, 550, 225, 360, 18, 14), </v>
      </c>
      <c r="BC139" t="str">
        <f t="shared" si="57"/>
        <v>(137, 'ON-GRID'),</v>
      </c>
      <c r="BD139" t="str">
        <f t="shared" si="58"/>
        <v/>
      </c>
      <c r="BE139" t="str">
        <f t="shared" si="59"/>
        <v/>
      </c>
      <c r="BF139" t="str">
        <f t="shared" si="60"/>
        <v/>
      </c>
      <c r="BG139" t="str">
        <f t="shared" si="61"/>
        <v>(137, 'WIFI'),</v>
      </c>
      <c r="BH139" t="str">
        <f t="shared" si="62"/>
        <v>(137, 'RS485'),</v>
      </c>
      <c r="BI139" t="str">
        <f t="shared" si="63"/>
        <v>(137, 'DISPLAY'),</v>
      </c>
      <c r="BJ139" t="str">
        <f t="shared" si="64"/>
        <v>(137, 'LED'),</v>
      </c>
      <c r="BK139" t="str">
        <f t="shared" si="65"/>
        <v>(137, 'USB'),</v>
      </c>
      <c r="BL139" t="str">
        <f t="shared" si="66"/>
        <v/>
      </c>
      <c r="BM139" t="str">
        <f t="shared" si="67"/>
        <v/>
      </c>
      <c r="BN139" t="str">
        <f t="shared" si="68"/>
        <v/>
      </c>
      <c r="BO139" t="str">
        <f t="shared" si="69"/>
        <v>(137, 'SINGLE_PHASE'),</v>
      </c>
    </row>
    <row r="140" spans="1:67">
      <c r="A140" s="2" t="s">
        <v>418</v>
      </c>
      <c r="B140" s="3" t="s">
        <v>212</v>
      </c>
      <c r="C140" s="3">
        <v>145</v>
      </c>
      <c r="D140" s="3">
        <v>400</v>
      </c>
      <c r="E140" s="3">
        <v>419</v>
      </c>
      <c r="F140" s="3">
        <v>15.5</v>
      </c>
      <c r="G140" s="3" t="s">
        <v>275</v>
      </c>
      <c r="H140" s="3">
        <v>1</v>
      </c>
      <c r="I140" s="3">
        <v>1</v>
      </c>
      <c r="J140" s="3">
        <v>1</v>
      </c>
      <c r="K140" s="3">
        <v>1</v>
      </c>
      <c r="L140" s="3">
        <v>1</v>
      </c>
      <c r="M140" s="3">
        <v>3000</v>
      </c>
      <c r="N140" s="3">
        <v>3300</v>
      </c>
      <c r="O140" s="3">
        <v>1</v>
      </c>
      <c r="P140" s="3">
        <v>2</v>
      </c>
      <c r="Q140" s="3">
        <v>600</v>
      </c>
      <c r="R140" s="3">
        <v>120</v>
      </c>
      <c r="S140" s="3">
        <v>550</v>
      </c>
      <c r="T140" s="3">
        <v>80</v>
      </c>
      <c r="U140" s="3">
        <v>550</v>
      </c>
      <c r="V140" s="3">
        <v>130</v>
      </c>
      <c r="W140" s="3">
        <v>360</v>
      </c>
      <c r="X140" s="3">
        <v>18</v>
      </c>
      <c r="Y140" s="3">
        <v>14</v>
      </c>
      <c r="Z140" s="3">
        <v>1</v>
      </c>
      <c r="AA140" s="3">
        <v>0</v>
      </c>
      <c r="AB140" s="3">
        <v>0</v>
      </c>
      <c r="AC140" s="3">
        <v>220</v>
      </c>
      <c r="AE140" s="4">
        <v>14.3</v>
      </c>
      <c r="AF140">
        <v>13</v>
      </c>
      <c r="AG140">
        <v>50</v>
      </c>
      <c r="AH140">
        <v>60</v>
      </c>
      <c r="AI140">
        <v>-25</v>
      </c>
      <c r="AJ140" t="s">
        <v>276</v>
      </c>
      <c r="AK140" t="s">
        <v>277</v>
      </c>
      <c r="AL140">
        <v>1</v>
      </c>
      <c r="AN140">
        <v>138</v>
      </c>
      <c r="AO140">
        <v>0</v>
      </c>
      <c r="AP140">
        <f t="shared" ref="AP140:AP177" si="70">O140*P140</f>
        <v>2</v>
      </c>
      <c r="AR140">
        <v>1</v>
      </c>
      <c r="AS140">
        <v>0</v>
      </c>
      <c r="AT140">
        <v>0</v>
      </c>
      <c r="AU140">
        <v>0</v>
      </c>
      <c r="AW140">
        <v>0</v>
      </c>
      <c r="AY140" t="str">
        <f t="shared" ref="AY140:AY182" si="71">IF(B140="WEG","1",IF(B140="HUAWEI","2",IF(B140="FOX ESS","3",IF(B140="GOODWE","4",IF(B140="PHB","5",IF(B140="ASTRONERGY","6",IF(B140="BYD","7",IF(B140="HUASUN","8",IF(B140="JA SOLAR","9",IF(B140="JINKO","10",IF(B140="LONGI","11",IF(B140="RISEN","12",IF(B140="SUNOVA","13",IF(B140="TALESUN","14",IF(B140="TRINA SOLAR","15","NÃO CADASTRADO")))))))))))))))</f>
        <v>1</v>
      </c>
      <c r="BA140" s="13" t="str">
        <f t="shared" si="55"/>
        <v>('SIW200G M030 W1', 1, 400, 419, 145, 15.5, 60, -25, 'CONVECÇÃO NATURAL', 'IP65', 'TRANSFORMERLESS', 3000, 3300, 220, 13, 14.3, 50, 2, 2, 1),</v>
      </c>
      <c r="BB140" t="str">
        <f t="shared" si="56"/>
        <v xml:space="preserve">(138, 0, 1, 600, 120, 550, 80, 550, 130, 360, 18, 14), </v>
      </c>
      <c r="BC140" t="str">
        <f t="shared" si="57"/>
        <v>(138, 'ON-GRID'),</v>
      </c>
      <c r="BD140" t="str">
        <f t="shared" si="58"/>
        <v/>
      </c>
      <c r="BE140" t="str">
        <f t="shared" si="59"/>
        <v/>
      </c>
      <c r="BF140" t="str">
        <f t="shared" si="60"/>
        <v/>
      </c>
      <c r="BG140" t="str">
        <f t="shared" si="61"/>
        <v>(138, 'WIFI'),</v>
      </c>
      <c r="BH140" t="str">
        <f t="shared" si="62"/>
        <v>(138, 'RS485'),</v>
      </c>
      <c r="BI140" t="str">
        <f t="shared" si="63"/>
        <v>(138, 'DISPLAY'),</v>
      </c>
      <c r="BJ140" t="str">
        <f t="shared" si="64"/>
        <v>(138, 'LED'),</v>
      </c>
      <c r="BK140" t="str">
        <f t="shared" si="65"/>
        <v>(138, 'USB'),</v>
      </c>
      <c r="BL140" t="str">
        <f t="shared" si="66"/>
        <v/>
      </c>
      <c r="BM140" t="str">
        <f t="shared" si="67"/>
        <v/>
      </c>
      <c r="BN140" t="str">
        <f t="shared" si="68"/>
        <v/>
      </c>
      <c r="BO140" t="str">
        <f t="shared" si="69"/>
        <v>(138, 'SINGLE_PHASE'),</v>
      </c>
    </row>
    <row r="141" spans="1:67">
      <c r="A141" s="2" t="s">
        <v>419</v>
      </c>
      <c r="B141" s="3" t="s">
        <v>212</v>
      </c>
      <c r="C141" s="3">
        <v>145</v>
      </c>
      <c r="D141" s="3">
        <v>400</v>
      </c>
      <c r="E141" s="3">
        <v>419</v>
      </c>
      <c r="F141" s="3">
        <v>15.5</v>
      </c>
      <c r="G141" s="3" t="s">
        <v>275</v>
      </c>
      <c r="H141" s="3">
        <v>1</v>
      </c>
      <c r="I141" s="3">
        <v>1</v>
      </c>
      <c r="J141" s="3">
        <v>1</v>
      </c>
      <c r="K141" s="3">
        <v>1</v>
      </c>
      <c r="L141" s="3">
        <v>1</v>
      </c>
      <c r="M141" s="3">
        <v>5000</v>
      </c>
      <c r="N141" s="3">
        <v>5500</v>
      </c>
      <c r="O141" s="3">
        <v>1</v>
      </c>
      <c r="P141" s="3">
        <v>2</v>
      </c>
      <c r="Q141" s="3">
        <v>600</v>
      </c>
      <c r="R141" s="3">
        <v>120</v>
      </c>
      <c r="S141" s="3">
        <v>550</v>
      </c>
      <c r="T141" s="3">
        <v>80</v>
      </c>
      <c r="U141" s="3">
        <v>550</v>
      </c>
      <c r="V141" s="3">
        <v>210</v>
      </c>
      <c r="W141" s="3">
        <v>360</v>
      </c>
      <c r="X141" s="3">
        <v>18</v>
      </c>
      <c r="Y141" s="3">
        <v>14</v>
      </c>
      <c r="Z141" s="3">
        <v>1</v>
      </c>
      <c r="AA141" s="3">
        <v>0</v>
      </c>
      <c r="AB141" s="3">
        <v>0</v>
      </c>
      <c r="AC141" s="3">
        <v>220</v>
      </c>
      <c r="AE141" s="4">
        <v>23.9</v>
      </c>
      <c r="AF141">
        <v>21.7</v>
      </c>
      <c r="AG141">
        <v>50</v>
      </c>
      <c r="AH141">
        <v>60</v>
      </c>
      <c r="AI141">
        <v>-25</v>
      </c>
      <c r="AJ141" t="s">
        <v>276</v>
      </c>
      <c r="AK141" t="s">
        <v>277</v>
      </c>
      <c r="AL141">
        <v>1</v>
      </c>
      <c r="AN141">
        <v>139</v>
      </c>
      <c r="AO141">
        <v>0</v>
      </c>
      <c r="AP141">
        <f t="shared" si="70"/>
        <v>2</v>
      </c>
      <c r="AR141">
        <v>1</v>
      </c>
      <c r="AS141">
        <v>0</v>
      </c>
      <c r="AT141">
        <v>0</v>
      </c>
      <c r="AU141">
        <v>0</v>
      </c>
      <c r="AW141">
        <v>0</v>
      </c>
      <c r="AY141" t="str">
        <f t="shared" si="71"/>
        <v>1</v>
      </c>
      <c r="BA141" s="13" t="str">
        <f t="shared" si="55"/>
        <v>('SIW200G M050 W1', 1, 400, 419, 145, 15.5, 60, -25, 'CONVECÇÃO NATURAL', 'IP65', 'TRANSFORMERLESS', 5000, 5500, 220, 21.7, 23.9, 50, 2, 2, 1),</v>
      </c>
      <c r="BB141" t="str">
        <f t="shared" si="56"/>
        <v xml:space="preserve">(139, 0, 1, 600, 120, 550, 80, 550, 210, 360, 18, 14), </v>
      </c>
      <c r="BC141" t="str">
        <f t="shared" si="57"/>
        <v>(139, 'ON-GRID'),</v>
      </c>
      <c r="BD141" t="str">
        <f t="shared" si="58"/>
        <v/>
      </c>
      <c r="BE141" t="str">
        <f t="shared" si="59"/>
        <v/>
      </c>
      <c r="BF141" t="str">
        <f t="shared" si="60"/>
        <v/>
      </c>
      <c r="BG141" t="str">
        <f t="shared" si="61"/>
        <v>(139, 'WIFI'),</v>
      </c>
      <c r="BH141" t="str">
        <f t="shared" si="62"/>
        <v>(139, 'RS485'),</v>
      </c>
      <c r="BI141" t="str">
        <f t="shared" si="63"/>
        <v>(139, 'DISPLAY'),</v>
      </c>
      <c r="BJ141" t="str">
        <f t="shared" si="64"/>
        <v>(139, 'LED'),</v>
      </c>
      <c r="BK141" t="str">
        <f t="shared" si="65"/>
        <v>(139, 'USB'),</v>
      </c>
      <c r="BL141" t="str">
        <f t="shared" si="66"/>
        <v/>
      </c>
      <c r="BM141" t="str">
        <f t="shared" si="67"/>
        <v/>
      </c>
      <c r="BN141" t="str">
        <f t="shared" si="68"/>
        <v/>
      </c>
      <c r="BO141" t="str">
        <f t="shared" si="69"/>
        <v>(139, 'SINGLE_PHASE'),</v>
      </c>
    </row>
    <row r="142" spans="1:67">
      <c r="A142" s="2" t="s">
        <v>420</v>
      </c>
      <c r="B142" s="3" t="s">
        <v>212</v>
      </c>
      <c r="C142" s="3">
        <v>145</v>
      </c>
      <c r="D142" s="3">
        <v>400</v>
      </c>
      <c r="E142" s="3">
        <v>419</v>
      </c>
      <c r="F142" s="3">
        <v>15.5</v>
      </c>
      <c r="G142" s="3" t="s">
        <v>275</v>
      </c>
      <c r="H142" s="3">
        <v>1</v>
      </c>
      <c r="I142" s="3">
        <v>1</v>
      </c>
      <c r="J142" s="3">
        <v>1</v>
      </c>
      <c r="K142" s="3">
        <v>1</v>
      </c>
      <c r="L142" s="3">
        <v>1</v>
      </c>
      <c r="M142" s="3">
        <v>6000</v>
      </c>
      <c r="N142" s="3">
        <v>6000</v>
      </c>
      <c r="O142" s="3">
        <v>1</v>
      </c>
      <c r="P142" s="3">
        <v>2</v>
      </c>
      <c r="Q142" s="3">
        <v>600</v>
      </c>
      <c r="R142" s="3">
        <v>120</v>
      </c>
      <c r="S142" s="3">
        <v>550</v>
      </c>
      <c r="T142" s="3">
        <v>80</v>
      </c>
      <c r="U142" s="3">
        <v>550</v>
      </c>
      <c r="V142" s="3">
        <v>250</v>
      </c>
      <c r="W142" s="3">
        <v>360</v>
      </c>
      <c r="X142" s="3">
        <v>18</v>
      </c>
      <c r="Y142" s="3">
        <v>14</v>
      </c>
      <c r="Z142" s="3">
        <v>1</v>
      </c>
      <c r="AA142" s="3">
        <v>0</v>
      </c>
      <c r="AB142" s="3">
        <v>0</v>
      </c>
      <c r="AC142" s="3">
        <v>220</v>
      </c>
      <c r="AE142" s="4">
        <v>26.1</v>
      </c>
      <c r="AF142">
        <v>26.1</v>
      </c>
      <c r="AG142">
        <v>50</v>
      </c>
      <c r="AH142">
        <v>60</v>
      </c>
      <c r="AI142">
        <v>-25</v>
      </c>
      <c r="AJ142" t="s">
        <v>276</v>
      </c>
      <c r="AK142" t="s">
        <v>277</v>
      </c>
      <c r="AL142">
        <v>1</v>
      </c>
      <c r="AN142">
        <v>140</v>
      </c>
      <c r="AO142">
        <v>0</v>
      </c>
      <c r="AP142">
        <f t="shared" si="70"/>
        <v>2</v>
      </c>
      <c r="AR142">
        <v>1</v>
      </c>
      <c r="AS142">
        <v>0</v>
      </c>
      <c r="AT142">
        <v>0</v>
      </c>
      <c r="AU142">
        <v>0</v>
      </c>
      <c r="AW142">
        <v>0</v>
      </c>
      <c r="AY142" t="str">
        <f t="shared" si="71"/>
        <v>1</v>
      </c>
      <c r="BA142" s="13" t="str">
        <f t="shared" si="55"/>
        <v>('SIW200G M060 W1', 1, 400, 419, 145, 15.5, 60, -25, 'CONVECÇÃO NATURAL', 'IP65', 'TRANSFORMERLESS', 6000, 6000, 220, 26.1, 26.1, 50, 2, 2, 1),</v>
      </c>
      <c r="BB142" t="str">
        <f t="shared" si="56"/>
        <v xml:space="preserve">(140, 0, 1, 600, 120, 550, 80, 550, 250, 360, 18, 14), </v>
      </c>
      <c r="BC142" t="str">
        <f t="shared" si="57"/>
        <v>(140, 'ON-GRID'),</v>
      </c>
      <c r="BD142" t="str">
        <f t="shared" si="58"/>
        <v/>
      </c>
      <c r="BE142" t="str">
        <f t="shared" si="59"/>
        <v/>
      </c>
      <c r="BF142" t="str">
        <f t="shared" si="60"/>
        <v/>
      </c>
      <c r="BG142" t="str">
        <f t="shared" si="61"/>
        <v>(140, 'WIFI'),</v>
      </c>
      <c r="BH142" t="str">
        <f t="shared" si="62"/>
        <v>(140, 'RS485'),</v>
      </c>
      <c r="BI142" t="str">
        <f t="shared" si="63"/>
        <v>(140, 'DISPLAY'),</v>
      </c>
      <c r="BJ142" t="str">
        <f t="shared" si="64"/>
        <v>(140, 'LED'),</v>
      </c>
      <c r="BK142" t="str">
        <f t="shared" si="65"/>
        <v>(140, 'USB'),</v>
      </c>
      <c r="BL142" t="str">
        <f t="shared" si="66"/>
        <v/>
      </c>
      <c r="BM142" t="str">
        <f t="shared" si="67"/>
        <v/>
      </c>
      <c r="BN142" t="str">
        <f t="shared" si="68"/>
        <v/>
      </c>
      <c r="BO142" t="str">
        <f t="shared" si="69"/>
        <v>(140, 'SINGLE_PHASE'),</v>
      </c>
    </row>
    <row r="143" spans="1:67">
      <c r="A143" s="2" t="s">
        <v>421</v>
      </c>
      <c r="B143" s="3" t="s">
        <v>212</v>
      </c>
      <c r="C143" s="3">
        <v>175</v>
      </c>
      <c r="D143" s="3">
        <v>380</v>
      </c>
      <c r="E143" s="3">
        <v>440</v>
      </c>
      <c r="F143" s="3">
        <v>19</v>
      </c>
      <c r="G143" s="3" t="s">
        <v>275</v>
      </c>
      <c r="H143" s="3">
        <v>1</v>
      </c>
      <c r="I143" s="3">
        <v>1</v>
      </c>
      <c r="J143" s="3">
        <v>1</v>
      </c>
      <c r="K143" s="3">
        <v>1</v>
      </c>
      <c r="L143" s="3">
        <v>1</v>
      </c>
      <c r="M143" s="3">
        <v>7000</v>
      </c>
      <c r="N143" s="3">
        <v>7700</v>
      </c>
      <c r="O143" s="3">
        <v>1</v>
      </c>
      <c r="P143" s="3">
        <v>3</v>
      </c>
      <c r="Q143" s="3">
        <v>600</v>
      </c>
      <c r="R143" s="3">
        <v>120</v>
      </c>
      <c r="S143" s="3">
        <v>550</v>
      </c>
      <c r="T143" s="3">
        <v>80</v>
      </c>
      <c r="U143" s="3">
        <v>550</v>
      </c>
      <c r="V143" s="3">
        <v>225</v>
      </c>
      <c r="W143" s="3">
        <v>360</v>
      </c>
      <c r="X143" s="3">
        <v>18</v>
      </c>
      <c r="Y143" s="3">
        <v>14</v>
      </c>
      <c r="Z143" s="3">
        <v>1</v>
      </c>
      <c r="AA143" s="3">
        <v>0</v>
      </c>
      <c r="AB143" s="3">
        <v>0</v>
      </c>
      <c r="AC143" s="3">
        <v>220</v>
      </c>
      <c r="AE143" s="4">
        <v>35</v>
      </c>
      <c r="AF143">
        <v>31.8</v>
      </c>
      <c r="AG143">
        <v>50</v>
      </c>
      <c r="AH143">
        <v>60</v>
      </c>
      <c r="AI143">
        <v>-25</v>
      </c>
      <c r="AJ143" t="s">
        <v>276</v>
      </c>
      <c r="AK143" t="s">
        <v>277</v>
      </c>
      <c r="AL143">
        <v>1</v>
      </c>
      <c r="AN143">
        <v>141</v>
      </c>
      <c r="AO143">
        <v>0</v>
      </c>
      <c r="AP143">
        <f t="shared" si="70"/>
        <v>3</v>
      </c>
      <c r="AR143">
        <v>1</v>
      </c>
      <c r="AS143">
        <v>0</v>
      </c>
      <c r="AT143">
        <v>0</v>
      </c>
      <c r="AU143">
        <v>0</v>
      </c>
      <c r="AW143">
        <v>0</v>
      </c>
      <c r="AY143" t="str">
        <f t="shared" si="71"/>
        <v>1</v>
      </c>
      <c r="BA143" s="13" t="str">
        <f t="shared" si="55"/>
        <v>('SIW200G M070 W1', 1, 380, 440, 175, 19, 60, -25, 'CONVECÇÃO NATURAL', 'IP65', 'TRANSFORMERLESS', 7000, 7700, 220, 31.8, 35, 50, 3, 3, 1),</v>
      </c>
      <c r="BB143" t="str">
        <f t="shared" si="56"/>
        <v xml:space="preserve">(141, 0, 1, 600, 120, 550, 80, 550, 225, 360, 18, 14), </v>
      </c>
      <c r="BC143" t="str">
        <f t="shared" si="57"/>
        <v>(141, 'ON-GRID'),</v>
      </c>
      <c r="BD143" t="str">
        <f t="shared" si="58"/>
        <v/>
      </c>
      <c r="BE143" t="str">
        <f t="shared" si="59"/>
        <v/>
      </c>
      <c r="BF143" t="str">
        <f t="shared" si="60"/>
        <v/>
      </c>
      <c r="BG143" t="str">
        <f t="shared" si="61"/>
        <v>(141, 'WIFI'),</v>
      </c>
      <c r="BH143" t="str">
        <f t="shared" si="62"/>
        <v>(141, 'RS485'),</v>
      </c>
      <c r="BI143" t="str">
        <f t="shared" si="63"/>
        <v>(141, 'DISPLAY'),</v>
      </c>
      <c r="BJ143" t="str">
        <f t="shared" si="64"/>
        <v>(141, 'LED'),</v>
      </c>
      <c r="BK143" t="str">
        <f t="shared" si="65"/>
        <v>(141, 'USB'),</v>
      </c>
      <c r="BL143" t="str">
        <f t="shared" si="66"/>
        <v/>
      </c>
      <c r="BM143" t="str">
        <f t="shared" si="67"/>
        <v/>
      </c>
      <c r="BN143" t="str">
        <f t="shared" si="68"/>
        <v/>
      </c>
      <c r="BO143" t="str">
        <f t="shared" si="69"/>
        <v>(141, 'SINGLE_PHASE'),</v>
      </c>
    </row>
    <row r="144" spans="1:67">
      <c r="A144" s="2" t="s">
        <v>422</v>
      </c>
      <c r="B144" s="3" t="s">
        <v>212</v>
      </c>
      <c r="C144" s="3">
        <v>175</v>
      </c>
      <c r="D144" s="3">
        <v>380</v>
      </c>
      <c r="E144" s="3">
        <v>440</v>
      </c>
      <c r="F144" s="3">
        <v>19</v>
      </c>
      <c r="G144" s="3" t="s">
        <v>275</v>
      </c>
      <c r="H144" s="3">
        <v>1</v>
      </c>
      <c r="I144" s="3">
        <v>1</v>
      </c>
      <c r="J144" s="3">
        <v>1</v>
      </c>
      <c r="K144" s="3">
        <v>1</v>
      </c>
      <c r="L144" s="3">
        <v>1</v>
      </c>
      <c r="M144" s="3">
        <v>7500</v>
      </c>
      <c r="N144" s="3">
        <v>7500</v>
      </c>
      <c r="O144" s="3">
        <v>1</v>
      </c>
      <c r="P144" s="3">
        <v>3</v>
      </c>
      <c r="Q144" s="3">
        <v>600</v>
      </c>
      <c r="R144" s="3">
        <v>120</v>
      </c>
      <c r="S144" s="3">
        <v>550</v>
      </c>
      <c r="T144" s="3">
        <v>80</v>
      </c>
      <c r="U144" s="3">
        <v>550</v>
      </c>
      <c r="V144" s="3">
        <v>225</v>
      </c>
      <c r="W144" s="3">
        <v>360</v>
      </c>
      <c r="X144" s="3">
        <v>18</v>
      </c>
      <c r="Y144" s="3">
        <v>14</v>
      </c>
      <c r="Z144" s="3">
        <v>1</v>
      </c>
      <c r="AA144" s="3">
        <v>0</v>
      </c>
      <c r="AB144" s="3">
        <v>0</v>
      </c>
      <c r="AC144" s="3">
        <v>220</v>
      </c>
      <c r="AE144" s="4">
        <v>34.1</v>
      </c>
      <c r="AF144">
        <v>34.1</v>
      </c>
      <c r="AG144">
        <v>50</v>
      </c>
      <c r="AH144">
        <v>60</v>
      </c>
      <c r="AI144">
        <v>-25</v>
      </c>
      <c r="AJ144" t="s">
        <v>276</v>
      </c>
      <c r="AK144" t="s">
        <v>277</v>
      </c>
      <c r="AL144">
        <v>1</v>
      </c>
      <c r="AN144">
        <v>142</v>
      </c>
      <c r="AO144">
        <v>0</v>
      </c>
      <c r="AP144">
        <f t="shared" si="70"/>
        <v>3</v>
      </c>
      <c r="AR144">
        <v>1</v>
      </c>
      <c r="AS144">
        <v>0</v>
      </c>
      <c r="AT144">
        <v>0</v>
      </c>
      <c r="AU144">
        <v>0</v>
      </c>
      <c r="AW144">
        <v>0</v>
      </c>
      <c r="AY144" t="str">
        <f t="shared" si="71"/>
        <v>1</v>
      </c>
      <c r="BA144" s="13" t="str">
        <f t="shared" si="55"/>
        <v>('SIW200G M075 W1', 1, 380, 440, 175, 19, 60, -25, 'CONVECÇÃO NATURAL', 'IP65', 'TRANSFORMERLESS', 7500, 7500, 220, 34.1, 34.1, 50, 3, 3, 1),</v>
      </c>
      <c r="BB144" t="str">
        <f t="shared" si="56"/>
        <v xml:space="preserve">(142, 0, 1, 600, 120, 550, 80, 550, 225, 360, 18, 14), </v>
      </c>
      <c r="BC144" t="str">
        <f t="shared" si="57"/>
        <v>(142, 'ON-GRID'),</v>
      </c>
      <c r="BD144" t="str">
        <f t="shared" si="58"/>
        <v/>
      </c>
      <c r="BE144" t="str">
        <f t="shared" si="59"/>
        <v/>
      </c>
      <c r="BF144" t="str">
        <f t="shared" si="60"/>
        <v/>
      </c>
      <c r="BG144" t="str">
        <f t="shared" si="61"/>
        <v>(142, 'WIFI'),</v>
      </c>
      <c r="BH144" t="str">
        <f t="shared" si="62"/>
        <v>(142, 'RS485'),</v>
      </c>
      <c r="BI144" t="str">
        <f t="shared" si="63"/>
        <v>(142, 'DISPLAY'),</v>
      </c>
      <c r="BJ144" t="str">
        <f t="shared" si="64"/>
        <v>(142, 'LED'),</v>
      </c>
      <c r="BK144" t="str">
        <f t="shared" si="65"/>
        <v>(142, 'USB'),</v>
      </c>
      <c r="BL144" t="str">
        <f t="shared" si="66"/>
        <v/>
      </c>
      <c r="BM144" t="str">
        <f t="shared" si="67"/>
        <v/>
      </c>
      <c r="BN144" t="str">
        <f t="shared" si="68"/>
        <v/>
      </c>
      <c r="BO144" t="str">
        <f t="shared" si="69"/>
        <v>(142, 'SINGLE_PHASE'),</v>
      </c>
    </row>
    <row r="145" spans="1:67">
      <c r="A145" s="2" t="s">
        <v>423</v>
      </c>
      <c r="B145" s="3" t="s">
        <v>212</v>
      </c>
      <c r="C145" s="3">
        <v>175</v>
      </c>
      <c r="D145" s="3">
        <v>380</v>
      </c>
      <c r="E145" s="3">
        <v>440</v>
      </c>
      <c r="F145" s="3">
        <v>19</v>
      </c>
      <c r="G145" s="3" t="s">
        <v>275</v>
      </c>
      <c r="H145" s="3">
        <v>1</v>
      </c>
      <c r="I145" s="3">
        <v>1</v>
      </c>
      <c r="J145" s="3">
        <v>1</v>
      </c>
      <c r="K145" s="3">
        <v>1</v>
      </c>
      <c r="L145" s="3">
        <v>1</v>
      </c>
      <c r="M145" s="3">
        <v>8000</v>
      </c>
      <c r="N145" s="3">
        <v>8800</v>
      </c>
      <c r="O145" s="3">
        <v>1</v>
      </c>
      <c r="P145" s="3">
        <v>3</v>
      </c>
      <c r="Q145" s="3">
        <v>600</v>
      </c>
      <c r="R145" s="3">
        <v>120</v>
      </c>
      <c r="S145" s="3">
        <v>550</v>
      </c>
      <c r="T145" s="3">
        <v>80</v>
      </c>
      <c r="U145" s="3">
        <v>550</v>
      </c>
      <c r="V145" s="3">
        <v>225</v>
      </c>
      <c r="W145" s="3">
        <v>360</v>
      </c>
      <c r="X145" s="3">
        <v>18</v>
      </c>
      <c r="Y145" s="3">
        <v>14</v>
      </c>
      <c r="Z145" s="3">
        <v>1</v>
      </c>
      <c r="AA145" s="3">
        <v>0</v>
      </c>
      <c r="AB145" s="3">
        <v>0</v>
      </c>
      <c r="AC145" s="3">
        <v>220</v>
      </c>
      <c r="AE145" s="4">
        <v>40</v>
      </c>
      <c r="AF145">
        <v>36.4</v>
      </c>
      <c r="AG145">
        <v>50</v>
      </c>
      <c r="AH145">
        <v>60</v>
      </c>
      <c r="AI145">
        <v>-25</v>
      </c>
      <c r="AJ145" t="s">
        <v>276</v>
      </c>
      <c r="AK145" t="s">
        <v>277</v>
      </c>
      <c r="AL145">
        <v>1</v>
      </c>
      <c r="AN145">
        <v>143</v>
      </c>
      <c r="AO145">
        <v>0</v>
      </c>
      <c r="AP145">
        <f t="shared" si="70"/>
        <v>3</v>
      </c>
      <c r="AR145">
        <v>1</v>
      </c>
      <c r="AS145">
        <v>0</v>
      </c>
      <c r="AT145">
        <v>0</v>
      </c>
      <c r="AU145">
        <v>0</v>
      </c>
      <c r="AW145">
        <v>0</v>
      </c>
      <c r="AY145" t="str">
        <f t="shared" si="71"/>
        <v>1</v>
      </c>
      <c r="BA145" s="13" t="str">
        <f t="shared" si="55"/>
        <v>('SIW200G M080 W1', 1, 380, 440, 175, 19, 60, -25, 'CONVECÇÃO NATURAL', 'IP65', 'TRANSFORMERLESS', 8000, 8800, 220, 36.4, 40, 50, 3, 3, 1),</v>
      </c>
      <c r="BB145" t="str">
        <f t="shared" si="56"/>
        <v xml:space="preserve">(143, 0, 1, 600, 120, 550, 80, 550, 225, 360, 18, 14), </v>
      </c>
      <c r="BC145" t="str">
        <f t="shared" si="57"/>
        <v>(143, 'ON-GRID'),</v>
      </c>
      <c r="BD145" t="str">
        <f t="shared" si="58"/>
        <v/>
      </c>
      <c r="BE145" t="str">
        <f t="shared" si="59"/>
        <v/>
      </c>
      <c r="BF145" t="str">
        <f t="shared" si="60"/>
        <v/>
      </c>
      <c r="BG145" t="str">
        <f t="shared" si="61"/>
        <v>(143, 'WIFI'),</v>
      </c>
      <c r="BH145" t="str">
        <f t="shared" si="62"/>
        <v>(143, 'RS485'),</v>
      </c>
      <c r="BI145" t="str">
        <f t="shared" si="63"/>
        <v>(143, 'DISPLAY'),</v>
      </c>
      <c r="BJ145" t="str">
        <f t="shared" si="64"/>
        <v>(143, 'LED'),</v>
      </c>
      <c r="BK145" t="str">
        <f t="shared" si="65"/>
        <v>(143, 'USB'),</v>
      </c>
      <c r="BL145" t="str">
        <f t="shared" si="66"/>
        <v/>
      </c>
      <c r="BM145" t="str">
        <f t="shared" si="67"/>
        <v/>
      </c>
      <c r="BN145" t="str">
        <f t="shared" si="68"/>
        <v/>
      </c>
      <c r="BO145" t="str">
        <f t="shared" si="69"/>
        <v>(143, 'SINGLE_PHASE'),</v>
      </c>
    </row>
    <row r="146" spans="1:67">
      <c r="A146" s="2" t="s">
        <v>424</v>
      </c>
      <c r="B146" s="3" t="s">
        <v>212</v>
      </c>
      <c r="C146" s="3">
        <v>175</v>
      </c>
      <c r="D146" s="3">
        <v>380</v>
      </c>
      <c r="E146" s="3">
        <v>440</v>
      </c>
      <c r="F146" s="3">
        <v>19</v>
      </c>
      <c r="G146" s="3" t="s">
        <v>275</v>
      </c>
      <c r="H146" s="3">
        <v>1</v>
      </c>
      <c r="I146" s="3">
        <v>1</v>
      </c>
      <c r="J146" s="3">
        <v>1</v>
      </c>
      <c r="K146" s="3">
        <v>1</v>
      </c>
      <c r="L146" s="3">
        <v>1</v>
      </c>
      <c r="M146" s="3">
        <v>9000</v>
      </c>
      <c r="N146" s="3">
        <v>9900</v>
      </c>
      <c r="O146" s="3">
        <v>1</v>
      </c>
      <c r="P146" s="3">
        <v>3</v>
      </c>
      <c r="Q146" s="3">
        <v>600</v>
      </c>
      <c r="R146" s="3">
        <v>120</v>
      </c>
      <c r="S146" s="3">
        <v>550</v>
      </c>
      <c r="T146" s="3">
        <v>80</v>
      </c>
      <c r="U146" s="3">
        <v>550</v>
      </c>
      <c r="V146" s="3">
        <v>225</v>
      </c>
      <c r="W146" s="3">
        <v>360</v>
      </c>
      <c r="X146" s="3">
        <v>18</v>
      </c>
      <c r="Y146" s="3">
        <v>14</v>
      </c>
      <c r="Z146" s="3">
        <v>1</v>
      </c>
      <c r="AA146" s="3">
        <v>0</v>
      </c>
      <c r="AB146" s="3">
        <v>0</v>
      </c>
      <c r="AC146" s="3">
        <v>220</v>
      </c>
      <c r="AE146" s="4">
        <v>45</v>
      </c>
      <c r="AF146">
        <v>40.9</v>
      </c>
      <c r="AG146">
        <v>50</v>
      </c>
      <c r="AH146">
        <v>60</v>
      </c>
      <c r="AI146">
        <v>-25</v>
      </c>
      <c r="AJ146" t="s">
        <v>276</v>
      </c>
      <c r="AK146" t="s">
        <v>277</v>
      </c>
      <c r="AL146">
        <v>1</v>
      </c>
      <c r="AN146">
        <v>144</v>
      </c>
      <c r="AO146">
        <v>0</v>
      </c>
      <c r="AP146">
        <f t="shared" si="70"/>
        <v>3</v>
      </c>
      <c r="AR146">
        <v>1</v>
      </c>
      <c r="AS146">
        <v>0</v>
      </c>
      <c r="AT146">
        <v>0</v>
      </c>
      <c r="AU146">
        <v>0</v>
      </c>
      <c r="AW146">
        <v>0</v>
      </c>
      <c r="AY146" t="str">
        <f t="shared" si="71"/>
        <v>1</v>
      </c>
      <c r="BA146" s="13" t="str">
        <f t="shared" si="55"/>
        <v>('SIW200G M090 W1', 1, 380, 440, 175, 19, 60, -25, 'CONVECÇÃO NATURAL', 'IP65', 'TRANSFORMERLESS', 9000, 9900, 220, 40.9, 45, 50, 3, 3, 1),</v>
      </c>
      <c r="BB146" t="str">
        <f t="shared" si="56"/>
        <v xml:space="preserve">(144, 0, 1, 600, 120, 550, 80, 550, 225, 360, 18, 14), </v>
      </c>
      <c r="BC146" t="str">
        <f t="shared" si="57"/>
        <v>(144, 'ON-GRID'),</v>
      </c>
      <c r="BD146" t="str">
        <f t="shared" si="58"/>
        <v/>
      </c>
      <c r="BE146" t="str">
        <f t="shared" si="59"/>
        <v/>
      </c>
      <c r="BF146" t="str">
        <f t="shared" si="60"/>
        <v/>
      </c>
      <c r="BG146" t="str">
        <f t="shared" si="61"/>
        <v>(144, 'WIFI'),</v>
      </c>
      <c r="BH146" t="str">
        <f t="shared" si="62"/>
        <v>(144, 'RS485'),</v>
      </c>
      <c r="BI146" t="str">
        <f t="shared" si="63"/>
        <v>(144, 'DISPLAY'),</v>
      </c>
      <c r="BJ146" t="str">
        <f t="shared" si="64"/>
        <v>(144, 'LED'),</v>
      </c>
      <c r="BK146" t="str">
        <f t="shared" si="65"/>
        <v>(144, 'USB'),</v>
      </c>
      <c r="BL146" t="str">
        <f t="shared" si="66"/>
        <v/>
      </c>
      <c r="BM146" t="str">
        <f t="shared" si="67"/>
        <v/>
      </c>
      <c r="BN146" t="str">
        <f t="shared" si="68"/>
        <v/>
      </c>
      <c r="BO146" t="str">
        <f t="shared" si="69"/>
        <v>(144, 'SINGLE_PHASE'),</v>
      </c>
    </row>
    <row r="147" spans="1:67">
      <c r="A147" s="2" t="s">
        <v>425</v>
      </c>
      <c r="B147" s="3" t="s">
        <v>212</v>
      </c>
      <c r="C147" s="3">
        <v>175</v>
      </c>
      <c r="D147" s="3">
        <v>380</v>
      </c>
      <c r="E147" s="3">
        <v>440</v>
      </c>
      <c r="F147" s="3">
        <v>19</v>
      </c>
      <c r="G147" s="3" t="s">
        <v>275</v>
      </c>
      <c r="H147" s="3">
        <v>1</v>
      </c>
      <c r="I147" s="3">
        <v>1</v>
      </c>
      <c r="J147" s="3">
        <v>1</v>
      </c>
      <c r="K147" s="3">
        <v>1</v>
      </c>
      <c r="L147" s="3">
        <v>1</v>
      </c>
      <c r="M147" s="3">
        <v>10500</v>
      </c>
      <c r="N147" s="3">
        <v>10500</v>
      </c>
      <c r="O147" s="3">
        <v>1</v>
      </c>
      <c r="P147" s="3">
        <v>3</v>
      </c>
      <c r="Q147" s="3">
        <v>600</v>
      </c>
      <c r="R147" s="3">
        <v>120</v>
      </c>
      <c r="S147" s="3">
        <v>550</v>
      </c>
      <c r="T147" s="3">
        <v>80</v>
      </c>
      <c r="U147" s="3">
        <v>550</v>
      </c>
      <c r="V147" s="3">
        <v>225</v>
      </c>
      <c r="W147" s="3">
        <v>360</v>
      </c>
      <c r="X147" s="3">
        <v>18</v>
      </c>
      <c r="Y147" s="3">
        <v>14</v>
      </c>
      <c r="Z147" s="3">
        <v>1</v>
      </c>
      <c r="AA147" s="3">
        <v>0</v>
      </c>
      <c r="AB147" s="3">
        <v>0</v>
      </c>
      <c r="AC147" s="3">
        <v>220</v>
      </c>
      <c r="AE147" s="4">
        <v>47.7</v>
      </c>
      <c r="AF147">
        <v>47.7</v>
      </c>
      <c r="AG147">
        <v>50</v>
      </c>
      <c r="AH147">
        <v>60</v>
      </c>
      <c r="AI147">
        <v>-25</v>
      </c>
      <c r="AJ147" t="s">
        <v>276</v>
      </c>
      <c r="AK147" t="s">
        <v>277</v>
      </c>
      <c r="AL147">
        <v>1</v>
      </c>
      <c r="AN147">
        <v>145</v>
      </c>
      <c r="AO147">
        <v>0</v>
      </c>
      <c r="AP147">
        <f t="shared" si="70"/>
        <v>3</v>
      </c>
      <c r="AR147">
        <v>1</v>
      </c>
      <c r="AS147">
        <v>0</v>
      </c>
      <c r="AT147">
        <v>0</v>
      </c>
      <c r="AU147">
        <v>0</v>
      </c>
      <c r="AW147">
        <v>0</v>
      </c>
      <c r="AY147" t="str">
        <f t="shared" si="71"/>
        <v>1</v>
      </c>
      <c r="BA147" s="13" t="str">
        <f t="shared" si="55"/>
        <v>('SIW200G M105 W1', 1, 380, 440, 175, 19, 60, -25, 'CONVECÇÃO NATURAL', 'IP65', 'TRANSFORMERLESS', 10500, 10500, 220, 47.7, 47.7, 50, 3, 3, 1),</v>
      </c>
      <c r="BB147" t="str">
        <f t="shared" si="56"/>
        <v xml:space="preserve">(145, 0, 1, 600, 120, 550, 80, 550, 225, 360, 18, 14), </v>
      </c>
      <c r="BC147" t="str">
        <f t="shared" si="57"/>
        <v>(145, 'ON-GRID'),</v>
      </c>
      <c r="BD147" t="str">
        <f t="shared" si="58"/>
        <v/>
      </c>
      <c r="BE147" t="str">
        <f t="shared" si="59"/>
        <v/>
      </c>
      <c r="BF147" t="str">
        <f t="shared" si="60"/>
        <v/>
      </c>
      <c r="BG147" t="str">
        <f t="shared" si="61"/>
        <v>(145, 'WIFI'),</v>
      </c>
      <c r="BH147" t="str">
        <f t="shared" si="62"/>
        <v>(145, 'RS485'),</v>
      </c>
      <c r="BI147" t="str">
        <f t="shared" si="63"/>
        <v>(145, 'DISPLAY'),</v>
      </c>
      <c r="BJ147" t="str">
        <f t="shared" si="64"/>
        <v>(145, 'LED'),</v>
      </c>
      <c r="BK147" t="str">
        <f t="shared" si="65"/>
        <v>(145, 'USB'),</v>
      </c>
      <c r="BL147" t="str">
        <f t="shared" si="66"/>
        <v/>
      </c>
      <c r="BM147" t="str">
        <f t="shared" si="67"/>
        <v/>
      </c>
      <c r="BN147" t="str">
        <f t="shared" si="68"/>
        <v/>
      </c>
      <c r="BO147" t="str">
        <f t="shared" si="69"/>
        <v>(145, 'SINGLE_PHASE'),</v>
      </c>
    </row>
    <row r="148" spans="1:67">
      <c r="A148" s="2" t="s">
        <v>426</v>
      </c>
      <c r="B148" s="3" t="s">
        <v>212</v>
      </c>
      <c r="C148" s="3">
        <v>185</v>
      </c>
      <c r="D148" s="3">
        <v>434</v>
      </c>
      <c r="E148" s="3">
        <v>418</v>
      </c>
      <c r="F148" s="3">
        <v>22</v>
      </c>
      <c r="G148" s="3" t="s">
        <v>275</v>
      </c>
      <c r="H148" s="3">
        <v>1</v>
      </c>
      <c r="I148" s="3">
        <v>1</v>
      </c>
      <c r="J148" s="3">
        <v>1</v>
      </c>
      <c r="K148" s="3">
        <v>1</v>
      </c>
      <c r="L148" s="3">
        <v>1</v>
      </c>
      <c r="M148" s="3">
        <v>3000</v>
      </c>
      <c r="N148" s="3">
        <v>3300</v>
      </c>
      <c r="O148" s="3">
        <v>1</v>
      </c>
      <c r="P148" s="3">
        <v>2</v>
      </c>
      <c r="Q148" s="3">
        <v>600</v>
      </c>
      <c r="R148" s="3">
        <v>75</v>
      </c>
      <c r="S148" s="3">
        <v>550</v>
      </c>
      <c r="T148" s="3">
        <v>80</v>
      </c>
      <c r="U148" s="3">
        <v>550</v>
      </c>
      <c r="V148" s="3">
        <v>80</v>
      </c>
      <c r="W148" s="3">
        <v>360</v>
      </c>
      <c r="X148" s="3">
        <v>20</v>
      </c>
      <c r="Y148" s="3">
        <v>16</v>
      </c>
      <c r="Z148" s="3">
        <v>1</v>
      </c>
      <c r="AA148" s="3">
        <v>0</v>
      </c>
      <c r="AB148" s="3">
        <v>0</v>
      </c>
      <c r="AC148" s="3">
        <v>220</v>
      </c>
      <c r="AE148" s="4">
        <v>15</v>
      </c>
      <c r="AF148">
        <v>13.6</v>
      </c>
      <c r="AG148">
        <v>100</v>
      </c>
      <c r="AH148">
        <v>60</v>
      </c>
      <c r="AI148">
        <v>-25</v>
      </c>
      <c r="AJ148" t="s">
        <v>276</v>
      </c>
      <c r="AK148" t="s">
        <v>277</v>
      </c>
      <c r="AL148">
        <v>1</v>
      </c>
      <c r="AN148">
        <v>146</v>
      </c>
      <c r="AO148">
        <v>0</v>
      </c>
      <c r="AP148">
        <f t="shared" si="70"/>
        <v>2</v>
      </c>
      <c r="AR148">
        <v>1</v>
      </c>
      <c r="AS148">
        <v>0</v>
      </c>
      <c r="AT148">
        <v>0</v>
      </c>
      <c r="AU148">
        <v>1</v>
      </c>
      <c r="AW148">
        <v>0</v>
      </c>
      <c r="AY148" t="str">
        <f t="shared" si="71"/>
        <v>1</v>
      </c>
      <c r="BA148" s="13" t="str">
        <f t="shared" si="55"/>
        <v>('SIW200H M030 W00', 1, 434, 418, 185, 22, 60, -25, 'CONVECÇÃO NATURAL', 'IP65', 'TRANSFORMERLESS', 3000, 3300, 220, 13.6, 15, 100, 2, 2, 1),</v>
      </c>
      <c r="BB148" t="str">
        <f t="shared" si="56"/>
        <v xml:space="preserve">(146, 0, 1, 600, 75, 550, 80, 550, 80, 360, 20, 16), </v>
      </c>
      <c r="BC148" t="str">
        <f t="shared" si="57"/>
        <v>(146, 'ON-GRID'),</v>
      </c>
      <c r="BD148" t="str">
        <f t="shared" si="58"/>
        <v/>
      </c>
      <c r="BE148" t="str">
        <f t="shared" si="59"/>
        <v/>
      </c>
      <c r="BF148" t="str">
        <f t="shared" si="60"/>
        <v>(146, 'HYBRID'),</v>
      </c>
      <c r="BG148" t="str">
        <f t="shared" si="61"/>
        <v>(146, 'WIFI'),</v>
      </c>
      <c r="BH148" t="str">
        <f t="shared" si="62"/>
        <v>(146, 'RS485'),</v>
      </c>
      <c r="BI148" t="str">
        <f t="shared" si="63"/>
        <v>(146, 'DISPLAY'),</v>
      </c>
      <c r="BJ148" t="str">
        <f t="shared" si="64"/>
        <v>(146, 'LED'),</v>
      </c>
      <c r="BK148" t="str">
        <f t="shared" si="65"/>
        <v>(146, 'USB'),</v>
      </c>
      <c r="BL148" t="str">
        <f t="shared" si="66"/>
        <v/>
      </c>
      <c r="BM148" t="str">
        <f t="shared" si="67"/>
        <v/>
      </c>
      <c r="BN148" t="str">
        <f t="shared" si="68"/>
        <v/>
      </c>
      <c r="BO148" t="str">
        <f t="shared" si="69"/>
        <v>(146, 'SINGLE_PHASE'),</v>
      </c>
    </row>
    <row r="149" spans="1:67">
      <c r="A149" s="2" t="s">
        <v>427</v>
      </c>
      <c r="B149" s="3" t="s">
        <v>212</v>
      </c>
      <c r="C149" s="3">
        <v>185</v>
      </c>
      <c r="D149" s="3">
        <v>434</v>
      </c>
      <c r="E149" s="3">
        <v>418</v>
      </c>
      <c r="F149" s="3">
        <v>22</v>
      </c>
      <c r="G149" s="3" t="s">
        <v>275</v>
      </c>
      <c r="H149" s="3">
        <v>1</v>
      </c>
      <c r="I149" s="3">
        <v>1</v>
      </c>
      <c r="J149" s="3">
        <v>1</v>
      </c>
      <c r="K149" s="3">
        <v>1</v>
      </c>
      <c r="L149" s="3">
        <v>1</v>
      </c>
      <c r="M149" s="3">
        <v>3680</v>
      </c>
      <c r="N149" s="3">
        <v>4048</v>
      </c>
      <c r="O149" s="3">
        <v>1</v>
      </c>
      <c r="P149" s="3">
        <v>2</v>
      </c>
      <c r="Q149" s="3">
        <v>600</v>
      </c>
      <c r="R149" s="3">
        <v>75</v>
      </c>
      <c r="S149" s="3">
        <v>550</v>
      </c>
      <c r="T149" s="3">
        <v>80</v>
      </c>
      <c r="U149" s="3">
        <v>550</v>
      </c>
      <c r="V149" s="3">
        <v>80</v>
      </c>
      <c r="W149" s="3">
        <v>360</v>
      </c>
      <c r="X149" s="3">
        <v>20</v>
      </c>
      <c r="Y149" s="3">
        <v>16</v>
      </c>
      <c r="Z149" s="3">
        <v>1</v>
      </c>
      <c r="AA149" s="3">
        <v>0</v>
      </c>
      <c r="AB149" s="3">
        <v>0</v>
      </c>
      <c r="AC149" s="3">
        <v>220</v>
      </c>
      <c r="AE149" s="4">
        <v>18.399999999999999</v>
      </c>
      <c r="AF149">
        <v>16.7</v>
      </c>
      <c r="AG149">
        <v>100</v>
      </c>
      <c r="AH149">
        <v>60</v>
      </c>
      <c r="AI149">
        <v>-25</v>
      </c>
      <c r="AJ149" t="s">
        <v>276</v>
      </c>
      <c r="AK149" t="s">
        <v>277</v>
      </c>
      <c r="AL149">
        <v>1</v>
      </c>
      <c r="AN149">
        <v>147</v>
      </c>
      <c r="AO149">
        <v>0</v>
      </c>
      <c r="AP149">
        <f t="shared" si="70"/>
        <v>2</v>
      </c>
      <c r="AR149">
        <v>1</v>
      </c>
      <c r="AS149">
        <v>0</v>
      </c>
      <c r="AT149">
        <v>0</v>
      </c>
      <c r="AU149">
        <v>1</v>
      </c>
      <c r="AW149">
        <v>0</v>
      </c>
      <c r="AY149" t="str">
        <f t="shared" si="71"/>
        <v>1</v>
      </c>
      <c r="BA149" s="13" t="str">
        <f t="shared" si="55"/>
        <v>('SIW200H M037 W00', 1, 434, 418, 185, 22, 60, -25, 'CONVECÇÃO NATURAL', 'IP65', 'TRANSFORMERLESS', 3680, 4048, 220, 16.7, 18.4, 100, 2, 2, 1),</v>
      </c>
      <c r="BB149" t="str">
        <f t="shared" si="56"/>
        <v xml:space="preserve">(147, 0, 1, 600, 75, 550, 80, 550, 80, 360, 20, 16), </v>
      </c>
      <c r="BC149" t="str">
        <f t="shared" si="57"/>
        <v>(147, 'ON-GRID'),</v>
      </c>
      <c r="BD149" t="str">
        <f t="shared" si="58"/>
        <v/>
      </c>
      <c r="BE149" t="str">
        <f t="shared" si="59"/>
        <v/>
      </c>
      <c r="BF149" t="str">
        <f t="shared" si="60"/>
        <v>(147, 'HYBRID'),</v>
      </c>
      <c r="BG149" t="str">
        <f t="shared" si="61"/>
        <v>(147, 'WIFI'),</v>
      </c>
      <c r="BH149" t="str">
        <f t="shared" si="62"/>
        <v>(147, 'RS485'),</v>
      </c>
      <c r="BI149" t="str">
        <f t="shared" si="63"/>
        <v>(147, 'DISPLAY'),</v>
      </c>
      <c r="BJ149" t="str">
        <f t="shared" si="64"/>
        <v>(147, 'LED'),</v>
      </c>
      <c r="BK149" t="str">
        <f t="shared" si="65"/>
        <v>(147, 'USB'),</v>
      </c>
      <c r="BL149" t="str">
        <f t="shared" si="66"/>
        <v/>
      </c>
      <c r="BM149" t="str">
        <f t="shared" si="67"/>
        <v/>
      </c>
      <c r="BN149" t="str">
        <f t="shared" si="68"/>
        <v/>
      </c>
      <c r="BO149" t="str">
        <f t="shared" si="69"/>
        <v>(147, 'SINGLE_PHASE'),</v>
      </c>
    </row>
    <row r="150" spans="1:67">
      <c r="A150" s="2" t="s">
        <v>428</v>
      </c>
      <c r="B150" s="3" t="s">
        <v>212</v>
      </c>
      <c r="C150" s="3">
        <v>185</v>
      </c>
      <c r="D150" s="3">
        <v>434</v>
      </c>
      <c r="E150" s="3">
        <v>418</v>
      </c>
      <c r="F150" s="3">
        <v>22</v>
      </c>
      <c r="G150" s="3" t="s">
        <v>275</v>
      </c>
      <c r="H150" s="3">
        <v>1</v>
      </c>
      <c r="I150" s="3">
        <v>1</v>
      </c>
      <c r="J150" s="3">
        <v>1</v>
      </c>
      <c r="K150" s="3">
        <v>1</v>
      </c>
      <c r="L150" s="3">
        <v>1</v>
      </c>
      <c r="M150" s="3">
        <v>4600</v>
      </c>
      <c r="N150" s="3">
        <v>5060</v>
      </c>
      <c r="O150" s="3">
        <v>1</v>
      </c>
      <c r="P150" s="3">
        <v>2</v>
      </c>
      <c r="Q150" s="3">
        <v>600</v>
      </c>
      <c r="R150" s="3">
        <v>75</v>
      </c>
      <c r="S150" s="3">
        <v>550</v>
      </c>
      <c r="T150" s="3">
        <v>80</v>
      </c>
      <c r="U150" s="3">
        <v>550</v>
      </c>
      <c r="V150" s="3">
        <v>80</v>
      </c>
      <c r="W150" s="3">
        <v>360</v>
      </c>
      <c r="X150" s="3">
        <v>20</v>
      </c>
      <c r="Y150" s="3">
        <v>16</v>
      </c>
      <c r="Z150" s="3">
        <v>1</v>
      </c>
      <c r="AA150" s="3">
        <v>0</v>
      </c>
      <c r="AB150" s="3">
        <v>0</v>
      </c>
      <c r="AC150" s="3">
        <v>220</v>
      </c>
      <c r="AE150" s="4">
        <v>23</v>
      </c>
      <c r="AF150">
        <v>20.9</v>
      </c>
      <c r="AG150">
        <v>100</v>
      </c>
      <c r="AH150">
        <v>60</v>
      </c>
      <c r="AI150">
        <v>-25</v>
      </c>
      <c r="AJ150" t="s">
        <v>276</v>
      </c>
      <c r="AK150" t="s">
        <v>277</v>
      </c>
      <c r="AL150">
        <v>1</v>
      </c>
      <c r="AN150">
        <v>148</v>
      </c>
      <c r="AO150">
        <v>0</v>
      </c>
      <c r="AP150">
        <f t="shared" si="70"/>
        <v>2</v>
      </c>
      <c r="AR150">
        <v>1</v>
      </c>
      <c r="AS150">
        <v>0</v>
      </c>
      <c r="AT150">
        <v>0</v>
      </c>
      <c r="AU150">
        <v>1</v>
      </c>
      <c r="AW150">
        <v>0</v>
      </c>
      <c r="AY150" t="str">
        <f t="shared" si="71"/>
        <v>1</v>
      </c>
      <c r="BA150" s="13" t="str">
        <f t="shared" si="55"/>
        <v>('SIW200H M046 W00', 1, 434, 418, 185, 22, 60, -25, 'CONVECÇÃO NATURAL', 'IP65', 'TRANSFORMERLESS', 4600, 5060, 220, 20.9, 23, 100, 2, 2, 1),</v>
      </c>
      <c r="BB150" t="str">
        <f t="shared" si="56"/>
        <v xml:space="preserve">(148, 0, 1, 600, 75, 550, 80, 550, 80, 360, 20, 16), </v>
      </c>
      <c r="BC150" t="str">
        <f t="shared" si="57"/>
        <v>(148, 'ON-GRID'),</v>
      </c>
      <c r="BD150" t="str">
        <f t="shared" si="58"/>
        <v/>
      </c>
      <c r="BE150" t="str">
        <f t="shared" si="59"/>
        <v/>
      </c>
      <c r="BF150" t="str">
        <f t="shared" si="60"/>
        <v>(148, 'HYBRID'),</v>
      </c>
      <c r="BG150" t="str">
        <f t="shared" si="61"/>
        <v>(148, 'WIFI'),</v>
      </c>
      <c r="BH150" t="str">
        <f t="shared" si="62"/>
        <v>(148, 'RS485'),</v>
      </c>
      <c r="BI150" t="str">
        <f t="shared" si="63"/>
        <v>(148, 'DISPLAY'),</v>
      </c>
      <c r="BJ150" t="str">
        <f t="shared" si="64"/>
        <v>(148, 'LED'),</v>
      </c>
      <c r="BK150" t="str">
        <f t="shared" si="65"/>
        <v>(148, 'USB'),</v>
      </c>
      <c r="BL150" t="str">
        <f t="shared" si="66"/>
        <v/>
      </c>
      <c r="BM150" t="str">
        <f t="shared" si="67"/>
        <v/>
      </c>
      <c r="BN150" t="str">
        <f t="shared" si="68"/>
        <v/>
      </c>
      <c r="BO150" t="str">
        <f t="shared" si="69"/>
        <v>(148, 'SINGLE_PHASE'),</v>
      </c>
    </row>
    <row r="151" spans="1:67">
      <c r="A151" s="2" t="s">
        <v>429</v>
      </c>
      <c r="B151" s="3" t="s">
        <v>212</v>
      </c>
      <c r="C151" s="3">
        <v>185</v>
      </c>
      <c r="D151" s="3">
        <v>434</v>
      </c>
      <c r="E151" s="3">
        <v>418</v>
      </c>
      <c r="F151" s="3">
        <v>22</v>
      </c>
      <c r="G151" s="3" t="s">
        <v>275</v>
      </c>
      <c r="H151" s="3">
        <v>1</v>
      </c>
      <c r="I151" s="3">
        <v>1</v>
      </c>
      <c r="J151" s="3">
        <v>1</v>
      </c>
      <c r="K151" s="3">
        <v>1</v>
      </c>
      <c r="L151" s="3">
        <v>1</v>
      </c>
      <c r="M151" s="3">
        <v>5000</v>
      </c>
      <c r="N151" s="3">
        <v>5500</v>
      </c>
      <c r="O151" s="3">
        <v>1</v>
      </c>
      <c r="P151" s="3">
        <v>2</v>
      </c>
      <c r="Q151" s="3">
        <v>600</v>
      </c>
      <c r="R151" s="3">
        <v>75</v>
      </c>
      <c r="S151" s="3">
        <v>550</v>
      </c>
      <c r="T151" s="3">
        <v>80</v>
      </c>
      <c r="U151" s="3">
        <v>550</v>
      </c>
      <c r="V151" s="3">
        <v>80</v>
      </c>
      <c r="W151" s="3">
        <v>360</v>
      </c>
      <c r="X151" s="3">
        <v>20</v>
      </c>
      <c r="Y151" s="3">
        <v>16</v>
      </c>
      <c r="Z151" s="3">
        <v>1</v>
      </c>
      <c r="AA151" s="3">
        <v>0</v>
      </c>
      <c r="AB151" s="3">
        <v>0</v>
      </c>
      <c r="AC151" s="3">
        <v>220</v>
      </c>
      <c r="AE151" s="4">
        <v>25</v>
      </c>
      <c r="AF151">
        <v>22.7</v>
      </c>
      <c r="AG151">
        <v>100</v>
      </c>
      <c r="AH151">
        <v>60</v>
      </c>
      <c r="AI151">
        <v>-25</v>
      </c>
      <c r="AJ151" t="s">
        <v>276</v>
      </c>
      <c r="AK151" t="s">
        <v>277</v>
      </c>
      <c r="AL151">
        <v>1</v>
      </c>
      <c r="AN151">
        <v>149</v>
      </c>
      <c r="AO151">
        <v>0</v>
      </c>
      <c r="AP151">
        <v>2</v>
      </c>
      <c r="AR151">
        <v>1</v>
      </c>
      <c r="AS151">
        <v>0</v>
      </c>
      <c r="AT151">
        <v>0</v>
      </c>
      <c r="AU151">
        <v>1</v>
      </c>
      <c r="AW151">
        <v>0</v>
      </c>
      <c r="AY151" t="s">
        <v>430</v>
      </c>
      <c r="BA151" s="13" t="str">
        <f t="shared" si="55"/>
        <v>('SIW200H M050 W00', 1, 434, 418, 185, 22, 60, -25, 'CONVECÇÃO NATURAL', 'IP65', 'TRANSFORMERLESS', 5000, 5500, 220, 22.7, 25, 100, 2, 2, 1),</v>
      </c>
      <c r="BB151" t="str">
        <f t="shared" si="56"/>
        <v xml:space="preserve">(149, 0, 1, 600, 75, 550, 80, 550, 80, 360, 20, 16), </v>
      </c>
      <c r="BC151" t="str">
        <f t="shared" si="57"/>
        <v>(149, 'ON-GRID'),</v>
      </c>
      <c r="BD151" t="str">
        <f t="shared" si="58"/>
        <v/>
      </c>
      <c r="BE151" t="str">
        <f t="shared" si="59"/>
        <v/>
      </c>
      <c r="BF151" t="str">
        <f t="shared" si="60"/>
        <v>(149, 'HYBRID'),</v>
      </c>
      <c r="BG151" t="str">
        <f t="shared" si="61"/>
        <v>(149, 'WIFI'),</v>
      </c>
      <c r="BH151" t="str">
        <f t="shared" si="62"/>
        <v>(149, 'RS485'),</v>
      </c>
      <c r="BI151" t="str">
        <f t="shared" si="63"/>
        <v>(149, 'DISPLAY'),</v>
      </c>
      <c r="BJ151" t="str">
        <f t="shared" si="64"/>
        <v>(149, 'LED'),</v>
      </c>
      <c r="BK151" t="str">
        <f t="shared" si="65"/>
        <v>(149, 'USB'),</v>
      </c>
      <c r="BL151" t="str">
        <f t="shared" si="66"/>
        <v/>
      </c>
      <c r="BM151" t="str">
        <f t="shared" si="67"/>
        <v/>
      </c>
      <c r="BN151" t="str">
        <f t="shared" si="68"/>
        <v/>
      </c>
      <c r="BO151" t="str">
        <f t="shared" si="69"/>
        <v>(149, 'SINGLE_PHASE'),</v>
      </c>
    </row>
    <row r="152" spans="1:67">
      <c r="A152" s="2" t="s">
        <v>431</v>
      </c>
      <c r="B152" s="3" t="s">
        <v>212</v>
      </c>
      <c r="C152" s="3">
        <v>185</v>
      </c>
      <c r="D152" s="3">
        <v>434</v>
      </c>
      <c r="E152" s="3">
        <v>418</v>
      </c>
      <c r="F152" s="3">
        <v>22</v>
      </c>
      <c r="G152" s="3" t="s">
        <v>275</v>
      </c>
      <c r="H152" s="3">
        <v>1</v>
      </c>
      <c r="I152" s="3">
        <v>1</v>
      </c>
      <c r="J152" s="3">
        <v>1</v>
      </c>
      <c r="K152" s="3">
        <v>1</v>
      </c>
      <c r="L152" s="3">
        <v>1</v>
      </c>
      <c r="M152" s="3">
        <v>6000</v>
      </c>
      <c r="N152" s="3">
        <v>6600</v>
      </c>
      <c r="O152" s="3">
        <v>1</v>
      </c>
      <c r="P152" s="3">
        <v>2</v>
      </c>
      <c r="Q152" s="3">
        <v>600</v>
      </c>
      <c r="R152" s="3">
        <v>75</v>
      </c>
      <c r="S152" s="3">
        <v>550</v>
      </c>
      <c r="T152" s="3">
        <v>80</v>
      </c>
      <c r="U152" s="3">
        <v>550</v>
      </c>
      <c r="V152" s="3">
        <v>80</v>
      </c>
      <c r="W152" s="3">
        <v>360</v>
      </c>
      <c r="X152" s="3">
        <v>20</v>
      </c>
      <c r="Y152" s="3">
        <v>16</v>
      </c>
      <c r="Z152" s="3">
        <v>1</v>
      </c>
      <c r="AA152" s="3">
        <v>0</v>
      </c>
      <c r="AB152" s="3">
        <v>0</v>
      </c>
      <c r="AC152" s="3">
        <v>220</v>
      </c>
      <c r="AE152" s="4">
        <v>30</v>
      </c>
      <c r="AF152">
        <v>27.3</v>
      </c>
      <c r="AG152">
        <v>100</v>
      </c>
      <c r="AH152">
        <v>60</v>
      </c>
      <c r="AI152">
        <v>-25</v>
      </c>
      <c r="AJ152" t="s">
        <v>276</v>
      </c>
      <c r="AK152" t="s">
        <v>277</v>
      </c>
      <c r="AL152">
        <v>1</v>
      </c>
      <c r="AN152">
        <v>150</v>
      </c>
      <c r="AO152">
        <v>0</v>
      </c>
      <c r="AP152">
        <f t="shared" si="70"/>
        <v>2</v>
      </c>
      <c r="AR152">
        <v>1</v>
      </c>
      <c r="AS152">
        <v>0</v>
      </c>
      <c r="AT152">
        <v>0</v>
      </c>
      <c r="AU152">
        <v>1</v>
      </c>
      <c r="AW152">
        <v>0</v>
      </c>
      <c r="AY152" t="str">
        <f t="shared" si="71"/>
        <v>1</v>
      </c>
      <c r="BA152" s="13" t="str">
        <f t="shared" si="55"/>
        <v>('SIW200H M060 W00', 1, 434, 418, 185, 22, 60, -25, 'CONVECÇÃO NATURAL', 'IP65', 'TRANSFORMERLESS', 6000, 6600, 220, 27.3, 30, 100, 2, 2, 1),</v>
      </c>
      <c r="BB152" t="str">
        <f t="shared" si="56"/>
        <v xml:space="preserve">(150, 0, 1, 600, 75, 550, 80, 550, 80, 360, 20, 16), </v>
      </c>
      <c r="BC152" t="str">
        <f t="shared" si="57"/>
        <v>(150, 'ON-GRID'),</v>
      </c>
      <c r="BD152" t="str">
        <f t="shared" si="58"/>
        <v/>
      </c>
      <c r="BE152" t="str">
        <f t="shared" si="59"/>
        <v/>
      </c>
      <c r="BF152" t="str">
        <f t="shared" si="60"/>
        <v>(150, 'HYBRID'),</v>
      </c>
      <c r="BG152" t="str">
        <f t="shared" si="61"/>
        <v>(150, 'WIFI'),</v>
      </c>
      <c r="BH152" t="str">
        <f t="shared" si="62"/>
        <v>(150, 'RS485'),</v>
      </c>
      <c r="BI152" t="str">
        <f t="shared" si="63"/>
        <v>(150, 'DISPLAY'),</v>
      </c>
      <c r="BJ152" t="str">
        <f t="shared" si="64"/>
        <v>(150, 'LED'),</v>
      </c>
      <c r="BK152" t="str">
        <f t="shared" si="65"/>
        <v>(150, 'USB'),</v>
      </c>
      <c r="BL152" t="str">
        <f t="shared" si="66"/>
        <v/>
      </c>
      <c r="BM152" t="str">
        <f t="shared" si="67"/>
        <v/>
      </c>
      <c r="BN152" t="str">
        <f t="shared" si="68"/>
        <v/>
      </c>
      <c r="BO152" t="str">
        <f t="shared" si="69"/>
        <v>(150, 'SINGLE_PHASE'),</v>
      </c>
    </row>
    <row r="153" spans="1:67">
      <c r="A153" s="2" t="s">
        <v>432</v>
      </c>
      <c r="B153" s="3" t="s">
        <v>212</v>
      </c>
      <c r="C153" s="3">
        <v>208</v>
      </c>
      <c r="D153" s="3">
        <v>450</v>
      </c>
      <c r="E153" s="3">
        <v>527</v>
      </c>
      <c r="F153" s="3">
        <v>29</v>
      </c>
      <c r="G153" s="3" t="s">
        <v>275</v>
      </c>
      <c r="H153" s="3">
        <v>1</v>
      </c>
      <c r="I153" s="3">
        <v>1</v>
      </c>
      <c r="J153" s="3">
        <v>1</v>
      </c>
      <c r="K153" s="3">
        <v>1</v>
      </c>
      <c r="L153" s="3">
        <v>1</v>
      </c>
      <c r="M153" s="3">
        <v>7000</v>
      </c>
      <c r="N153" s="3">
        <v>7700</v>
      </c>
      <c r="O153" s="3">
        <v>1</v>
      </c>
      <c r="P153" s="3">
        <v>3</v>
      </c>
      <c r="Q153" s="3">
        <v>600</v>
      </c>
      <c r="R153" s="3">
        <v>75</v>
      </c>
      <c r="S153" s="3">
        <v>500</v>
      </c>
      <c r="T153" s="3">
        <v>80</v>
      </c>
      <c r="U153" s="3">
        <v>500</v>
      </c>
      <c r="V153" s="3">
        <v>80</v>
      </c>
      <c r="W153" s="3">
        <v>360</v>
      </c>
      <c r="X153" s="3">
        <v>20</v>
      </c>
      <c r="Y153" s="3">
        <v>16</v>
      </c>
      <c r="Z153" s="3">
        <v>1</v>
      </c>
      <c r="AA153" s="3">
        <v>0</v>
      </c>
      <c r="AB153" s="3">
        <v>0</v>
      </c>
      <c r="AC153" s="3">
        <v>220</v>
      </c>
      <c r="AE153" s="4">
        <v>33.5</v>
      </c>
      <c r="AF153">
        <v>30.4</v>
      </c>
      <c r="AG153">
        <v>100</v>
      </c>
      <c r="AH153">
        <v>60</v>
      </c>
      <c r="AI153">
        <v>-25</v>
      </c>
      <c r="AJ153" t="s">
        <v>276</v>
      </c>
      <c r="AK153" t="s">
        <v>277</v>
      </c>
      <c r="AL153">
        <v>1</v>
      </c>
      <c r="AN153">
        <v>151</v>
      </c>
      <c r="AO153">
        <v>0</v>
      </c>
      <c r="AP153">
        <f t="shared" si="70"/>
        <v>3</v>
      </c>
      <c r="AR153">
        <v>1</v>
      </c>
      <c r="AS153">
        <v>0</v>
      </c>
      <c r="AT153">
        <v>0</v>
      </c>
      <c r="AU153">
        <v>1</v>
      </c>
      <c r="AW153">
        <v>0</v>
      </c>
      <c r="AY153" t="str">
        <f t="shared" si="71"/>
        <v>1</v>
      </c>
      <c r="BA153" s="13" t="str">
        <f t="shared" si="55"/>
        <v>('SIW200H M070 W10', 1, 450, 527, 208, 29, 60, -25, 'CONVECÇÃO NATURAL', 'IP65', 'TRANSFORMERLESS', 7000, 7700, 220, 30.4, 33.5, 100, 3, 3, 1),</v>
      </c>
      <c r="BB153" t="str">
        <f t="shared" si="56"/>
        <v xml:space="preserve">(151, 0, 1, 600, 75, 500, 80, 500, 80, 360, 20, 16), </v>
      </c>
      <c r="BC153" t="str">
        <f t="shared" si="57"/>
        <v>(151, 'ON-GRID'),</v>
      </c>
      <c r="BD153" t="str">
        <f t="shared" si="58"/>
        <v/>
      </c>
      <c r="BE153" t="str">
        <f t="shared" si="59"/>
        <v/>
      </c>
      <c r="BF153" t="str">
        <f t="shared" si="60"/>
        <v>(151, 'HYBRID'),</v>
      </c>
      <c r="BG153" t="str">
        <f t="shared" si="61"/>
        <v>(151, 'WIFI'),</v>
      </c>
      <c r="BH153" t="str">
        <f t="shared" si="62"/>
        <v>(151, 'RS485'),</v>
      </c>
      <c r="BI153" t="str">
        <f t="shared" si="63"/>
        <v>(151, 'DISPLAY'),</v>
      </c>
      <c r="BJ153" t="str">
        <f t="shared" si="64"/>
        <v>(151, 'LED'),</v>
      </c>
      <c r="BK153" t="str">
        <f t="shared" si="65"/>
        <v>(151, 'USB'),</v>
      </c>
      <c r="BL153" t="str">
        <f t="shared" si="66"/>
        <v/>
      </c>
      <c r="BM153" t="str">
        <f t="shared" si="67"/>
        <v/>
      </c>
      <c r="BN153" t="str">
        <f t="shared" si="68"/>
        <v/>
      </c>
      <c r="BO153" t="str">
        <f t="shared" si="69"/>
        <v>(151, 'SINGLE_PHASE'),</v>
      </c>
    </row>
    <row r="154" spans="1:67">
      <c r="A154" s="2" t="s">
        <v>433</v>
      </c>
      <c r="B154" s="3" t="s">
        <v>212</v>
      </c>
      <c r="C154" s="3">
        <v>208</v>
      </c>
      <c r="D154" s="3">
        <v>450</v>
      </c>
      <c r="E154" s="3">
        <v>527</v>
      </c>
      <c r="F154" s="3">
        <v>29</v>
      </c>
      <c r="G154" s="3" t="s">
        <v>275</v>
      </c>
      <c r="H154" s="3">
        <v>1</v>
      </c>
      <c r="I154" s="3">
        <v>1</v>
      </c>
      <c r="J154" s="3">
        <v>1</v>
      </c>
      <c r="K154" s="3">
        <v>1</v>
      </c>
      <c r="L154" s="3">
        <v>1</v>
      </c>
      <c r="M154" s="3">
        <v>7500</v>
      </c>
      <c r="N154" s="3">
        <v>7500</v>
      </c>
      <c r="O154" s="3">
        <v>1</v>
      </c>
      <c r="P154" s="3">
        <v>3</v>
      </c>
      <c r="Q154" s="3">
        <v>600</v>
      </c>
      <c r="R154" s="3">
        <v>75</v>
      </c>
      <c r="S154" s="3">
        <v>500</v>
      </c>
      <c r="T154" s="3">
        <v>80</v>
      </c>
      <c r="U154" s="3">
        <v>500</v>
      </c>
      <c r="V154" s="3">
        <v>80</v>
      </c>
      <c r="W154" s="3">
        <v>360</v>
      </c>
      <c r="X154" s="3">
        <v>20</v>
      </c>
      <c r="Y154" s="3">
        <v>16</v>
      </c>
      <c r="Z154" s="3">
        <v>1</v>
      </c>
      <c r="AA154" s="3">
        <v>0</v>
      </c>
      <c r="AB154" s="3">
        <v>0</v>
      </c>
      <c r="AC154" s="3">
        <v>220</v>
      </c>
      <c r="AE154" s="4">
        <v>34.1</v>
      </c>
      <c r="AF154">
        <v>34.1</v>
      </c>
      <c r="AG154">
        <v>100</v>
      </c>
      <c r="AH154">
        <v>60</v>
      </c>
      <c r="AI154">
        <v>-25</v>
      </c>
      <c r="AJ154" t="s">
        <v>276</v>
      </c>
      <c r="AK154" t="s">
        <v>277</v>
      </c>
      <c r="AL154">
        <v>1</v>
      </c>
      <c r="AN154">
        <v>152</v>
      </c>
      <c r="AO154">
        <v>0</v>
      </c>
      <c r="AP154">
        <f t="shared" si="70"/>
        <v>3</v>
      </c>
      <c r="AR154">
        <v>1</v>
      </c>
      <c r="AS154">
        <v>0</v>
      </c>
      <c r="AT154">
        <v>0</v>
      </c>
      <c r="AU154">
        <v>1</v>
      </c>
      <c r="AW154">
        <v>0</v>
      </c>
      <c r="AY154" t="str">
        <f t="shared" si="71"/>
        <v>1</v>
      </c>
      <c r="BA154" s="13" t="str">
        <f t="shared" si="55"/>
        <v>('SIW200H M075 W10', 1, 450, 527, 208, 29, 60, -25, 'CONVECÇÃO NATURAL', 'IP65', 'TRANSFORMERLESS', 7500, 7500, 220, 34.1, 34.1, 100, 3, 3, 1),</v>
      </c>
      <c r="BB154" t="str">
        <f t="shared" si="56"/>
        <v xml:space="preserve">(152, 0, 1, 600, 75, 500, 80, 500, 80, 360, 20, 16), </v>
      </c>
      <c r="BC154" t="str">
        <f t="shared" si="57"/>
        <v>(152, 'ON-GRID'),</v>
      </c>
      <c r="BD154" t="str">
        <f t="shared" si="58"/>
        <v/>
      </c>
      <c r="BE154" t="str">
        <f t="shared" si="59"/>
        <v/>
      </c>
      <c r="BF154" t="str">
        <f t="shared" si="60"/>
        <v>(152, 'HYBRID'),</v>
      </c>
      <c r="BG154" t="str">
        <f t="shared" si="61"/>
        <v>(152, 'WIFI'),</v>
      </c>
      <c r="BH154" t="str">
        <f t="shared" si="62"/>
        <v>(152, 'RS485'),</v>
      </c>
      <c r="BI154" t="str">
        <f t="shared" si="63"/>
        <v>(152, 'DISPLAY'),</v>
      </c>
      <c r="BJ154" t="str">
        <f t="shared" si="64"/>
        <v>(152, 'LED'),</v>
      </c>
      <c r="BK154" t="str">
        <f t="shared" si="65"/>
        <v>(152, 'USB'),</v>
      </c>
      <c r="BL154" t="str">
        <f t="shared" si="66"/>
        <v/>
      </c>
      <c r="BM154" t="str">
        <f t="shared" si="67"/>
        <v/>
      </c>
      <c r="BN154" t="str">
        <f t="shared" si="68"/>
        <v/>
      </c>
      <c r="BO154" t="str">
        <f t="shared" si="69"/>
        <v>(152, 'SINGLE_PHASE'),</v>
      </c>
    </row>
    <row r="155" spans="1:67">
      <c r="A155" s="2" t="s">
        <v>434</v>
      </c>
      <c r="B155" s="3" t="s">
        <v>212</v>
      </c>
      <c r="C155" s="3">
        <v>208</v>
      </c>
      <c r="D155" s="3">
        <v>450</v>
      </c>
      <c r="E155" s="3">
        <v>527</v>
      </c>
      <c r="F155" s="3">
        <v>29</v>
      </c>
      <c r="G155" s="3" t="s">
        <v>275</v>
      </c>
      <c r="H155" s="3">
        <v>1</v>
      </c>
      <c r="I155" s="3">
        <v>1</v>
      </c>
      <c r="J155" s="3">
        <v>1</v>
      </c>
      <c r="K155" s="3">
        <v>1</v>
      </c>
      <c r="L155" s="3">
        <v>1</v>
      </c>
      <c r="M155" s="3">
        <v>8000</v>
      </c>
      <c r="N155" s="3">
        <v>8800</v>
      </c>
      <c r="O155" s="3">
        <v>1</v>
      </c>
      <c r="P155" s="3">
        <v>3</v>
      </c>
      <c r="Q155" s="3">
        <v>600</v>
      </c>
      <c r="R155" s="3">
        <v>75</v>
      </c>
      <c r="S155" s="3">
        <v>500</v>
      </c>
      <c r="T155" s="3">
        <v>80</v>
      </c>
      <c r="U155" s="3">
        <v>500</v>
      </c>
      <c r="V155" s="3">
        <v>80</v>
      </c>
      <c r="W155" s="3">
        <v>360</v>
      </c>
      <c r="X155" s="3">
        <v>20</v>
      </c>
      <c r="Y155" s="3">
        <v>16</v>
      </c>
      <c r="Z155" s="3">
        <v>1</v>
      </c>
      <c r="AA155" s="3">
        <v>0</v>
      </c>
      <c r="AB155" s="3">
        <v>0</v>
      </c>
      <c r="AC155" s="3">
        <v>220</v>
      </c>
      <c r="AE155" s="4">
        <v>38.299999999999997</v>
      </c>
      <c r="AF155">
        <v>34.799999999999997</v>
      </c>
      <c r="AG155">
        <v>100</v>
      </c>
      <c r="AH155">
        <v>60</v>
      </c>
      <c r="AI155">
        <v>-25</v>
      </c>
      <c r="AJ155" t="s">
        <v>276</v>
      </c>
      <c r="AK155" t="s">
        <v>277</v>
      </c>
      <c r="AL155">
        <v>1</v>
      </c>
      <c r="AN155">
        <v>153</v>
      </c>
      <c r="AO155">
        <v>0</v>
      </c>
      <c r="AP155">
        <f t="shared" si="70"/>
        <v>3</v>
      </c>
      <c r="AR155">
        <v>1</v>
      </c>
      <c r="AS155">
        <v>0</v>
      </c>
      <c r="AT155">
        <v>0</v>
      </c>
      <c r="AU155">
        <v>1</v>
      </c>
      <c r="AW155">
        <v>0</v>
      </c>
      <c r="AY155" t="str">
        <f t="shared" si="71"/>
        <v>1</v>
      </c>
      <c r="BA155" s="13" t="str">
        <f t="shared" si="55"/>
        <v>('SIW200H M080 W10', 1, 450, 527, 208, 29, 60, -25, 'CONVECÇÃO NATURAL', 'IP65', 'TRANSFORMERLESS', 8000, 8800, 220, 34.8, 38.3, 100, 3, 3, 1),</v>
      </c>
      <c r="BB155" t="str">
        <f t="shared" si="56"/>
        <v xml:space="preserve">(153, 0, 1, 600, 75, 500, 80, 500, 80, 360, 20, 16), </v>
      </c>
      <c r="BC155" t="str">
        <f t="shared" si="57"/>
        <v>(153, 'ON-GRID'),</v>
      </c>
      <c r="BD155" t="str">
        <f t="shared" si="58"/>
        <v/>
      </c>
      <c r="BE155" t="str">
        <f t="shared" si="59"/>
        <v/>
      </c>
      <c r="BF155" t="str">
        <f t="shared" si="60"/>
        <v>(153, 'HYBRID'),</v>
      </c>
      <c r="BG155" t="str">
        <f t="shared" si="61"/>
        <v>(153, 'WIFI'),</v>
      </c>
      <c r="BH155" t="str">
        <f t="shared" si="62"/>
        <v>(153, 'RS485'),</v>
      </c>
      <c r="BI155" t="str">
        <f t="shared" si="63"/>
        <v>(153, 'DISPLAY'),</v>
      </c>
      <c r="BJ155" t="str">
        <f t="shared" si="64"/>
        <v>(153, 'LED'),</v>
      </c>
      <c r="BK155" t="str">
        <f t="shared" si="65"/>
        <v>(153, 'USB'),</v>
      </c>
      <c r="BL155" t="str">
        <f t="shared" si="66"/>
        <v/>
      </c>
      <c r="BM155" t="str">
        <f t="shared" si="67"/>
        <v/>
      </c>
      <c r="BN155" t="str">
        <f t="shared" si="68"/>
        <v/>
      </c>
      <c r="BO155" t="str">
        <f t="shared" si="69"/>
        <v>(153, 'SINGLE_PHASE'),</v>
      </c>
    </row>
    <row r="156" spans="1:67">
      <c r="A156" s="2" t="s">
        <v>435</v>
      </c>
      <c r="B156" s="3" t="s">
        <v>212</v>
      </c>
      <c r="C156" s="3">
        <v>208</v>
      </c>
      <c r="D156" s="3">
        <v>450</v>
      </c>
      <c r="E156" s="3">
        <v>527</v>
      </c>
      <c r="F156" s="3">
        <v>29</v>
      </c>
      <c r="G156" s="3" t="s">
        <v>275</v>
      </c>
      <c r="H156" s="3">
        <v>1</v>
      </c>
      <c r="I156" s="3">
        <v>1</v>
      </c>
      <c r="J156" s="3">
        <v>1</v>
      </c>
      <c r="K156" s="3">
        <v>1</v>
      </c>
      <c r="L156" s="3">
        <v>1</v>
      </c>
      <c r="M156" s="3">
        <v>9000</v>
      </c>
      <c r="N156" s="3">
        <v>9900</v>
      </c>
      <c r="O156" s="3">
        <v>1</v>
      </c>
      <c r="P156" s="3">
        <v>4</v>
      </c>
      <c r="Q156" s="3">
        <v>600</v>
      </c>
      <c r="R156" s="3">
        <v>75</v>
      </c>
      <c r="S156" s="3">
        <v>500</v>
      </c>
      <c r="T156" s="3">
        <v>80</v>
      </c>
      <c r="U156" s="3">
        <v>500</v>
      </c>
      <c r="V156" s="3">
        <v>80</v>
      </c>
      <c r="W156" s="3">
        <v>360</v>
      </c>
      <c r="X156" s="3">
        <v>20</v>
      </c>
      <c r="Y156" s="3">
        <v>16</v>
      </c>
      <c r="Z156" s="3">
        <v>1</v>
      </c>
      <c r="AA156" s="3">
        <v>0</v>
      </c>
      <c r="AB156" s="3">
        <v>0</v>
      </c>
      <c r="AC156" s="3">
        <v>220</v>
      </c>
      <c r="AE156" s="4">
        <v>43</v>
      </c>
      <c r="AF156">
        <v>39.1</v>
      </c>
      <c r="AG156">
        <v>100</v>
      </c>
      <c r="AH156">
        <v>60</v>
      </c>
      <c r="AI156">
        <v>-25</v>
      </c>
      <c r="AJ156" t="s">
        <v>276</v>
      </c>
      <c r="AK156" t="s">
        <v>277</v>
      </c>
      <c r="AL156">
        <v>1</v>
      </c>
      <c r="AN156">
        <v>154</v>
      </c>
      <c r="AO156">
        <v>0</v>
      </c>
      <c r="AP156">
        <f t="shared" si="70"/>
        <v>4</v>
      </c>
      <c r="AR156">
        <v>1</v>
      </c>
      <c r="AS156">
        <v>0</v>
      </c>
      <c r="AT156">
        <v>0</v>
      </c>
      <c r="AU156">
        <v>1</v>
      </c>
      <c r="AW156">
        <v>0</v>
      </c>
      <c r="AY156" t="str">
        <f t="shared" si="71"/>
        <v>1</v>
      </c>
      <c r="BA156" s="13" t="str">
        <f t="shared" si="55"/>
        <v>('SIW200H M090 W10', 1, 450, 527, 208, 29, 60, -25, 'CONVECÇÃO NATURAL', 'IP65', 'TRANSFORMERLESS', 9000, 9900, 220, 39.1, 43, 100, 4, 4, 1),</v>
      </c>
      <c r="BB156" t="str">
        <f t="shared" si="56"/>
        <v xml:space="preserve">(154, 0, 1, 600, 75, 500, 80, 500, 80, 360, 20, 16), </v>
      </c>
      <c r="BC156" t="str">
        <f t="shared" si="57"/>
        <v>(154, 'ON-GRID'),</v>
      </c>
      <c r="BD156" t="str">
        <f t="shared" si="58"/>
        <v/>
      </c>
      <c r="BE156" t="str">
        <f t="shared" si="59"/>
        <v/>
      </c>
      <c r="BF156" t="str">
        <f t="shared" si="60"/>
        <v>(154, 'HYBRID'),</v>
      </c>
      <c r="BG156" t="str">
        <f t="shared" si="61"/>
        <v>(154, 'WIFI'),</v>
      </c>
      <c r="BH156" t="str">
        <f t="shared" si="62"/>
        <v>(154, 'RS485'),</v>
      </c>
      <c r="BI156" t="str">
        <f t="shared" si="63"/>
        <v>(154, 'DISPLAY'),</v>
      </c>
      <c r="BJ156" t="str">
        <f t="shared" si="64"/>
        <v>(154, 'LED'),</v>
      </c>
      <c r="BK156" t="str">
        <f t="shared" si="65"/>
        <v>(154, 'USB'),</v>
      </c>
      <c r="BL156" t="str">
        <f t="shared" si="66"/>
        <v/>
      </c>
      <c r="BM156" t="str">
        <f t="shared" si="67"/>
        <v/>
      </c>
      <c r="BN156" t="str">
        <f t="shared" si="68"/>
        <v/>
      </c>
      <c r="BO156" t="str">
        <f t="shared" si="69"/>
        <v>(154, 'SINGLE_PHASE'),</v>
      </c>
    </row>
    <row r="157" spans="1:67">
      <c r="A157" s="2" t="s">
        <v>436</v>
      </c>
      <c r="B157" s="3" t="s">
        <v>212</v>
      </c>
      <c r="C157" s="3">
        <v>208</v>
      </c>
      <c r="D157" s="3">
        <v>450</v>
      </c>
      <c r="E157" s="3">
        <v>527</v>
      </c>
      <c r="F157" s="3">
        <v>29</v>
      </c>
      <c r="G157" s="3" t="s">
        <v>275</v>
      </c>
      <c r="H157" s="3">
        <v>1</v>
      </c>
      <c r="I157" s="3">
        <v>1</v>
      </c>
      <c r="J157" s="3">
        <v>1</v>
      </c>
      <c r="K157" s="3">
        <v>1</v>
      </c>
      <c r="L157" s="3">
        <v>1</v>
      </c>
      <c r="M157" s="3">
        <v>10000</v>
      </c>
      <c r="N157" s="3">
        <v>10500</v>
      </c>
      <c r="O157" s="3">
        <v>1</v>
      </c>
      <c r="P157" s="3">
        <v>4</v>
      </c>
      <c r="Q157" s="3">
        <v>600</v>
      </c>
      <c r="R157" s="3">
        <v>75</v>
      </c>
      <c r="S157" s="3">
        <v>500</v>
      </c>
      <c r="T157" s="3">
        <v>80</v>
      </c>
      <c r="U157" s="3">
        <v>500</v>
      </c>
      <c r="V157" s="3">
        <v>80</v>
      </c>
      <c r="W157" s="3">
        <v>360</v>
      </c>
      <c r="X157" s="3">
        <v>20</v>
      </c>
      <c r="Y157" s="3">
        <v>16</v>
      </c>
      <c r="Z157" s="3">
        <v>1</v>
      </c>
      <c r="AA157" s="3">
        <v>0</v>
      </c>
      <c r="AB157" s="3">
        <v>0</v>
      </c>
      <c r="AC157" s="3">
        <v>220</v>
      </c>
      <c r="AE157" s="4">
        <v>45.7</v>
      </c>
      <c r="AF157">
        <v>43.5</v>
      </c>
      <c r="AG157">
        <v>100</v>
      </c>
      <c r="AH157">
        <v>60</v>
      </c>
      <c r="AI157">
        <v>-25</v>
      </c>
      <c r="AJ157" t="s">
        <v>276</v>
      </c>
      <c r="AK157" t="s">
        <v>277</v>
      </c>
      <c r="AL157">
        <v>1</v>
      </c>
      <c r="AN157">
        <v>155</v>
      </c>
      <c r="AO157">
        <v>0</v>
      </c>
      <c r="AP157">
        <f t="shared" si="70"/>
        <v>4</v>
      </c>
      <c r="AR157">
        <v>1</v>
      </c>
      <c r="AS157">
        <v>0</v>
      </c>
      <c r="AT157">
        <v>0</v>
      </c>
      <c r="AU157">
        <v>1</v>
      </c>
      <c r="AW157">
        <v>0</v>
      </c>
      <c r="AY157" t="str">
        <f t="shared" si="71"/>
        <v>1</v>
      </c>
      <c r="BA157" s="13" t="str">
        <f t="shared" si="55"/>
        <v>('SIW200H M100 W10', 1, 450, 527, 208, 29, 60, -25, 'CONVECÇÃO NATURAL', 'IP65', 'TRANSFORMERLESS', 10000, 10500, 220, 43.5, 45.7, 100, 4, 4, 1),</v>
      </c>
      <c r="BB157" t="str">
        <f t="shared" si="56"/>
        <v xml:space="preserve">(155, 0, 1, 600, 75, 500, 80, 500, 80, 360, 20, 16), </v>
      </c>
      <c r="BC157" t="str">
        <f t="shared" si="57"/>
        <v>(155, 'ON-GRID'),</v>
      </c>
      <c r="BD157" t="str">
        <f t="shared" si="58"/>
        <v/>
      </c>
      <c r="BE157" t="str">
        <f t="shared" si="59"/>
        <v/>
      </c>
      <c r="BF157" t="str">
        <f t="shared" si="60"/>
        <v>(155, 'HYBRID'),</v>
      </c>
      <c r="BG157" t="str">
        <f t="shared" si="61"/>
        <v>(155, 'WIFI'),</v>
      </c>
      <c r="BH157" t="str">
        <f t="shared" si="62"/>
        <v>(155, 'RS485'),</v>
      </c>
      <c r="BI157" t="str">
        <f t="shared" si="63"/>
        <v>(155, 'DISPLAY'),</v>
      </c>
      <c r="BJ157" t="str">
        <f t="shared" si="64"/>
        <v>(155, 'LED'),</v>
      </c>
      <c r="BK157" t="str">
        <f t="shared" si="65"/>
        <v>(155, 'USB'),</v>
      </c>
      <c r="BL157" t="str">
        <f t="shared" si="66"/>
        <v/>
      </c>
      <c r="BM157" t="str">
        <f t="shared" si="67"/>
        <v/>
      </c>
      <c r="BN157" t="str">
        <f t="shared" si="68"/>
        <v/>
      </c>
      <c r="BO157" t="str">
        <f t="shared" si="69"/>
        <v>(155, 'SINGLE_PHASE'),</v>
      </c>
    </row>
    <row r="158" spans="1:67">
      <c r="A158" s="2" t="s">
        <v>437</v>
      </c>
      <c r="B158" s="3" t="s">
        <v>212</v>
      </c>
      <c r="C158" s="3">
        <v>208</v>
      </c>
      <c r="D158" s="3">
        <v>450</v>
      </c>
      <c r="E158" s="3">
        <v>527</v>
      </c>
      <c r="F158" s="3">
        <v>29</v>
      </c>
      <c r="G158" s="3" t="s">
        <v>275</v>
      </c>
      <c r="H158" s="3">
        <v>1</v>
      </c>
      <c r="I158" s="3">
        <v>1</v>
      </c>
      <c r="J158" s="3">
        <v>1</v>
      </c>
      <c r="K158" s="3">
        <v>1</v>
      </c>
      <c r="L158" s="3">
        <v>1</v>
      </c>
      <c r="M158" s="3">
        <v>10500</v>
      </c>
      <c r="N158" s="3">
        <v>10500</v>
      </c>
      <c r="O158" s="3">
        <v>1</v>
      </c>
      <c r="P158" s="3">
        <v>4</v>
      </c>
      <c r="Q158" s="3">
        <v>600</v>
      </c>
      <c r="R158" s="3">
        <v>75</v>
      </c>
      <c r="S158" s="3">
        <v>500</v>
      </c>
      <c r="T158" s="3">
        <v>80</v>
      </c>
      <c r="U158" s="3">
        <v>500</v>
      </c>
      <c r="V158" s="3">
        <v>80</v>
      </c>
      <c r="W158" s="3">
        <v>360</v>
      </c>
      <c r="X158" s="3">
        <v>20</v>
      </c>
      <c r="Y158" s="3">
        <v>16</v>
      </c>
      <c r="Z158" s="3">
        <v>1</v>
      </c>
      <c r="AA158" s="3">
        <v>0</v>
      </c>
      <c r="AB158" s="3">
        <v>0</v>
      </c>
      <c r="AC158" s="3">
        <v>220</v>
      </c>
      <c r="AE158" s="4">
        <v>47.7</v>
      </c>
      <c r="AF158">
        <v>45.7</v>
      </c>
      <c r="AG158">
        <v>100</v>
      </c>
      <c r="AH158">
        <v>60</v>
      </c>
      <c r="AI158">
        <v>-25</v>
      </c>
      <c r="AJ158" t="s">
        <v>276</v>
      </c>
      <c r="AK158" t="s">
        <v>277</v>
      </c>
      <c r="AL158">
        <v>1</v>
      </c>
      <c r="AN158">
        <v>156</v>
      </c>
      <c r="AO158">
        <v>0</v>
      </c>
      <c r="AP158">
        <f t="shared" si="70"/>
        <v>4</v>
      </c>
      <c r="AR158">
        <v>1</v>
      </c>
      <c r="AS158">
        <v>0</v>
      </c>
      <c r="AT158">
        <v>0</v>
      </c>
      <c r="AU158">
        <v>1</v>
      </c>
      <c r="AW158">
        <v>0</v>
      </c>
      <c r="AY158" t="str">
        <f t="shared" si="71"/>
        <v>1</v>
      </c>
      <c r="BA158" s="13" t="str">
        <f t="shared" si="55"/>
        <v>('SIW200H M105 W10', 1, 450, 527, 208, 29, 60, -25, 'CONVECÇÃO NATURAL', 'IP65', 'TRANSFORMERLESS', 10500, 10500, 220, 45.7, 47.7, 100, 4, 4, 1),</v>
      </c>
      <c r="BB158" t="str">
        <f t="shared" si="56"/>
        <v xml:space="preserve">(156, 0, 1, 600, 75, 500, 80, 500, 80, 360, 20, 16), </v>
      </c>
      <c r="BC158" t="str">
        <f t="shared" si="57"/>
        <v>(156, 'ON-GRID'),</v>
      </c>
      <c r="BD158" t="str">
        <f t="shared" si="58"/>
        <v/>
      </c>
      <c r="BE158" t="str">
        <f t="shared" si="59"/>
        <v/>
      </c>
      <c r="BF158" t="str">
        <f t="shared" si="60"/>
        <v>(156, 'HYBRID'),</v>
      </c>
      <c r="BG158" t="str">
        <f t="shared" si="61"/>
        <v>(156, 'WIFI'),</v>
      </c>
      <c r="BH158" t="str">
        <f t="shared" si="62"/>
        <v>(156, 'RS485'),</v>
      </c>
      <c r="BI158" t="str">
        <f t="shared" si="63"/>
        <v>(156, 'DISPLAY'),</v>
      </c>
      <c r="BJ158" t="str">
        <f t="shared" si="64"/>
        <v>(156, 'LED'),</v>
      </c>
      <c r="BK158" t="str">
        <f t="shared" si="65"/>
        <v>(156, 'USB'),</v>
      </c>
      <c r="BL158" t="str">
        <f t="shared" si="66"/>
        <v/>
      </c>
      <c r="BM158" t="str">
        <f t="shared" si="67"/>
        <v/>
      </c>
      <c r="BN158" t="str">
        <f t="shared" si="68"/>
        <v/>
      </c>
      <c r="BO158" t="str">
        <f t="shared" si="69"/>
        <v>(156, 'SINGLE_PHASE'),</v>
      </c>
    </row>
    <row r="159" spans="1:67">
      <c r="A159" s="2" t="s">
        <v>438</v>
      </c>
      <c r="B159" s="3" t="s">
        <v>212</v>
      </c>
      <c r="C159" s="3">
        <v>140</v>
      </c>
      <c r="D159" s="3">
        <v>365</v>
      </c>
      <c r="E159" s="3">
        <v>365</v>
      </c>
      <c r="F159" s="3">
        <v>12.3</v>
      </c>
      <c r="G159" s="3" t="s">
        <v>275</v>
      </c>
      <c r="H159" s="3">
        <v>1</v>
      </c>
      <c r="I159" s="3">
        <v>1</v>
      </c>
      <c r="J159" s="3">
        <v>0</v>
      </c>
      <c r="K159" s="3">
        <v>1</v>
      </c>
      <c r="L159" s="3">
        <v>0</v>
      </c>
      <c r="M159" s="3">
        <v>3000</v>
      </c>
      <c r="N159" s="3">
        <v>3300</v>
      </c>
      <c r="O159" s="3">
        <v>1</v>
      </c>
      <c r="P159" s="3">
        <v>2</v>
      </c>
      <c r="Q159" s="3">
        <v>600</v>
      </c>
      <c r="R159" s="3">
        <v>100</v>
      </c>
      <c r="S159" s="3">
        <v>560</v>
      </c>
      <c r="T159" s="3">
        <v>90</v>
      </c>
      <c r="U159" s="3">
        <v>560</v>
      </c>
      <c r="V159" s="3">
        <v>90</v>
      </c>
      <c r="W159" s="3">
        <v>360</v>
      </c>
      <c r="X159" s="3">
        <v>18</v>
      </c>
      <c r="Y159" s="3">
        <v>12.5</v>
      </c>
      <c r="Z159" s="3">
        <v>1</v>
      </c>
      <c r="AA159" s="3">
        <v>0</v>
      </c>
      <c r="AB159" s="3">
        <v>0</v>
      </c>
      <c r="AC159" s="3">
        <v>220</v>
      </c>
      <c r="AE159" s="4">
        <v>15</v>
      </c>
      <c r="AF159">
        <v>15</v>
      </c>
      <c r="AG159">
        <v>50</v>
      </c>
      <c r="AH159">
        <v>60</v>
      </c>
      <c r="AI159">
        <v>-25</v>
      </c>
      <c r="AJ159" t="s">
        <v>276</v>
      </c>
      <c r="AK159" t="s">
        <v>277</v>
      </c>
      <c r="AL159">
        <v>1</v>
      </c>
      <c r="AN159">
        <v>157</v>
      </c>
      <c r="AO159">
        <v>0</v>
      </c>
      <c r="AP159">
        <f t="shared" si="70"/>
        <v>2</v>
      </c>
      <c r="AR159">
        <v>1</v>
      </c>
      <c r="AS159">
        <v>0</v>
      </c>
      <c r="AT159">
        <v>0</v>
      </c>
      <c r="AU159">
        <v>1</v>
      </c>
      <c r="AW159">
        <v>1</v>
      </c>
      <c r="AY159" t="str">
        <f t="shared" si="71"/>
        <v>1</v>
      </c>
      <c r="BA159" s="13" t="str">
        <f t="shared" si="55"/>
        <v>('SIW300 M030 W00', 1, 365, 365, 140, 12.3, 60, -25, 'CONVECÇÃO NATURAL', 'IP65', 'TRANSFORMERLESS', 3000, 3300, 220, 15, 15, 50, 2, 2, 1),</v>
      </c>
      <c r="BB159" t="str">
        <f t="shared" si="56"/>
        <v xml:space="preserve">(157, 0, 1, 600, 100, 560, 90, 560, 90, 360, 18, 12.5), </v>
      </c>
      <c r="BC159" t="str">
        <f t="shared" si="57"/>
        <v>(157, 'ON-GRID'),</v>
      </c>
      <c r="BD159" t="str">
        <f t="shared" si="58"/>
        <v/>
      </c>
      <c r="BE159" t="str">
        <f t="shared" si="59"/>
        <v/>
      </c>
      <c r="BF159" t="str">
        <f t="shared" si="60"/>
        <v>(157, 'HYBRID'),</v>
      </c>
      <c r="BG159" t="str">
        <f t="shared" si="61"/>
        <v>(157, 'WIFI'),</v>
      </c>
      <c r="BH159" t="str">
        <f t="shared" si="62"/>
        <v>(157, 'RS485'),</v>
      </c>
      <c r="BI159" t="str">
        <f t="shared" si="63"/>
        <v/>
      </c>
      <c r="BJ159" t="str">
        <f t="shared" si="64"/>
        <v>(157, 'LED'),</v>
      </c>
      <c r="BK159" t="str">
        <f t="shared" si="65"/>
        <v/>
      </c>
      <c r="BL159" t="str">
        <f t="shared" si="66"/>
        <v/>
      </c>
      <c r="BM159" t="str">
        <f t="shared" si="67"/>
        <v/>
      </c>
      <c r="BN159" t="str">
        <f t="shared" si="68"/>
        <v/>
      </c>
      <c r="BO159" t="str">
        <f t="shared" si="69"/>
        <v>(157, 'SINGLE_PHASE'),</v>
      </c>
    </row>
    <row r="160" spans="1:67">
      <c r="A160" s="2" t="s">
        <v>439</v>
      </c>
      <c r="B160" s="3" t="s">
        <v>212</v>
      </c>
      <c r="C160" s="3">
        <v>140</v>
      </c>
      <c r="D160" s="3">
        <v>365</v>
      </c>
      <c r="E160" s="3">
        <v>365</v>
      </c>
      <c r="F160" s="3">
        <v>12.3</v>
      </c>
      <c r="G160" s="3" t="s">
        <v>275</v>
      </c>
      <c r="H160" s="3">
        <v>1</v>
      </c>
      <c r="I160" s="3">
        <v>1</v>
      </c>
      <c r="J160" s="3">
        <v>0</v>
      </c>
      <c r="K160" s="3">
        <v>1</v>
      </c>
      <c r="L160" s="3">
        <v>0</v>
      </c>
      <c r="M160" s="3">
        <v>5000</v>
      </c>
      <c r="N160" s="3">
        <v>5500</v>
      </c>
      <c r="O160" s="3">
        <v>1</v>
      </c>
      <c r="P160" s="3">
        <v>2</v>
      </c>
      <c r="Q160" s="3">
        <v>600</v>
      </c>
      <c r="R160" s="3">
        <v>100</v>
      </c>
      <c r="S160" s="3">
        <v>560</v>
      </c>
      <c r="T160" s="3">
        <v>90</v>
      </c>
      <c r="U160" s="3">
        <v>560</v>
      </c>
      <c r="V160" s="3">
        <v>90</v>
      </c>
      <c r="W160" s="3">
        <v>360</v>
      </c>
      <c r="X160" s="3">
        <v>18</v>
      </c>
      <c r="Y160" s="3">
        <v>12.5</v>
      </c>
      <c r="Z160" s="3">
        <v>1</v>
      </c>
      <c r="AA160" s="3">
        <v>0</v>
      </c>
      <c r="AB160" s="3">
        <v>0</v>
      </c>
      <c r="AC160" s="3">
        <v>220</v>
      </c>
      <c r="AE160" s="4">
        <v>25</v>
      </c>
      <c r="AF160">
        <v>25</v>
      </c>
      <c r="AG160">
        <v>50</v>
      </c>
      <c r="AH160">
        <v>60</v>
      </c>
      <c r="AI160">
        <v>-25</v>
      </c>
      <c r="AJ160" t="s">
        <v>276</v>
      </c>
      <c r="AK160" t="s">
        <v>277</v>
      </c>
      <c r="AL160">
        <v>1</v>
      </c>
      <c r="AN160">
        <v>158</v>
      </c>
      <c r="AO160">
        <v>0</v>
      </c>
      <c r="AP160">
        <f t="shared" si="70"/>
        <v>2</v>
      </c>
      <c r="AR160">
        <v>1</v>
      </c>
      <c r="AS160">
        <v>0</v>
      </c>
      <c r="AT160">
        <v>0</v>
      </c>
      <c r="AU160">
        <v>1</v>
      </c>
      <c r="AW160">
        <v>1</v>
      </c>
      <c r="AY160" t="str">
        <f t="shared" si="71"/>
        <v>1</v>
      </c>
      <c r="BA160" s="13" t="str">
        <f t="shared" si="55"/>
        <v>('SIW300 M050 W00', 1, 365, 365, 140, 12.3, 60, -25, 'CONVECÇÃO NATURAL', 'IP65', 'TRANSFORMERLESS', 5000, 5500, 220, 25, 25, 50, 2, 2, 1),</v>
      </c>
      <c r="BB160" t="str">
        <f t="shared" si="56"/>
        <v xml:space="preserve">(158, 0, 1, 600, 100, 560, 90, 560, 90, 360, 18, 12.5), </v>
      </c>
      <c r="BC160" t="str">
        <f t="shared" si="57"/>
        <v>(158, 'ON-GRID'),</v>
      </c>
      <c r="BD160" t="str">
        <f t="shared" si="58"/>
        <v/>
      </c>
      <c r="BE160" t="str">
        <f t="shared" si="59"/>
        <v/>
      </c>
      <c r="BF160" t="str">
        <f t="shared" si="60"/>
        <v>(158, 'HYBRID'),</v>
      </c>
      <c r="BG160" t="str">
        <f t="shared" si="61"/>
        <v>(158, 'WIFI'),</v>
      </c>
      <c r="BH160" t="str">
        <f t="shared" si="62"/>
        <v>(158, 'RS485'),</v>
      </c>
      <c r="BI160" t="str">
        <f t="shared" si="63"/>
        <v/>
      </c>
      <c r="BJ160" t="str">
        <f t="shared" si="64"/>
        <v>(158, 'LED'),</v>
      </c>
      <c r="BK160" t="str">
        <f t="shared" si="65"/>
        <v/>
      </c>
      <c r="BL160" t="str">
        <f t="shared" si="66"/>
        <v/>
      </c>
      <c r="BM160" t="str">
        <f t="shared" si="67"/>
        <v/>
      </c>
      <c r="BN160" t="str">
        <f t="shared" si="68"/>
        <v/>
      </c>
      <c r="BO160" t="str">
        <f t="shared" si="69"/>
        <v>(158, 'SINGLE_PHASE'),</v>
      </c>
    </row>
    <row r="161" spans="1:67">
      <c r="A161" s="2" t="s">
        <v>440</v>
      </c>
      <c r="B161" s="3" t="s">
        <v>212</v>
      </c>
      <c r="C161" s="3">
        <v>140</v>
      </c>
      <c r="D161" s="3">
        <v>365</v>
      </c>
      <c r="E161" s="3">
        <v>365</v>
      </c>
      <c r="F161" s="3">
        <v>12.3</v>
      </c>
      <c r="G161" s="3" t="s">
        <v>275</v>
      </c>
      <c r="H161" s="3">
        <v>1</v>
      </c>
      <c r="I161" s="3">
        <v>1</v>
      </c>
      <c r="J161" s="3">
        <v>0</v>
      </c>
      <c r="K161" s="3">
        <v>1</v>
      </c>
      <c r="L161" s="3">
        <v>0</v>
      </c>
      <c r="M161" s="3">
        <v>6000</v>
      </c>
      <c r="N161" s="3">
        <v>6000</v>
      </c>
      <c r="O161" s="3">
        <v>1</v>
      </c>
      <c r="P161" s="3">
        <v>2</v>
      </c>
      <c r="Q161" s="3">
        <v>600</v>
      </c>
      <c r="R161" s="3">
        <v>100</v>
      </c>
      <c r="S161" s="3">
        <v>560</v>
      </c>
      <c r="T161" s="3">
        <v>90</v>
      </c>
      <c r="U161" s="3">
        <v>560</v>
      </c>
      <c r="V161" s="3">
        <v>90</v>
      </c>
      <c r="W161" s="3">
        <v>360</v>
      </c>
      <c r="X161" s="3">
        <v>18</v>
      </c>
      <c r="Y161" s="3">
        <v>12.5</v>
      </c>
      <c r="Z161" s="3">
        <v>1</v>
      </c>
      <c r="AA161" s="3">
        <v>0</v>
      </c>
      <c r="AB161" s="3">
        <v>0</v>
      </c>
      <c r="AC161" s="3">
        <v>220</v>
      </c>
      <c r="AE161" s="4">
        <v>27</v>
      </c>
      <c r="AF161">
        <v>27</v>
      </c>
      <c r="AG161">
        <v>50</v>
      </c>
      <c r="AH161">
        <v>60</v>
      </c>
      <c r="AI161">
        <v>-25</v>
      </c>
      <c r="AJ161" t="s">
        <v>276</v>
      </c>
      <c r="AK161" t="s">
        <v>277</v>
      </c>
      <c r="AL161">
        <v>1</v>
      </c>
      <c r="AN161">
        <v>159</v>
      </c>
      <c r="AO161">
        <v>0</v>
      </c>
      <c r="AP161">
        <f t="shared" si="70"/>
        <v>2</v>
      </c>
      <c r="AR161">
        <v>1</v>
      </c>
      <c r="AS161">
        <v>0</v>
      </c>
      <c r="AT161">
        <v>0</v>
      </c>
      <c r="AU161">
        <v>1</v>
      </c>
      <c r="AW161">
        <v>1</v>
      </c>
      <c r="AY161" t="str">
        <f t="shared" si="71"/>
        <v>1</v>
      </c>
      <c r="BA161" s="13" t="str">
        <f t="shared" si="55"/>
        <v>('SIW300 M060 W00', 1, 365, 365, 140, 12.3, 60, -25, 'CONVECÇÃO NATURAL', 'IP65', 'TRANSFORMERLESS', 6000, 6000, 220, 27, 27, 50, 2, 2, 1),</v>
      </c>
      <c r="BB161" t="str">
        <f t="shared" si="56"/>
        <v xml:space="preserve">(159, 0, 1, 600, 100, 560, 90, 560, 90, 360, 18, 12.5), </v>
      </c>
      <c r="BC161" t="str">
        <f t="shared" si="57"/>
        <v>(159, 'ON-GRID'),</v>
      </c>
      <c r="BD161" t="str">
        <f t="shared" si="58"/>
        <v/>
      </c>
      <c r="BE161" t="str">
        <f t="shared" si="59"/>
        <v/>
      </c>
      <c r="BF161" t="str">
        <f t="shared" si="60"/>
        <v>(159, 'HYBRID'),</v>
      </c>
      <c r="BG161" t="str">
        <f t="shared" si="61"/>
        <v>(159, 'WIFI'),</v>
      </c>
      <c r="BH161" t="str">
        <f t="shared" si="62"/>
        <v>(159, 'RS485'),</v>
      </c>
      <c r="BI161" t="str">
        <f t="shared" si="63"/>
        <v/>
      </c>
      <c r="BJ161" t="str">
        <f t="shared" si="64"/>
        <v>(159, 'LED'),</v>
      </c>
      <c r="BK161" t="str">
        <f t="shared" si="65"/>
        <v/>
      </c>
      <c r="BL161" t="str">
        <f t="shared" si="66"/>
        <v/>
      </c>
      <c r="BM161" t="str">
        <f t="shared" si="67"/>
        <v/>
      </c>
      <c r="BN161" t="str">
        <f t="shared" si="68"/>
        <v/>
      </c>
      <c r="BO161" t="str">
        <f t="shared" si="69"/>
        <v>(159, 'SINGLE_PHASE'),</v>
      </c>
    </row>
    <row r="162" spans="1:67">
      <c r="A162" t="s">
        <v>441</v>
      </c>
      <c r="B162" s="3" t="s">
        <v>212</v>
      </c>
      <c r="C162" s="3">
        <v>150</v>
      </c>
      <c r="D162" s="3">
        <v>425</v>
      </c>
      <c r="E162" s="3">
        <v>376.5</v>
      </c>
      <c r="F162" s="3">
        <v>15</v>
      </c>
      <c r="G162" s="3" t="s">
        <v>275</v>
      </c>
      <c r="H162" s="3">
        <v>1</v>
      </c>
      <c r="I162" s="3">
        <v>1</v>
      </c>
      <c r="J162" s="3">
        <v>0</v>
      </c>
      <c r="K162" s="3">
        <v>1</v>
      </c>
      <c r="L162" s="3">
        <v>0</v>
      </c>
      <c r="M162" s="3">
        <v>8000</v>
      </c>
      <c r="N162" s="3">
        <v>8800</v>
      </c>
      <c r="O162" s="3">
        <v>1</v>
      </c>
      <c r="P162" s="3">
        <v>3</v>
      </c>
      <c r="Q162" s="3">
        <v>600</v>
      </c>
      <c r="R162" s="3">
        <v>50</v>
      </c>
      <c r="S162" s="3">
        <v>560</v>
      </c>
      <c r="T162" s="3">
        <v>40</v>
      </c>
      <c r="U162" s="3">
        <v>560</v>
      </c>
      <c r="V162" s="3">
        <v>40</v>
      </c>
      <c r="W162" s="3">
        <v>360</v>
      </c>
      <c r="X162" s="3">
        <v>20</v>
      </c>
      <c r="Y162" s="3">
        <v>16</v>
      </c>
      <c r="Z162" s="3">
        <v>1</v>
      </c>
      <c r="AA162" s="3">
        <v>0</v>
      </c>
      <c r="AB162" s="3">
        <v>0</v>
      </c>
      <c r="AC162" s="3">
        <v>220</v>
      </c>
      <c r="AE162" s="4">
        <v>40</v>
      </c>
      <c r="AF162">
        <v>36.4</v>
      </c>
      <c r="AG162">
        <v>50</v>
      </c>
      <c r="AH162">
        <v>60</v>
      </c>
      <c r="AI162">
        <v>-25</v>
      </c>
      <c r="AJ162" t="s">
        <v>307</v>
      </c>
      <c r="AK162" t="s">
        <v>277</v>
      </c>
      <c r="AL162">
        <v>1</v>
      </c>
      <c r="AN162">
        <v>160</v>
      </c>
      <c r="AO162">
        <v>0</v>
      </c>
      <c r="AP162">
        <f t="shared" si="70"/>
        <v>3</v>
      </c>
      <c r="AR162">
        <v>1</v>
      </c>
      <c r="AS162">
        <v>0</v>
      </c>
      <c r="AT162">
        <v>0</v>
      </c>
      <c r="AU162">
        <v>1</v>
      </c>
      <c r="AW162">
        <v>1</v>
      </c>
      <c r="AY162" t="str">
        <f t="shared" si="71"/>
        <v>1</v>
      </c>
      <c r="BA162" s="13" t="str">
        <f t="shared" si="55"/>
        <v>('SIW300 M080 W00', 1, 425, 376.5, 150, 15, 60, -25, 'CONVECÇÃO NATURAL', 'IP66', 'TRANSFORMERLESS', 8000, 8800, 220, 36.4, 40, 50, 3, 3, 1),</v>
      </c>
      <c r="BB162" t="str">
        <f t="shared" si="56"/>
        <v xml:space="preserve">(160, 0, 1, 600, 50, 560, 40, 560, 40, 360, 20, 16), </v>
      </c>
      <c r="BC162" t="str">
        <f t="shared" si="57"/>
        <v>(160, 'ON-GRID'),</v>
      </c>
      <c r="BD162" t="str">
        <f t="shared" si="58"/>
        <v/>
      </c>
      <c r="BE162" t="str">
        <f t="shared" si="59"/>
        <v/>
      </c>
      <c r="BF162" t="str">
        <f t="shared" si="60"/>
        <v>(160, 'HYBRID'),</v>
      </c>
      <c r="BG162" t="str">
        <f t="shared" si="61"/>
        <v>(160, 'WIFI'),</v>
      </c>
      <c r="BH162" t="str">
        <f t="shared" si="62"/>
        <v>(160, 'RS485'),</v>
      </c>
      <c r="BI162" t="str">
        <f t="shared" si="63"/>
        <v/>
      </c>
      <c r="BJ162" t="str">
        <f t="shared" si="64"/>
        <v>(160, 'LED'),</v>
      </c>
      <c r="BK162" t="str">
        <f t="shared" si="65"/>
        <v/>
      </c>
      <c r="BL162" t="str">
        <f t="shared" si="66"/>
        <v/>
      </c>
      <c r="BM162" t="str">
        <f t="shared" si="67"/>
        <v/>
      </c>
      <c r="BN162" t="str">
        <f t="shared" si="68"/>
        <v/>
      </c>
      <c r="BO162" t="str">
        <f t="shared" si="69"/>
        <v>(160, 'SINGLE_PHASE'),</v>
      </c>
    </row>
    <row r="163" spans="1:67">
      <c r="A163" s="2" t="s">
        <v>442</v>
      </c>
      <c r="B163" s="3" t="s">
        <v>212</v>
      </c>
      <c r="C163" s="3">
        <v>150</v>
      </c>
      <c r="D163" s="3">
        <v>425</v>
      </c>
      <c r="E163" s="3">
        <v>376.5</v>
      </c>
      <c r="F163" s="3">
        <v>15</v>
      </c>
      <c r="G163" s="3" t="s">
        <v>316</v>
      </c>
      <c r="H163" s="3">
        <v>1</v>
      </c>
      <c r="I163" s="3">
        <v>1</v>
      </c>
      <c r="J163" s="3">
        <v>0</v>
      </c>
      <c r="K163" s="3">
        <v>1</v>
      </c>
      <c r="L163" s="3">
        <v>0</v>
      </c>
      <c r="M163" s="3">
        <v>10000</v>
      </c>
      <c r="N163" s="3">
        <v>10000</v>
      </c>
      <c r="O163" s="3">
        <v>1</v>
      </c>
      <c r="P163" s="3">
        <v>3</v>
      </c>
      <c r="Q163" s="3">
        <v>600</v>
      </c>
      <c r="R163" s="3">
        <v>50</v>
      </c>
      <c r="S163" s="3">
        <v>560</v>
      </c>
      <c r="T163" s="3">
        <v>40</v>
      </c>
      <c r="U163" s="3">
        <v>560</v>
      </c>
      <c r="V163" s="3">
        <v>40</v>
      </c>
      <c r="W163" s="3">
        <v>360</v>
      </c>
      <c r="X163" s="3">
        <v>20</v>
      </c>
      <c r="Y163" s="3">
        <v>16</v>
      </c>
      <c r="Z163" s="3">
        <v>1</v>
      </c>
      <c r="AA163" s="3">
        <v>0</v>
      </c>
      <c r="AB163" s="3">
        <v>0</v>
      </c>
      <c r="AC163" s="3">
        <v>220</v>
      </c>
      <c r="AE163" s="4">
        <v>40</v>
      </c>
      <c r="AF163">
        <v>45.5</v>
      </c>
      <c r="AG163">
        <v>50</v>
      </c>
      <c r="AH163">
        <v>60</v>
      </c>
      <c r="AI163">
        <v>-25</v>
      </c>
      <c r="AJ163" t="s">
        <v>307</v>
      </c>
      <c r="AK163" t="s">
        <v>277</v>
      </c>
      <c r="AL163">
        <v>1</v>
      </c>
      <c r="AN163">
        <v>161</v>
      </c>
      <c r="AO163">
        <v>0</v>
      </c>
      <c r="AP163">
        <f t="shared" si="70"/>
        <v>3</v>
      </c>
      <c r="AR163">
        <v>1</v>
      </c>
      <c r="AS163">
        <v>0</v>
      </c>
      <c r="AT163">
        <v>0</v>
      </c>
      <c r="AU163">
        <v>1</v>
      </c>
      <c r="AW163">
        <v>1</v>
      </c>
      <c r="AY163" t="str">
        <f t="shared" si="71"/>
        <v>1</v>
      </c>
      <c r="BA163" s="13" t="str">
        <f t="shared" si="55"/>
        <v>('SIW300 M100 W00', 1, 425, 376.5, 150, 15, 60, -25, 'COOLER', 'IP66', 'TRANSFORMERLESS', 10000, 10000, 220, 45.5, 40, 50, 3, 3, 1),</v>
      </c>
      <c r="BB163" t="str">
        <f t="shared" si="56"/>
        <v xml:space="preserve">(161, 0, 1, 600, 50, 560, 40, 560, 40, 360, 20, 16), </v>
      </c>
      <c r="BC163" t="str">
        <f t="shared" si="57"/>
        <v>(161, 'ON-GRID'),</v>
      </c>
      <c r="BD163" t="str">
        <f t="shared" si="58"/>
        <v/>
      </c>
      <c r="BE163" t="str">
        <f t="shared" si="59"/>
        <v/>
      </c>
      <c r="BF163" t="str">
        <f t="shared" si="60"/>
        <v>(161, 'HYBRID'),</v>
      </c>
      <c r="BG163" t="str">
        <f t="shared" si="61"/>
        <v>(161, 'WIFI'),</v>
      </c>
      <c r="BH163" t="str">
        <f t="shared" si="62"/>
        <v>(161, 'RS485'),</v>
      </c>
      <c r="BI163" t="str">
        <f t="shared" si="63"/>
        <v/>
      </c>
      <c r="BJ163" t="str">
        <f t="shared" si="64"/>
        <v>(161, 'LED'),</v>
      </c>
      <c r="BK163" t="str">
        <f t="shared" si="65"/>
        <v/>
      </c>
      <c r="BL163" t="str">
        <f t="shared" si="66"/>
        <v/>
      </c>
      <c r="BM163" t="str">
        <f t="shared" si="67"/>
        <v/>
      </c>
      <c r="BN163" t="str">
        <f t="shared" si="68"/>
        <v/>
      </c>
      <c r="BO163" t="str">
        <f t="shared" si="69"/>
        <v>(161, 'SINGLE_PHASE'),</v>
      </c>
    </row>
    <row r="164" spans="1:67">
      <c r="A164" s="2" t="s">
        <v>443</v>
      </c>
      <c r="B164" s="3" t="s">
        <v>212</v>
      </c>
      <c r="C164" s="9">
        <v>149.5</v>
      </c>
      <c r="D164" s="9">
        <v>375</v>
      </c>
      <c r="E164" s="9">
        <v>375</v>
      </c>
      <c r="F164" s="9">
        <v>11.6</v>
      </c>
      <c r="G164" s="9" t="s">
        <v>275</v>
      </c>
      <c r="H164" s="9">
        <v>1</v>
      </c>
      <c r="I164" s="9">
        <v>1</v>
      </c>
      <c r="J164" s="9">
        <v>0</v>
      </c>
      <c r="K164" s="9">
        <v>1</v>
      </c>
      <c r="L164" s="9">
        <v>0</v>
      </c>
      <c r="M164" s="9">
        <v>2000</v>
      </c>
      <c r="N164" s="9">
        <v>2200</v>
      </c>
      <c r="O164" s="9">
        <v>1</v>
      </c>
      <c r="P164" s="9">
        <v>2</v>
      </c>
      <c r="Q164" s="9">
        <v>600</v>
      </c>
      <c r="R164" s="9">
        <v>120</v>
      </c>
      <c r="S164" s="9">
        <v>500</v>
      </c>
      <c r="T164" s="9">
        <v>90</v>
      </c>
      <c r="U164" s="3">
        <v>-1</v>
      </c>
      <c r="V164" s="3">
        <v>-1</v>
      </c>
      <c r="W164" s="9">
        <v>380</v>
      </c>
      <c r="X164" s="9">
        <v>15</v>
      </c>
      <c r="Y164" s="9">
        <v>11</v>
      </c>
      <c r="Z164" s="9">
        <v>1</v>
      </c>
      <c r="AA164" s="9">
        <v>0</v>
      </c>
      <c r="AB164" s="9">
        <v>0</v>
      </c>
      <c r="AC164" s="9">
        <v>220</v>
      </c>
      <c r="AD164" s="9"/>
      <c r="AE164" s="11">
        <v>10</v>
      </c>
      <c r="AF164" s="11">
        <v>10</v>
      </c>
      <c r="AG164">
        <v>50</v>
      </c>
      <c r="AH164">
        <v>60</v>
      </c>
      <c r="AI164">
        <v>-30</v>
      </c>
      <c r="AJ164" t="s">
        <v>276</v>
      </c>
      <c r="AK164" t="s">
        <v>277</v>
      </c>
      <c r="AL164">
        <v>0</v>
      </c>
      <c r="AN164">
        <v>162</v>
      </c>
      <c r="AO164">
        <v>0</v>
      </c>
      <c r="AP164">
        <f t="shared" si="70"/>
        <v>2</v>
      </c>
      <c r="AR164">
        <v>1</v>
      </c>
      <c r="AS164">
        <v>0</v>
      </c>
      <c r="AT164">
        <v>0</v>
      </c>
      <c r="AU164">
        <v>1</v>
      </c>
      <c r="AW164">
        <v>0</v>
      </c>
      <c r="AY164" t="str">
        <f t="shared" si="71"/>
        <v>1</v>
      </c>
      <c r="BA164" s="13" t="str">
        <f t="shared" si="55"/>
        <v>('SIW300H M020', 1, 375, 375, 149.5, 11.6, 60, -30, 'CONVECÇÃO NATURAL', 'IP65', 'TRANSFORMERLESS', 2000, 2200, 220, 10, 10, 50, 2, 2, 0),</v>
      </c>
      <c r="BB164" t="str">
        <f t="shared" si="56"/>
        <v xml:space="preserve">(162, 0, 1, 600, 120, 500, 90, -1, -1, 380, 15, 11), </v>
      </c>
      <c r="BC164" t="str">
        <f t="shared" si="57"/>
        <v>(162, 'ON-GRID'),</v>
      </c>
      <c r="BD164" t="str">
        <f t="shared" si="58"/>
        <v/>
      </c>
      <c r="BE164" t="str">
        <f t="shared" si="59"/>
        <v/>
      </c>
      <c r="BF164" t="str">
        <f t="shared" si="60"/>
        <v>(162, 'HYBRID'),</v>
      </c>
      <c r="BG164" t="str">
        <f t="shared" si="61"/>
        <v>(162, 'WIFI'),</v>
      </c>
      <c r="BH164" t="str">
        <f t="shared" si="62"/>
        <v>(162, 'RS485'),</v>
      </c>
      <c r="BI164" t="str">
        <f t="shared" si="63"/>
        <v/>
      </c>
      <c r="BJ164" t="str">
        <f t="shared" si="64"/>
        <v>(162, 'LED'),</v>
      </c>
      <c r="BK164" t="str">
        <f t="shared" si="65"/>
        <v/>
      </c>
      <c r="BL164" t="str">
        <f t="shared" si="66"/>
        <v/>
      </c>
      <c r="BM164" t="str">
        <f t="shared" si="67"/>
        <v/>
      </c>
      <c r="BN164" t="str">
        <f t="shared" si="68"/>
        <v/>
      </c>
      <c r="BO164" t="str">
        <f t="shared" si="69"/>
        <v>(162, 'SINGLE_PHASE'),</v>
      </c>
    </row>
    <row r="165" spans="1:67">
      <c r="A165" s="2" t="s">
        <v>444</v>
      </c>
      <c r="B165" s="3" t="s">
        <v>212</v>
      </c>
      <c r="C165" s="3">
        <v>149.5</v>
      </c>
      <c r="D165" s="3">
        <v>375</v>
      </c>
      <c r="E165" s="3">
        <v>375</v>
      </c>
      <c r="F165" s="3">
        <v>11.6</v>
      </c>
      <c r="G165" s="3" t="s">
        <v>275</v>
      </c>
      <c r="H165" s="3">
        <v>1</v>
      </c>
      <c r="I165" s="3">
        <v>1</v>
      </c>
      <c r="J165" s="3">
        <v>0</v>
      </c>
      <c r="K165" s="3">
        <v>1</v>
      </c>
      <c r="L165" s="3">
        <v>0</v>
      </c>
      <c r="M165" s="3">
        <v>3000</v>
      </c>
      <c r="N165" s="3">
        <v>3300</v>
      </c>
      <c r="O165" s="3">
        <v>1</v>
      </c>
      <c r="P165" s="3">
        <v>2</v>
      </c>
      <c r="Q165" s="3">
        <v>600</v>
      </c>
      <c r="R165" s="3">
        <v>120</v>
      </c>
      <c r="S165" s="3">
        <v>500</v>
      </c>
      <c r="T165" s="3">
        <v>90</v>
      </c>
      <c r="U165" s="3">
        <v>-1</v>
      </c>
      <c r="V165" s="3">
        <v>-1</v>
      </c>
      <c r="W165" s="3">
        <v>380</v>
      </c>
      <c r="X165" s="3">
        <v>15</v>
      </c>
      <c r="Y165" s="3">
        <v>11</v>
      </c>
      <c r="Z165" s="3">
        <v>1</v>
      </c>
      <c r="AA165" s="3">
        <v>0</v>
      </c>
      <c r="AB165" s="3">
        <v>0</v>
      </c>
      <c r="AC165" s="9">
        <v>220</v>
      </c>
      <c r="AE165" s="4">
        <v>15</v>
      </c>
      <c r="AF165" s="4">
        <v>15</v>
      </c>
      <c r="AG165">
        <v>50</v>
      </c>
      <c r="AH165">
        <v>60</v>
      </c>
      <c r="AI165">
        <v>-30</v>
      </c>
      <c r="AJ165" t="s">
        <v>276</v>
      </c>
      <c r="AK165" t="s">
        <v>277</v>
      </c>
      <c r="AL165">
        <v>0</v>
      </c>
      <c r="AN165">
        <v>163</v>
      </c>
      <c r="AO165">
        <v>0</v>
      </c>
      <c r="AP165">
        <f t="shared" si="70"/>
        <v>2</v>
      </c>
      <c r="AR165">
        <v>1</v>
      </c>
      <c r="AS165">
        <v>0</v>
      </c>
      <c r="AT165">
        <v>0</v>
      </c>
      <c r="AU165">
        <v>1</v>
      </c>
      <c r="AW165">
        <v>0</v>
      </c>
      <c r="AY165" t="str">
        <f t="shared" si="71"/>
        <v>1</v>
      </c>
      <c r="BA165" s="13" t="str">
        <f t="shared" si="55"/>
        <v>('SIW300H M030', 1, 375, 375, 149.5, 11.6, 60, -30, 'CONVECÇÃO NATURAL', 'IP65', 'TRANSFORMERLESS', 3000, 3300, 220, 15, 15, 50, 2, 2, 0),</v>
      </c>
      <c r="BB165" t="str">
        <f t="shared" si="56"/>
        <v xml:space="preserve">(163, 0, 1, 600, 120, 500, 90, -1, -1, 380, 15, 11), </v>
      </c>
      <c r="BC165" t="str">
        <f t="shared" si="57"/>
        <v>(163, 'ON-GRID'),</v>
      </c>
      <c r="BD165" t="str">
        <f t="shared" si="58"/>
        <v/>
      </c>
      <c r="BE165" t="str">
        <f t="shared" si="59"/>
        <v/>
      </c>
      <c r="BF165" t="str">
        <f t="shared" si="60"/>
        <v>(163, 'HYBRID'),</v>
      </c>
      <c r="BG165" t="str">
        <f t="shared" si="61"/>
        <v>(163, 'WIFI'),</v>
      </c>
      <c r="BH165" t="str">
        <f t="shared" si="62"/>
        <v>(163, 'RS485'),</v>
      </c>
      <c r="BI165" t="str">
        <f t="shared" si="63"/>
        <v/>
      </c>
      <c r="BJ165" t="str">
        <f t="shared" si="64"/>
        <v>(163, 'LED'),</v>
      </c>
      <c r="BK165" t="str">
        <f t="shared" si="65"/>
        <v/>
      </c>
      <c r="BL165" t="str">
        <f t="shared" si="66"/>
        <v/>
      </c>
      <c r="BM165" t="str">
        <f t="shared" si="67"/>
        <v/>
      </c>
      <c r="BN165" t="str">
        <f t="shared" si="68"/>
        <v/>
      </c>
      <c r="BO165" t="str">
        <f t="shared" si="69"/>
        <v>(163, 'SINGLE_PHASE'),</v>
      </c>
    </row>
    <row r="166" spans="1:67">
      <c r="A166" s="2" t="s">
        <v>445</v>
      </c>
      <c r="B166" s="3" t="s">
        <v>212</v>
      </c>
      <c r="C166" s="3">
        <v>149.5</v>
      </c>
      <c r="D166" s="3">
        <v>375</v>
      </c>
      <c r="E166" s="3">
        <v>375</v>
      </c>
      <c r="F166" s="3">
        <v>11.6</v>
      </c>
      <c r="G166" s="3" t="s">
        <v>275</v>
      </c>
      <c r="H166" s="3">
        <v>1</v>
      </c>
      <c r="I166" s="3">
        <v>1</v>
      </c>
      <c r="J166" s="3">
        <v>0</v>
      </c>
      <c r="K166" s="3">
        <v>1</v>
      </c>
      <c r="L166" s="3">
        <v>0</v>
      </c>
      <c r="M166" s="3">
        <v>4000</v>
      </c>
      <c r="N166" s="3">
        <v>4400</v>
      </c>
      <c r="O166" s="3">
        <v>1</v>
      </c>
      <c r="P166" s="3">
        <v>2</v>
      </c>
      <c r="Q166" s="3">
        <v>600</v>
      </c>
      <c r="R166" s="3">
        <v>120</v>
      </c>
      <c r="S166" s="3">
        <v>500</v>
      </c>
      <c r="T166" s="3">
        <v>90</v>
      </c>
      <c r="U166" s="3">
        <v>-1</v>
      </c>
      <c r="V166" s="3">
        <v>-1</v>
      </c>
      <c r="W166" s="3">
        <v>380</v>
      </c>
      <c r="X166" s="3">
        <v>15</v>
      </c>
      <c r="Y166" s="3">
        <v>11</v>
      </c>
      <c r="Z166" s="3">
        <v>1</v>
      </c>
      <c r="AA166" s="3">
        <v>0</v>
      </c>
      <c r="AB166" s="3">
        <v>0</v>
      </c>
      <c r="AC166" s="9">
        <v>220</v>
      </c>
      <c r="AE166" s="4">
        <v>20</v>
      </c>
      <c r="AF166" s="4">
        <v>20</v>
      </c>
      <c r="AG166">
        <v>50</v>
      </c>
      <c r="AH166">
        <v>60</v>
      </c>
      <c r="AI166">
        <v>-30</v>
      </c>
      <c r="AJ166" t="s">
        <v>276</v>
      </c>
      <c r="AK166" t="s">
        <v>277</v>
      </c>
      <c r="AL166">
        <v>0</v>
      </c>
      <c r="AN166">
        <v>164</v>
      </c>
      <c r="AO166">
        <v>0</v>
      </c>
      <c r="AP166">
        <f t="shared" si="70"/>
        <v>2</v>
      </c>
      <c r="AR166">
        <v>1</v>
      </c>
      <c r="AS166">
        <v>0</v>
      </c>
      <c r="AT166">
        <v>0</v>
      </c>
      <c r="AU166">
        <v>1</v>
      </c>
      <c r="AW166">
        <v>0</v>
      </c>
      <c r="AY166" t="str">
        <f t="shared" si="71"/>
        <v>1</v>
      </c>
      <c r="BA166" s="13" t="str">
        <f t="shared" si="55"/>
        <v>('SIW300H M040', 1, 375, 375, 149.5, 11.6, 60, -30, 'CONVECÇÃO NATURAL', 'IP65', 'TRANSFORMERLESS', 4000, 4400, 220, 20, 20, 50, 2, 2, 0),</v>
      </c>
      <c r="BB166" t="str">
        <f t="shared" si="56"/>
        <v xml:space="preserve">(164, 0, 1, 600, 120, 500, 90, -1, -1, 380, 15, 11), </v>
      </c>
      <c r="BC166" t="str">
        <f t="shared" si="57"/>
        <v>(164, 'ON-GRID'),</v>
      </c>
      <c r="BD166" t="str">
        <f t="shared" si="58"/>
        <v/>
      </c>
      <c r="BE166" t="str">
        <f t="shared" si="59"/>
        <v/>
      </c>
      <c r="BF166" t="str">
        <f t="shared" si="60"/>
        <v>(164, 'HYBRID'),</v>
      </c>
      <c r="BG166" t="str">
        <f t="shared" si="61"/>
        <v>(164, 'WIFI'),</v>
      </c>
      <c r="BH166" t="str">
        <f t="shared" si="62"/>
        <v>(164, 'RS485'),</v>
      </c>
      <c r="BI166" t="str">
        <f t="shared" si="63"/>
        <v/>
      </c>
      <c r="BJ166" t="str">
        <f t="shared" si="64"/>
        <v>(164, 'LED'),</v>
      </c>
      <c r="BK166" t="str">
        <f t="shared" si="65"/>
        <v/>
      </c>
      <c r="BL166" t="str">
        <f t="shared" si="66"/>
        <v/>
      </c>
      <c r="BM166" t="str">
        <f t="shared" si="67"/>
        <v/>
      </c>
      <c r="BN166" t="str">
        <f t="shared" si="68"/>
        <v/>
      </c>
      <c r="BO166" t="str">
        <f t="shared" si="69"/>
        <v>(164, 'SINGLE_PHASE'),</v>
      </c>
    </row>
    <row r="167" spans="1:67">
      <c r="A167" s="2" t="s">
        <v>446</v>
      </c>
      <c r="B167" s="3" t="s">
        <v>212</v>
      </c>
      <c r="C167" s="3">
        <v>149.5</v>
      </c>
      <c r="D167" s="3">
        <v>375</v>
      </c>
      <c r="E167" s="3">
        <v>375</v>
      </c>
      <c r="F167" s="3">
        <v>11.6</v>
      </c>
      <c r="G167" s="3" t="s">
        <v>275</v>
      </c>
      <c r="H167" s="3">
        <v>1</v>
      </c>
      <c r="I167" s="3">
        <v>1</v>
      </c>
      <c r="J167" s="3">
        <v>0</v>
      </c>
      <c r="K167" s="3">
        <v>1</v>
      </c>
      <c r="L167" s="3">
        <v>0</v>
      </c>
      <c r="M167" s="3">
        <v>5000</v>
      </c>
      <c r="N167" s="3">
        <v>5500</v>
      </c>
      <c r="O167" s="3">
        <v>1</v>
      </c>
      <c r="P167" s="3">
        <v>2</v>
      </c>
      <c r="Q167" s="3">
        <v>600</v>
      </c>
      <c r="R167" s="3">
        <v>120</v>
      </c>
      <c r="S167" s="3">
        <v>500</v>
      </c>
      <c r="T167" s="3">
        <v>90</v>
      </c>
      <c r="U167" s="3">
        <v>-1</v>
      </c>
      <c r="V167" s="3">
        <v>-1</v>
      </c>
      <c r="W167" s="3">
        <v>380</v>
      </c>
      <c r="X167" s="3">
        <v>15</v>
      </c>
      <c r="Y167" s="3">
        <v>11</v>
      </c>
      <c r="Z167" s="3">
        <v>1</v>
      </c>
      <c r="AA167" s="3">
        <v>0</v>
      </c>
      <c r="AB167" s="3">
        <v>0</v>
      </c>
      <c r="AC167" s="9">
        <v>220</v>
      </c>
      <c r="AE167" s="4">
        <v>25</v>
      </c>
      <c r="AF167" s="4">
        <v>25</v>
      </c>
      <c r="AG167">
        <v>50</v>
      </c>
      <c r="AH167">
        <v>60</v>
      </c>
      <c r="AI167">
        <v>-30</v>
      </c>
      <c r="AJ167" t="s">
        <v>276</v>
      </c>
      <c r="AK167" t="s">
        <v>277</v>
      </c>
      <c r="AL167">
        <v>0</v>
      </c>
      <c r="AN167">
        <v>165</v>
      </c>
      <c r="AO167">
        <v>0</v>
      </c>
      <c r="AP167">
        <f t="shared" si="70"/>
        <v>2</v>
      </c>
      <c r="AR167">
        <v>1</v>
      </c>
      <c r="AS167">
        <v>0</v>
      </c>
      <c r="AT167">
        <v>0</v>
      </c>
      <c r="AU167">
        <v>1</v>
      </c>
      <c r="AW167">
        <v>0</v>
      </c>
      <c r="AY167" t="str">
        <f t="shared" si="71"/>
        <v>1</v>
      </c>
      <c r="BA167" s="13" t="str">
        <f t="shared" si="55"/>
        <v>('SIW300H M050', 1, 375, 375, 149.5, 11.6, 60, -30, 'CONVECÇÃO NATURAL', 'IP65', 'TRANSFORMERLESS', 5000, 5500, 220, 25, 25, 50, 2, 2, 0),</v>
      </c>
      <c r="BB167" t="str">
        <f t="shared" si="56"/>
        <v xml:space="preserve">(165, 0, 1, 600, 120, 500, 90, -1, -1, 380, 15, 11), </v>
      </c>
      <c r="BC167" t="str">
        <f t="shared" si="57"/>
        <v>(165, 'ON-GRID'),</v>
      </c>
      <c r="BD167" t="str">
        <f t="shared" si="58"/>
        <v/>
      </c>
      <c r="BE167" t="str">
        <f t="shared" si="59"/>
        <v/>
      </c>
      <c r="BF167" t="str">
        <f t="shared" si="60"/>
        <v>(165, 'HYBRID'),</v>
      </c>
      <c r="BG167" t="str">
        <f t="shared" si="61"/>
        <v>(165, 'WIFI'),</v>
      </c>
      <c r="BH167" t="str">
        <f t="shared" si="62"/>
        <v>(165, 'RS485'),</v>
      </c>
      <c r="BI167" t="str">
        <f t="shared" si="63"/>
        <v/>
      </c>
      <c r="BJ167" t="str">
        <f t="shared" si="64"/>
        <v>(165, 'LED'),</v>
      </c>
      <c r="BK167" t="str">
        <f t="shared" si="65"/>
        <v/>
      </c>
      <c r="BL167" t="str">
        <f t="shared" si="66"/>
        <v/>
      </c>
      <c r="BM167" t="str">
        <f t="shared" si="67"/>
        <v/>
      </c>
      <c r="BN167" t="str">
        <f t="shared" si="68"/>
        <v/>
      </c>
      <c r="BO167" t="str">
        <f t="shared" si="69"/>
        <v>(165, 'SINGLE_PHASE'),</v>
      </c>
    </row>
    <row r="168" spans="1:67">
      <c r="A168" s="2" t="s">
        <v>447</v>
      </c>
      <c r="B168" s="3" t="s">
        <v>212</v>
      </c>
      <c r="C168" s="3">
        <v>140</v>
      </c>
      <c r="D168" s="3">
        <v>365</v>
      </c>
      <c r="E168" s="3">
        <v>365</v>
      </c>
      <c r="F168" s="3">
        <v>12.3</v>
      </c>
      <c r="G168" s="3" t="s">
        <v>275</v>
      </c>
      <c r="H168" s="3">
        <v>1</v>
      </c>
      <c r="I168" s="3">
        <v>1</v>
      </c>
      <c r="J168" s="3">
        <v>0</v>
      </c>
      <c r="K168" s="3">
        <v>1</v>
      </c>
      <c r="L168" s="3">
        <v>0</v>
      </c>
      <c r="M168" s="3">
        <v>2000</v>
      </c>
      <c r="N168" s="3">
        <v>2200</v>
      </c>
      <c r="O168" s="3">
        <v>1</v>
      </c>
      <c r="P168" s="3">
        <v>2</v>
      </c>
      <c r="Q168" s="3">
        <v>600</v>
      </c>
      <c r="R168" s="3">
        <v>100</v>
      </c>
      <c r="S168" s="3">
        <v>600</v>
      </c>
      <c r="T168" s="3">
        <v>90</v>
      </c>
      <c r="U168" s="3">
        <v>560</v>
      </c>
      <c r="V168" s="3">
        <v>90</v>
      </c>
      <c r="W168" s="3">
        <v>360</v>
      </c>
      <c r="X168" s="3">
        <v>18</v>
      </c>
      <c r="Y168" s="3">
        <v>12.5</v>
      </c>
      <c r="Z168" s="3">
        <v>1</v>
      </c>
      <c r="AA168" s="3">
        <v>0</v>
      </c>
      <c r="AB168" s="3">
        <v>0</v>
      </c>
      <c r="AC168" s="3">
        <v>220</v>
      </c>
      <c r="AE168" s="4">
        <v>10</v>
      </c>
      <c r="AF168" s="4">
        <v>10</v>
      </c>
      <c r="AG168">
        <v>50</v>
      </c>
      <c r="AH168">
        <v>60</v>
      </c>
      <c r="AI168">
        <v>-25</v>
      </c>
      <c r="AJ168" t="s">
        <v>276</v>
      </c>
      <c r="AK168" t="s">
        <v>277</v>
      </c>
      <c r="AL168">
        <v>0</v>
      </c>
      <c r="AN168">
        <v>166</v>
      </c>
      <c r="AO168">
        <v>0</v>
      </c>
      <c r="AP168">
        <f t="shared" si="70"/>
        <v>2</v>
      </c>
      <c r="AR168">
        <v>1</v>
      </c>
      <c r="AS168">
        <v>0</v>
      </c>
      <c r="AT168">
        <v>0</v>
      </c>
      <c r="AU168">
        <v>1</v>
      </c>
      <c r="AW168">
        <v>1</v>
      </c>
      <c r="AY168" t="str">
        <f t="shared" si="71"/>
        <v>1</v>
      </c>
      <c r="BA168" s="13" t="str">
        <f t="shared" si="55"/>
        <v>('SIW300H M020 L1', 1, 365, 365, 140, 12.3, 60, -25, 'CONVECÇÃO NATURAL', 'IP65', 'TRANSFORMERLESS', 2000, 2200, 220, 10, 10, 50, 2, 2, 0),</v>
      </c>
      <c r="BB168" t="str">
        <f t="shared" si="56"/>
        <v xml:space="preserve">(166, 0, 1, 600, 100, 600, 90, 560, 90, 360, 18, 12.5), </v>
      </c>
      <c r="BC168" t="str">
        <f t="shared" si="57"/>
        <v>(166, 'ON-GRID'),</v>
      </c>
      <c r="BD168" t="str">
        <f t="shared" si="58"/>
        <v/>
      </c>
      <c r="BE168" t="str">
        <f t="shared" si="59"/>
        <v/>
      </c>
      <c r="BF168" t="str">
        <f t="shared" si="60"/>
        <v>(166, 'HYBRID'),</v>
      </c>
      <c r="BG168" t="str">
        <f t="shared" si="61"/>
        <v>(166, 'WIFI'),</v>
      </c>
      <c r="BH168" t="str">
        <f t="shared" si="62"/>
        <v>(166, 'RS485'),</v>
      </c>
      <c r="BI168" t="str">
        <f t="shared" si="63"/>
        <v/>
      </c>
      <c r="BJ168" t="str">
        <f t="shared" si="64"/>
        <v>(166, 'LED'),</v>
      </c>
      <c r="BK168" t="str">
        <f t="shared" si="65"/>
        <v/>
      </c>
      <c r="BL168" t="str">
        <f t="shared" si="66"/>
        <v/>
      </c>
      <c r="BM168" t="str">
        <f t="shared" si="67"/>
        <v/>
      </c>
      <c r="BN168" t="str">
        <f t="shared" si="68"/>
        <v/>
      </c>
      <c r="BO168" t="str">
        <f t="shared" si="69"/>
        <v>(166, 'SINGLE_PHASE'),</v>
      </c>
    </row>
    <row r="169" spans="1:67">
      <c r="A169" s="2" t="s">
        <v>448</v>
      </c>
      <c r="B169" s="3" t="s">
        <v>212</v>
      </c>
      <c r="C169" s="3">
        <v>140</v>
      </c>
      <c r="D169" s="3">
        <v>365</v>
      </c>
      <c r="E169" s="3">
        <v>365</v>
      </c>
      <c r="F169" s="3">
        <v>12.3</v>
      </c>
      <c r="G169" s="3" t="s">
        <v>275</v>
      </c>
      <c r="H169" s="3">
        <v>1</v>
      </c>
      <c r="I169" s="3">
        <v>1</v>
      </c>
      <c r="J169" s="3">
        <v>0</v>
      </c>
      <c r="K169" s="3">
        <v>1</v>
      </c>
      <c r="L169" s="3">
        <v>0</v>
      </c>
      <c r="M169" s="3">
        <v>3000</v>
      </c>
      <c r="N169" s="3">
        <v>3300</v>
      </c>
      <c r="O169" s="3">
        <v>1</v>
      </c>
      <c r="P169" s="3">
        <v>2</v>
      </c>
      <c r="Q169" s="3">
        <v>600</v>
      </c>
      <c r="R169" s="3">
        <v>100</v>
      </c>
      <c r="S169" s="3">
        <v>600</v>
      </c>
      <c r="T169" s="3">
        <v>90</v>
      </c>
      <c r="U169" s="3">
        <v>560</v>
      </c>
      <c r="V169" s="3">
        <v>90</v>
      </c>
      <c r="W169" s="3">
        <v>360</v>
      </c>
      <c r="X169" s="3">
        <v>18</v>
      </c>
      <c r="Y169" s="3">
        <v>12.5</v>
      </c>
      <c r="Z169" s="3">
        <v>1</v>
      </c>
      <c r="AA169" s="3">
        <v>0</v>
      </c>
      <c r="AB169" s="3">
        <v>0</v>
      </c>
      <c r="AC169" s="3">
        <v>220</v>
      </c>
      <c r="AE169" s="4">
        <v>15</v>
      </c>
      <c r="AF169" s="4">
        <v>15</v>
      </c>
      <c r="AG169">
        <v>50</v>
      </c>
      <c r="AH169">
        <v>60</v>
      </c>
      <c r="AI169">
        <v>-25</v>
      </c>
      <c r="AJ169" t="s">
        <v>276</v>
      </c>
      <c r="AK169" t="s">
        <v>277</v>
      </c>
      <c r="AL169">
        <v>0</v>
      </c>
      <c r="AN169">
        <v>167</v>
      </c>
      <c r="AO169">
        <v>0</v>
      </c>
      <c r="AP169">
        <f t="shared" si="70"/>
        <v>2</v>
      </c>
      <c r="AR169">
        <v>1</v>
      </c>
      <c r="AS169">
        <v>0</v>
      </c>
      <c r="AT169">
        <v>0</v>
      </c>
      <c r="AU169">
        <v>1</v>
      </c>
      <c r="AW169">
        <v>1</v>
      </c>
      <c r="AY169" t="str">
        <f t="shared" si="71"/>
        <v>1</v>
      </c>
      <c r="BA169" s="13" t="str">
        <f t="shared" ref="BA169:BA201" si="72">_xlfn.CONCAT("('",A169,"', ",AY169,", ",SUBSTITUTE(D169,",","."),", ",SUBSTITUTE(E169,",","."),", ",SUBSTITUTE(C169,",","."),", ",SUBSTITUTE(F169,",","."),", ",AH169,", ",AI169,", '",G169,"', '",AJ169,"', '",AK169,"', ",M169,", ",N169,", ",AC169,", ",SUBSTITUTE(AF169,",","."),", ",SUBSTITUTE(AE169,",","."),", ",AG169,", ",P169,", ",AP169,", ",AL169,"),")</f>
        <v>('SIW300H M030 L1', 1, 365, 365, 140, 12.3, 60, -25, 'CONVECÇÃO NATURAL', 'IP65', 'TRANSFORMERLESS', 3000, 3300, 220, 15, 15, 50, 2, 2, 0),</v>
      </c>
      <c r="BB169" t="str">
        <f t="shared" ref="BB169:BB203" si="73">_xlfn.CONCAT("(",AN169,", 0, ",O169,", ",Q169,", ",R169,", ",S169,", ",T169,", ",U169,", ",V169,", ",W169,", ",SUBSTITUTE(X169,",","."),", ",SUBSTITUTE(Y169,",","."),"), ")</f>
        <v xml:space="preserve">(167, 0, 1, 600, 100, 600, 90, 560, 90, 360, 18, 12.5), </v>
      </c>
      <c r="BC169" t="str">
        <f t="shared" ref="BC169:BC201" si="74">IF(AR169=1,_xlfn.CONCAT("(",$AN169,", 'ON-GRID'),"),"")</f>
        <v>(167, 'ON-GRID'),</v>
      </c>
      <c r="BD169" t="str">
        <f t="shared" ref="BD169:BD201" si="75">IF(AS169=1,_xlfn.CONCAT("(",$AN169,", 'OFF-GRID'),"),"")</f>
        <v/>
      </c>
      <c r="BE169" t="str">
        <f t="shared" ref="BE169:BE201" si="76">IF(AT169=1,_xlfn.CONCAT("(",$AN169,", 'GRIDZERO'),"),"")</f>
        <v/>
      </c>
      <c r="BF169" t="str">
        <f t="shared" ref="BF169:BF201" si="77">IF(AU169=1,_xlfn.CONCAT("(",$AN169,", 'HYBRID'),"),"")</f>
        <v>(167, 'HYBRID'),</v>
      </c>
      <c r="BG169" t="str">
        <f t="shared" ref="BG169:BG203" si="78">IF(H169=1,_xlfn.CONCAT("(",$AN169,", '",BG$2,"'),"),"")</f>
        <v>(167, 'WIFI'),</v>
      </c>
      <c r="BH169" t="str">
        <f t="shared" ref="BH169:BH203" si="79">IF(I169=1,_xlfn.CONCAT("(",$AN169,", '",BH$2,"'),"),"")</f>
        <v>(167, 'RS485'),</v>
      </c>
      <c r="BI169" t="str">
        <f t="shared" ref="BI169:BI203" si="80">IF(J169=1,_xlfn.CONCAT("(",$AN169,", '",BI$2,"'),"),"")</f>
        <v/>
      </c>
      <c r="BJ169" t="str">
        <f t="shared" ref="BJ169:BJ203" si="81">IF(K169=1,_xlfn.CONCAT("(",$AN169,", '",BJ$2,"'),"),"")</f>
        <v>(167, 'LED'),</v>
      </c>
      <c r="BK169" t="str">
        <f t="shared" ref="BK169:BK203" si="82">IF(L169=1,_xlfn.CONCAT("(",$AN169,", '",BK$2,"'),"),"")</f>
        <v/>
      </c>
      <c r="BL169" t="str">
        <f t="shared" ref="BL169:BL203" si="83">IF(M169=1,_xlfn.CONCAT("(",$AN169,", '",BL$2,"'),"),"")</f>
        <v/>
      </c>
      <c r="BM169" t="str">
        <f t="shared" ref="BM169:BM206" si="84">IF(AA169=1,_xlfn.CONCAT("(",$AN169,", '",BM$2,"'),"),"")</f>
        <v/>
      </c>
      <c r="BN169" t="str">
        <f t="shared" ref="BN169:BN206" si="85">IF(AB169=1,_xlfn.CONCAT("(",$AN169,", '",BN$2,"'),"),"")</f>
        <v/>
      </c>
      <c r="BO169" t="str">
        <f t="shared" ref="BO169:BO206" si="86">IF(Z169=1,_xlfn.CONCAT("(",$AN169,", '",BO$2,"'),"),"")</f>
        <v>(167, 'SINGLE_PHASE'),</v>
      </c>
    </row>
    <row r="170" spans="1:67">
      <c r="A170" s="2" t="s">
        <v>449</v>
      </c>
      <c r="B170" s="3" t="s">
        <v>212</v>
      </c>
      <c r="C170" s="3">
        <v>140</v>
      </c>
      <c r="D170" s="3">
        <v>365</v>
      </c>
      <c r="E170" s="3">
        <v>365</v>
      </c>
      <c r="F170" s="3">
        <v>12.3</v>
      </c>
      <c r="G170" s="3" t="s">
        <v>275</v>
      </c>
      <c r="H170" s="3">
        <v>1</v>
      </c>
      <c r="I170" s="3">
        <v>1</v>
      </c>
      <c r="J170" s="3">
        <v>0</v>
      </c>
      <c r="K170" s="3">
        <v>1</v>
      </c>
      <c r="L170" s="3">
        <v>0</v>
      </c>
      <c r="M170" s="3">
        <v>4000</v>
      </c>
      <c r="N170" s="3">
        <v>4400</v>
      </c>
      <c r="O170" s="3">
        <v>1</v>
      </c>
      <c r="P170" s="3">
        <v>2</v>
      </c>
      <c r="Q170" s="3">
        <v>600</v>
      </c>
      <c r="R170" s="3">
        <v>100</v>
      </c>
      <c r="S170" s="3">
        <v>600</v>
      </c>
      <c r="T170" s="3">
        <v>90</v>
      </c>
      <c r="U170" s="3">
        <v>560</v>
      </c>
      <c r="V170" s="3">
        <v>90</v>
      </c>
      <c r="W170" s="3">
        <v>360</v>
      </c>
      <c r="X170" s="3">
        <v>18</v>
      </c>
      <c r="Y170" s="3">
        <v>12.5</v>
      </c>
      <c r="Z170" s="3">
        <v>1</v>
      </c>
      <c r="AA170" s="3">
        <v>0</v>
      </c>
      <c r="AB170" s="3">
        <v>0</v>
      </c>
      <c r="AC170" s="3">
        <v>220</v>
      </c>
      <c r="AE170" s="4">
        <v>20</v>
      </c>
      <c r="AF170" s="4">
        <v>20</v>
      </c>
      <c r="AG170">
        <v>50</v>
      </c>
      <c r="AH170">
        <v>60</v>
      </c>
      <c r="AI170">
        <v>-25</v>
      </c>
      <c r="AJ170" t="s">
        <v>276</v>
      </c>
      <c r="AK170" t="s">
        <v>277</v>
      </c>
      <c r="AL170">
        <v>0</v>
      </c>
      <c r="AN170">
        <v>168</v>
      </c>
      <c r="AO170">
        <v>0</v>
      </c>
      <c r="AP170">
        <f t="shared" si="70"/>
        <v>2</v>
      </c>
      <c r="AR170">
        <v>1</v>
      </c>
      <c r="AS170">
        <v>0</v>
      </c>
      <c r="AT170">
        <v>0</v>
      </c>
      <c r="AU170">
        <v>1</v>
      </c>
      <c r="AW170">
        <v>1</v>
      </c>
      <c r="AY170" t="str">
        <f t="shared" si="71"/>
        <v>1</v>
      </c>
      <c r="BA170" s="13" t="str">
        <f t="shared" si="72"/>
        <v>('SIW300H M040 L1', 1, 365, 365, 140, 12.3, 60, -25, 'CONVECÇÃO NATURAL', 'IP65', 'TRANSFORMERLESS', 4000, 4400, 220, 20, 20, 50, 2, 2, 0),</v>
      </c>
      <c r="BB170" t="str">
        <f t="shared" si="73"/>
        <v xml:space="preserve">(168, 0, 1, 600, 100, 600, 90, 560, 90, 360, 18, 12.5), </v>
      </c>
      <c r="BC170" t="str">
        <f t="shared" si="74"/>
        <v>(168, 'ON-GRID'),</v>
      </c>
      <c r="BD170" t="str">
        <f t="shared" si="75"/>
        <v/>
      </c>
      <c r="BE170" t="str">
        <f t="shared" si="76"/>
        <v/>
      </c>
      <c r="BF170" t="str">
        <f t="shared" si="77"/>
        <v>(168, 'HYBRID'),</v>
      </c>
      <c r="BG170" t="str">
        <f t="shared" si="78"/>
        <v>(168, 'WIFI'),</v>
      </c>
      <c r="BH170" t="str">
        <f t="shared" si="79"/>
        <v>(168, 'RS485'),</v>
      </c>
      <c r="BI170" t="str">
        <f t="shared" si="80"/>
        <v/>
      </c>
      <c r="BJ170" t="str">
        <f t="shared" si="81"/>
        <v>(168, 'LED'),</v>
      </c>
      <c r="BK170" t="str">
        <f t="shared" si="82"/>
        <v/>
      </c>
      <c r="BL170" t="str">
        <f t="shared" si="83"/>
        <v/>
      </c>
      <c r="BM170" t="str">
        <f t="shared" si="84"/>
        <v/>
      </c>
      <c r="BN170" t="str">
        <f t="shared" si="85"/>
        <v/>
      </c>
      <c r="BO170" t="str">
        <f t="shared" si="86"/>
        <v>(168, 'SINGLE_PHASE'),</v>
      </c>
    </row>
    <row r="171" spans="1:67">
      <c r="A171" s="2" t="s">
        <v>450</v>
      </c>
      <c r="B171" s="3" t="s">
        <v>212</v>
      </c>
      <c r="C171" s="3">
        <v>140</v>
      </c>
      <c r="D171" s="3">
        <v>365</v>
      </c>
      <c r="E171" s="3">
        <v>365</v>
      </c>
      <c r="F171" s="3">
        <v>12.3</v>
      </c>
      <c r="G171" s="3" t="s">
        <v>275</v>
      </c>
      <c r="H171" s="3">
        <v>1</v>
      </c>
      <c r="I171" s="3">
        <v>1</v>
      </c>
      <c r="J171" s="3">
        <v>0</v>
      </c>
      <c r="K171" s="3">
        <v>1</v>
      </c>
      <c r="L171" s="3">
        <v>0</v>
      </c>
      <c r="M171" s="3">
        <v>5000</v>
      </c>
      <c r="N171" s="3">
        <v>5500</v>
      </c>
      <c r="O171" s="3">
        <v>1</v>
      </c>
      <c r="P171" s="3">
        <v>2</v>
      </c>
      <c r="Q171" s="3">
        <v>600</v>
      </c>
      <c r="R171" s="3">
        <v>100</v>
      </c>
      <c r="S171" s="3">
        <v>600</v>
      </c>
      <c r="T171" s="3">
        <v>90</v>
      </c>
      <c r="U171" s="3">
        <v>560</v>
      </c>
      <c r="V171" s="3">
        <v>90</v>
      </c>
      <c r="W171" s="3">
        <v>360</v>
      </c>
      <c r="X171" s="3">
        <v>18</v>
      </c>
      <c r="Y171" s="3">
        <v>12.5</v>
      </c>
      <c r="Z171" s="3">
        <v>1</v>
      </c>
      <c r="AA171" s="3">
        <v>0</v>
      </c>
      <c r="AB171" s="3">
        <v>0</v>
      </c>
      <c r="AC171" s="3">
        <v>220</v>
      </c>
      <c r="AE171" s="4">
        <v>25</v>
      </c>
      <c r="AF171" s="4">
        <v>25</v>
      </c>
      <c r="AG171">
        <v>50</v>
      </c>
      <c r="AH171">
        <v>60</v>
      </c>
      <c r="AI171">
        <v>-25</v>
      </c>
      <c r="AJ171" t="s">
        <v>276</v>
      </c>
      <c r="AK171" t="s">
        <v>277</v>
      </c>
      <c r="AL171">
        <v>0</v>
      </c>
      <c r="AN171">
        <v>169</v>
      </c>
      <c r="AO171">
        <v>0</v>
      </c>
      <c r="AP171">
        <f t="shared" si="70"/>
        <v>2</v>
      </c>
      <c r="AR171">
        <v>1</v>
      </c>
      <c r="AS171">
        <v>0</v>
      </c>
      <c r="AT171">
        <v>0</v>
      </c>
      <c r="AU171">
        <v>1</v>
      </c>
      <c r="AW171">
        <v>1</v>
      </c>
      <c r="AY171" t="str">
        <f t="shared" si="71"/>
        <v>1</v>
      </c>
      <c r="BA171" s="13" t="str">
        <f t="shared" si="72"/>
        <v>('SIW300H M050 L1', 1, 365, 365, 140, 12.3, 60, -25, 'CONVECÇÃO NATURAL', 'IP65', 'TRANSFORMERLESS', 5000, 5500, 220, 25, 25, 50, 2, 2, 0),</v>
      </c>
      <c r="BB171" t="str">
        <f t="shared" si="73"/>
        <v xml:space="preserve">(169, 0, 1, 600, 100, 600, 90, 560, 90, 360, 18, 12.5), </v>
      </c>
      <c r="BC171" t="str">
        <f t="shared" si="74"/>
        <v>(169, 'ON-GRID'),</v>
      </c>
      <c r="BD171" t="str">
        <f t="shared" si="75"/>
        <v/>
      </c>
      <c r="BE171" t="str">
        <f t="shared" si="76"/>
        <v/>
      </c>
      <c r="BF171" t="str">
        <f t="shared" si="77"/>
        <v>(169, 'HYBRID'),</v>
      </c>
      <c r="BG171" t="str">
        <f t="shared" si="78"/>
        <v>(169, 'WIFI'),</v>
      </c>
      <c r="BH171" t="str">
        <f t="shared" si="79"/>
        <v>(169, 'RS485'),</v>
      </c>
      <c r="BI171" t="str">
        <f t="shared" si="80"/>
        <v/>
      </c>
      <c r="BJ171" t="str">
        <f t="shared" si="81"/>
        <v>(169, 'LED'),</v>
      </c>
      <c r="BK171" t="str">
        <f t="shared" si="82"/>
        <v/>
      </c>
      <c r="BL171" t="str">
        <f t="shared" si="83"/>
        <v/>
      </c>
      <c r="BM171" t="str">
        <f t="shared" si="84"/>
        <v/>
      </c>
      <c r="BN171" t="str">
        <f t="shared" si="85"/>
        <v/>
      </c>
      <c r="BO171" t="str">
        <f t="shared" si="86"/>
        <v>(169, 'SINGLE_PHASE'),</v>
      </c>
    </row>
    <row r="172" spans="1:67">
      <c r="A172" s="2" t="s">
        <v>451</v>
      </c>
      <c r="B172" s="3" t="s">
        <v>212</v>
      </c>
      <c r="C172" s="3">
        <v>140</v>
      </c>
      <c r="D172" s="3">
        <v>365</v>
      </c>
      <c r="E172" s="3">
        <v>365</v>
      </c>
      <c r="F172" s="3">
        <v>12.3</v>
      </c>
      <c r="G172" s="3" t="s">
        <v>275</v>
      </c>
      <c r="H172" s="3">
        <v>1</v>
      </c>
      <c r="I172" s="3">
        <v>1</v>
      </c>
      <c r="J172" s="3">
        <v>0</v>
      </c>
      <c r="K172" s="3">
        <v>1</v>
      </c>
      <c r="L172" s="3">
        <v>0</v>
      </c>
      <c r="M172" s="3">
        <v>6000</v>
      </c>
      <c r="N172" s="3">
        <v>6000</v>
      </c>
      <c r="O172" s="3">
        <v>1</v>
      </c>
      <c r="P172" s="3">
        <v>2</v>
      </c>
      <c r="Q172" s="3">
        <v>600</v>
      </c>
      <c r="R172" s="3">
        <v>100</v>
      </c>
      <c r="S172" s="3">
        <v>600</v>
      </c>
      <c r="T172" s="3">
        <v>90</v>
      </c>
      <c r="U172" s="3">
        <v>560</v>
      </c>
      <c r="V172" s="3">
        <v>90</v>
      </c>
      <c r="W172" s="3">
        <v>360</v>
      </c>
      <c r="X172" s="3">
        <v>18</v>
      </c>
      <c r="Y172" s="3">
        <v>12.5</v>
      </c>
      <c r="Z172" s="3">
        <v>1</v>
      </c>
      <c r="AA172" s="3">
        <v>0</v>
      </c>
      <c r="AB172" s="3">
        <v>0</v>
      </c>
      <c r="AC172" s="3">
        <v>220</v>
      </c>
      <c r="AE172" s="4">
        <v>27</v>
      </c>
      <c r="AF172" s="4">
        <v>27</v>
      </c>
      <c r="AG172">
        <v>50</v>
      </c>
      <c r="AH172">
        <v>60</v>
      </c>
      <c r="AI172">
        <v>-25</v>
      </c>
      <c r="AJ172" t="s">
        <v>276</v>
      </c>
      <c r="AK172" t="s">
        <v>277</v>
      </c>
      <c r="AL172">
        <v>0</v>
      </c>
      <c r="AN172">
        <v>170</v>
      </c>
      <c r="AO172">
        <v>0</v>
      </c>
      <c r="AP172">
        <f t="shared" si="70"/>
        <v>2</v>
      </c>
      <c r="AR172">
        <v>1</v>
      </c>
      <c r="AS172">
        <v>0</v>
      </c>
      <c r="AT172">
        <v>0</v>
      </c>
      <c r="AU172">
        <v>1</v>
      </c>
      <c r="AW172">
        <v>1</v>
      </c>
      <c r="AY172" t="str">
        <f t="shared" si="71"/>
        <v>1</v>
      </c>
      <c r="BA172" s="13" t="str">
        <f t="shared" si="72"/>
        <v>('SIW300H M060 L1', 1, 365, 365, 140, 12.3, 60, -25, 'CONVECÇÃO NATURAL', 'IP65', 'TRANSFORMERLESS', 6000, 6000, 220, 27, 27, 50, 2, 2, 0),</v>
      </c>
      <c r="BB172" t="str">
        <f t="shared" si="73"/>
        <v xml:space="preserve">(170, 0, 1, 600, 100, 600, 90, 560, 90, 360, 18, 12.5), </v>
      </c>
      <c r="BC172" t="str">
        <f t="shared" si="74"/>
        <v>(170, 'ON-GRID'),</v>
      </c>
      <c r="BD172" t="str">
        <f t="shared" si="75"/>
        <v/>
      </c>
      <c r="BE172" t="str">
        <f t="shared" si="76"/>
        <v/>
      </c>
      <c r="BF172" t="str">
        <f t="shared" si="77"/>
        <v>(170, 'HYBRID'),</v>
      </c>
      <c r="BG172" t="str">
        <f t="shared" si="78"/>
        <v>(170, 'WIFI'),</v>
      </c>
      <c r="BH172" t="str">
        <f t="shared" si="79"/>
        <v>(170, 'RS485'),</v>
      </c>
      <c r="BI172" t="str">
        <f t="shared" si="80"/>
        <v/>
      </c>
      <c r="BJ172" t="str">
        <f t="shared" si="81"/>
        <v>(170, 'LED'),</v>
      </c>
      <c r="BK172" t="str">
        <f t="shared" si="82"/>
        <v/>
      </c>
      <c r="BL172" t="str">
        <f t="shared" si="83"/>
        <v/>
      </c>
      <c r="BM172" t="str">
        <f t="shared" si="84"/>
        <v/>
      </c>
      <c r="BN172" t="str">
        <f t="shared" si="85"/>
        <v/>
      </c>
      <c r="BO172" t="str">
        <f t="shared" si="86"/>
        <v>(170, 'SINGLE_PHASE'),</v>
      </c>
    </row>
    <row r="173" spans="1:67">
      <c r="A173" s="2" t="s">
        <v>452</v>
      </c>
      <c r="B173" s="3" t="s">
        <v>212</v>
      </c>
      <c r="C173" s="3">
        <v>150</v>
      </c>
      <c r="D173" s="3">
        <v>425</v>
      </c>
      <c r="E173" s="3">
        <v>376.5</v>
      </c>
      <c r="F173" s="3">
        <v>15</v>
      </c>
      <c r="G173" s="3" t="s">
        <v>275</v>
      </c>
      <c r="H173" s="3">
        <v>1</v>
      </c>
      <c r="I173" s="3">
        <v>1</v>
      </c>
      <c r="J173" s="3">
        <v>0</v>
      </c>
      <c r="K173" s="3">
        <v>1</v>
      </c>
      <c r="L173" s="3">
        <v>0</v>
      </c>
      <c r="M173" s="3">
        <v>7500</v>
      </c>
      <c r="N173" s="3">
        <v>7500</v>
      </c>
      <c r="O173" s="3">
        <v>1</v>
      </c>
      <c r="P173" s="3">
        <v>3</v>
      </c>
      <c r="Q173" s="3">
        <v>600</v>
      </c>
      <c r="R173" s="3">
        <v>50</v>
      </c>
      <c r="S173" s="3">
        <v>560</v>
      </c>
      <c r="T173" s="3">
        <v>40</v>
      </c>
      <c r="U173" s="3">
        <v>560</v>
      </c>
      <c r="V173" s="3">
        <v>40</v>
      </c>
      <c r="W173" s="3">
        <v>360</v>
      </c>
      <c r="X173" s="3">
        <v>20</v>
      </c>
      <c r="Y173" s="3">
        <v>16</v>
      </c>
      <c r="Z173" s="3">
        <v>1</v>
      </c>
      <c r="AA173" s="3">
        <v>0</v>
      </c>
      <c r="AB173" s="3">
        <v>0</v>
      </c>
      <c r="AC173" s="3">
        <v>220</v>
      </c>
      <c r="AE173" s="4">
        <v>34.090000000000003</v>
      </c>
      <c r="AF173">
        <v>34.090000000000003</v>
      </c>
      <c r="AG173">
        <v>50</v>
      </c>
      <c r="AH173">
        <v>60</v>
      </c>
      <c r="AI173">
        <v>-25</v>
      </c>
      <c r="AJ173" t="s">
        <v>307</v>
      </c>
      <c r="AK173" t="s">
        <v>277</v>
      </c>
      <c r="AL173">
        <v>0</v>
      </c>
      <c r="AN173">
        <v>171</v>
      </c>
      <c r="AO173">
        <v>0</v>
      </c>
      <c r="AP173">
        <f t="shared" si="70"/>
        <v>3</v>
      </c>
      <c r="AR173">
        <v>1</v>
      </c>
      <c r="AS173">
        <v>0</v>
      </c>
      <c r="AT173">
        <v>0</v>
      </c>
      <c r="AU173">
        <v>1</v>
      </c>
      <c r="AW173">
        <v>1</v>
      </c>
      <c r="AY173" t="str">
        <f t="shared" si="71"/>
        <v>1</v>
      </c>
      <c r="BA173" s="13" t="str">
        <f t="shared" si="72"/>
        <v>('SIW300H M075 W00', 1, 425, 376.5, 150, 15, 60, -25, 'CONVECÇÃO NATURAL', 'IP66', 'TRANSFORMERLESS', 7500, 7500, 220, 34.09, 34.09, 50, 3, 3, 0),</v>
      </c>
      <c r="BB173" t="str">
        <f t="shared" si="73"/>
        <v xml:space="preserve">(171, 0, 1, 600, 50, 560, 40, 560, 40, 360, 20, 16), </v>
      </c>
      <c r="BC173" t="str">
        <f t="shared" si="74"/>
        <v>(171, 'ON-GRID'),</v>
      </c>
      <c r="BD173" t="str">
        <f t="shared" si="75"/>
        <v/>
      </c>
      <c r="BE173" t="str">
        <f t="shared" si="76"/>
        <v/>
      </c>
      <c r="BF173" t="str">
        <f t="shared" si="77"/>
        <v>(171, 'HYBRID'),</v>
      </c>
      <c r="BG173" t="str">
        <f t="shared" si="78"/>
        <v>(171, 'WIFI'),</v>
      </c>
      <c r="BH173" t="str">
        <f t="shared" si="79"/>
        <v>(171, 'RS485'),</v>
      </c>
      <c r="BI173" t="str">
        <f t="shared" si="80"/>
        <v/>
      </c>
      <c r="BJ173" t="str">
        <f t="shared" si="81"/>
        <v>(171, 'LED'),</v>
      </c>
      <c r="BK173" t="str">
        <f t="shared" si="82"/>
        <v/>
      </c>
      <c r="BL173" t="str">
        <f t="shared" si="83"/>
        <v/>
      </c>
      <c r="BM173" t="str">
        <f t="shared" si="84"/>
        <v/>
      </c>
      <c r="BN173" t="str">
        <f t="shared" si="85"/>
        <v/>
      </c>
      <c r="BO173" t="str">
        <f t="shared" si="86"/>
        <v>(171, 'SINGLE_PHASE'),</v>
      </c>
    </row>
    <row r="174" spans="1:67">
      <c r="A174" s="2" t="s">
        <v>453</v>
      </c>
      <c r="B174" s="3" t="s">
        <v>212</v>
      </c>
      <c r="C174" s="3">
        <v>150</v>
      </c>
      <c r="D174" s="3">
        <v>425</v>
      </c>
      <c r="E174" s="3">
        <v>376.5</v>
      </c>
      <c r="F174" s="3">
        <v>15</v>
      </c>
      <c r="G174" s="3" t="s">
        <v>275</v>
      </c>
      <c r="H174" s="3">
        <v>1</v>
      </c>
      <c r="I174" s="3">
        <v>1</v>
      </c>
      <c r="J174" s="3">
        <v>0</v>
      </c>
      <c r="K174" s="3">
        <v>1</v>
      </c>
      <c r="L174" s="3">
        <v>0</v>
      </c>
      <c r="M174" s="3">
        <v>8000</v>
      </c>
      <c r="N174" s="3">
        <v>8800</v>
      </c>
      <c r="O174" s="3">
        <v>1</v>
      </c>
      <c r="P174" s="3">
        <v>3</v>
      </c>
      <c r="Q174" s="3">
        <v>600</v>
      </c>
      <c r="R174" s="3">
        <v>50</v>
      </c>
      <c r="S174" s="3">
        <v>560</v>
      </c>
      <c r="T174" s="3">
        <v>40</v>
      </c>
      <c r="U174" s="3">
        <v>560</v>
      </c>
      <c r="V174" s="3">
        <v>40</v>
      </c>
      <c r="W174" s="3">
        <v>360</v>
      </c>
      <c r="X174" s="3">
        <v>20</v>
      </c>
      <c r="Y174" s="3">
        <v>16</v>
      </c>
      <c r="Z174" s="3">
        <v>1</v>
      </c>
      <c r="AA174" s="3">
        <v>0</v>
      </c>
      <c r="AB174" s="3">
        <v>0</v>
      </c>
      <c r="AC174" s="3">
        <v>220</v>
      </c>
      <c r="AE174" s="4">
        <v>40</v>
      </c>
      <c r="AF174">
        <v>34.090000000000003</v>
      </c>
      <c r="AG174">
        <v>50</v>
      </c>
      <c r="AH174">
        <v>60</v>
      </c>
      <c r="AI174">
        <v>-25</v>
      </c>
      <c r="AJ174" t="s">
        <v>307</v>
      </c>
      <c r="AK174" t="s">
        <v>277</v>
      </c>
      <c r="AL174">
        <v>0</v>
      </c>
      <c r="AN174">
        <v>172</v>
      </c>
      <c r="AO174">
        <v>0</v>
      </c>
      <c r="AP174">
        <f t="shared" si="70"/>
        <v>3</v>
      </c>
      <c r="AR174">
        <v>1</v>
      </c>
      <c r="AS174">
        <v>0</v>
      </c>
      <c r="AT174">
        <v>0</v>
      </c>
      <c r="AU174">
        <v>1</v>
      </c>
      <c r="AW174">
        <v>1</v>
      </c>
      <c r="AY174" t="str">
        <f t="shared" si="71"/>
        <v>1</v>
      </c>
      <c r="BA174" s="13" t="str">
        <f t="shared" si="72"/>
        <v>('SIW300H M080 W00', 1, 425, 376.5, 150, 15, 60, -25, 'CONVECÇÃO NATURAL', 'IP66', 'TRANSFORMERLESS', 8000, 8800, 220, 34.09, 40, 50, 3, 3, 0),</v>
      </c>
      <c r="BB174" t="str">
        <f t="shared" si="73"/>
        <v xml:space="preserve">(172, 0, 1, 600, 50, 560, 40, 560, 40, 360, 20, 16), </v>
      </c>
      <c r="BC174" t="str">
        <f t="shared" si="74"/>
        <v>(172, 'ON-GRID'),</v>
      </c>
      <c r="BD174" t="str">
        <f t="shared" si="75"/>
        <v/>
      </c>
      <c r="BE174" t="str">
        <f t="shared" si="76"/>
        <v/>
      </c>
      <c r="BF174" t="str">
        <f t="shared" si="77"/>
        <v>(172, 'HYBRID'),</v>
      </c>
      <c r="BG174" t="str">
        <f t="shared" si="78"/>
        <v>(172, 'WIFI'),</v>
      </c>
      <c r="BH174" t="str">
        <f t="shared" si="79"/>
        <v>(172, 'RS485'),</v>
      </c>
      <c r="BI174" t="str">
        <f t="shared" si="80"/>
        <v/>
      </c>
      <c r="BJ174" t="str">
        <f t="shared" si="81"/>
        <v>(172, 'LED'),</v>
      </c>
      <c r="BK174" t="str">
        <f t="shared" si="82"/>
        <v/>
      </c>
      <c r="BL174" t="str">
        <f t="shared" si="83"/>
        <v/>
      </c>
      <c r="BM174" t="str">
        <f t="shared" si="84"/>
        <v/>
      </c>
      <c r="BN174" t="str">
        <f t="shared" si="85"/>
        <v/>
      </c>
      <c r="BO174" t="str">
        <f t="shared" si="86"/>
        <v>(172, 'SINGLE_PHASE'),</v>
      </c>
    </row>
    <row r="175" spans="1:67">
      <c r="A175" s="2" t="s">
        <v>454</v>
      </c>
      <c r="B175" s="3" t="s">
        <v>212</v>
      </c>
      <c r="C175" s="3">
        <v>150</v>
      </c>
      <c r="D175" s="3">
        <v>425</v>
      </c>
      <c r="E175" s="3">
        <v>376.5</v>
      </c>
      <c r="F175" s="3">
        <v>15</v>
      </c>
      <c r="G175" s="3" t="s">
        <v>316</v>
      </c>
      <c r="H175" s="3">
        <v>1</v>
      </c>
      <c r="I175" s="3">
        <v>1</v>
      </c>
      <c r="J175" s="3">
        <v>0</v>
      </c>
      <c r="K175" s="3">
        <v>1</v>
      </c>
      <c r="L175" s="3">
        <v>0</v>
      </c>
      <c r="M175" s="3">
        <v>10000</v>
      </c>
      <c r="N175" s="3">
        <v>10000</v>
      </c>
      <c r="O175" s="3">
        <v>1</v>
      </c>
      <c r="P175" s="3">
        <v>3</v>
      </c>
      <c r="Q175" s="3">
        <v>600</v>
      </c>
      <c r="R175" s="3">
        <v>50</v>
      </c>
      <c r="S175" s="3">
        <v>560</v>
      </c>
      <c r="T175" s="3">
        <v>40</v>
      </c>
      <c r="U175" s="3">
        <v>560</v>
      </c>
      <c r="V175" s="3">
        <v>40</v>
      </c>
      <c r="W175" s="3">
        <v>360</v>
      </c>
      <c r="X175" s="3">
        <v>20</v>
      </c>
      <c r="Y175" s="3">
        <v>16</v>
      </c>
      <c r="Z175" s="3">
        <v>1</v>
      </c>
      <c r="AA175" s="3">
        <v>0</v>
      </c>
      <c r="AB175" s="3">
        <v>0</v>
      </c>
      <c r="AC175" s="3">
        <v>220</v>
      </c>
      <c r="AE175" s="4">
        <v>45.5</v>
      </c>
      <c r="AF175">
        <v>45.5</v>
      </c>
      <c r="AG175">
        <v>50</v>
      </c>
      <c r="AH175">
        <v>60</v>
      </c>
      <c r="AI175">
        <v>-25</v>
      </c>
      <c r="AJ175" t="s">
        <v>307</v>
      </c>
      <c r="AK175" t="s">
        <v>277</v>
      </c>
      <c r="AL175">
        <v>0</v>
      </c>
      <c r="AN175">
        <v>173</v>
      </c>
      <c r="AO175">
        <v>0</v>
      </c>
      <c r="AP175">
        <f t="shared" si="70"/>
        <v>3</v>
      </c>
      <c r="AR175">
        <v>1</v>
      </c>
      <c r="AS175">
        <v>0</v>
      </c>
      <c r="AT175">
        <v>0</v>
      </c>
      <c r="AU175">
        <v>1</v>
      </c>
      <c r="AW175">
        <v>1</v>
      </c>
      <c r="AY175" t="str">
        <f t="shared" si="71"/>
        <v>1</v>
      </c>
      <c r="BA175" s="13" t="str">
        <f t="shared" si="72"/>
        <v>('SIW300H M100 W00', 1, 425, 376.5, 150, 15, 60, -25, 'COOLER', 'IP66', 'TRANSFORMERLESS', 10000, 10000, 220, 45.5, 45.5, 50, 3, 3, 0),</v>
      </c>
      <c r="BB175" t="str">
        <f t="shared" si="73"/>
        <v xml:space="preserve">(173, 0, 1, 600, 50, 560, 40, 560, 40, 360, 20, 16), </v>
      </c>
      <c r="BC175" t="str">
        <f t="shared" si="74"/>
        <v>(173, 'ON-GRID'),</v>
      </c>
      <c r="BD175" t="str">
        <f t="shared" si="75"/>
        <v/>
      </c>
      <c r="BE175" t="str">
        <f t="shared" si="76"/>
        <v/>
      </c>
      <c r="BF175" t="str">
        <f t="shared" si="77"/>
        <v>(173, 'HYBRID'),</v>
      </c>
      <c r="BG175" t="str">
        <f t="shared" si="78"/>
        <v>(173, 'WIFI'),</v>
      </c>
      <c r="BH175" t="str">
        <f t="shared" si="79"/>
        <v>(173, 'RS485'),</v>
      </c>
      <c r="BI175" t="str">
        <f t="shared" si="80"/>
        <v/>
      </c>
      <c r="BJ175" t="str">
        <f t="shared" si="81"/>
        <v>(173, 'LED'),</v>
      </c>
      <c r="BK175" t="str">
        <f t="shared" si="82"/>
        <v/>
      </c>
      <c r="BL175" t="str">
        <f t="shared" si="83"/>
        <v/>
      </c>
      <c r="BM175" t="str">
        <f t="shared" si="84"/>
        <v/>
      </c>
      <c r="BN175" t="str">
        <f t="shared" si="85"/>
        <v/>
      </c>
      <c r="BO175" t="str">
        <f t="shared" si="86"/>
        <v>(173, 'SINGLE_PHASE'),</v>
      </c>
    </row>
    <row r="176" spans="1:67">
      <c r="A176" s="2" t="s">
        <v>20</v>
      </c>
      <c r="B176" s="3" t="s">
        <v>212</v>
      </c>
      <c r="C176" s="3">
        <v>267</v>
      </c>
      <c r="D176" s="3">
        <v>586</v>
      </c>
      <c r="E176" s="3">
        <v>788</v>
      </c>
      <c r="F176" s="3">
        <v>70</v>
      </c>
      <c r="G176" s="3" t="s">
        <v>316</v>
      </c>
      <c r="H176" s="3">
        <v>1</v>
      </c>
      <c r="I176" s="3">
        <v>1</v>
      </c>
      <c r="J176" s="3">
        <v>0</v>
      </c>
      <c r="K176" s="3">
        <v>1</v>
      </c>
      <c r="L176" s="3">
        <v>0</v>
      </c>
      <c r="M176" s="3">
        <v>75000</v>
      </c>
      <c r="N176" s="3">
        <v>75000</v>
      </c>
      <c r="O176" s="3">
        <v>4</v>
      </c>
      <c r="P176" s="3">
        <v>4</v>
      </c>
      <c r="Q176" s="3">
        <v>1100</v>
      </c>
      <c r="R176" s="3">
        <v>200</v>
      </c>
      <c r="S176" s="3">
        <v>1000</v>
      </c>
      <c r="T176" s="3">
        <v>200</v>
      </c>
      <c r="U176" s="3">
        <v>1000</v>
      </c>
      <c r="V176" s="3">
        <v>200</v>
      </c>
      <c r="W176" s="3">
        <v>600</v>
      </c>
      <c r="X176" s="3">
        <v>55</v>
      </c>
      <c r="Y176" s="3">
        <v>44</v>
      </c>
      <c r="Z176" s="3">
        <v>0</v>
      </c>
      <c r="AA176" s="3">
        <v>0</v>
      </c>
      <c r="AB176" s="3">
        <v>1</v>
      </c>
      <c r="AC176" s="3">
        <v>380</v>
      </c>
      <c r="AE176" s="4">
        <v>133</v>
      </c>
      <c r="AF176">
        <v>133</v>
      </c>
      <c r="AG176">
        <v>50</v>
      </c>
      <c r="AH176">
        <v>60</v>
      </c>
      <c r="AI176">
        <v>-30</v>
      </c>
      <c r="AJ176" t="s">
        <v>276</v>
      </c>
      <c r="AK176" t="s">
        <v>277</v>
      </c>
      <c r="AL176">
        <v>0</v>
      </c>
      <c r="AN176">
        <v>174</v>
      </c>
      <c r="AO176">
        <v>0</v>
      </c>
      <c r="AP176">
        <f t="shared" si="70"/>
        <v>16</v>
      </c>
      <c r="AR176">
        <v>1</v>
      </c>
      <c r="AS176">
        <v>0</v>
      </c>
      <c r="AT176">
        <v>0</v>
      </c>
      <c r="AU176">
        <v>0</v>
      </c>
      <c r="AW176">
        <v>0</v>
      </c>
      <c r="AY176" t="str">
        <f t="shared" si="71"/>
        <v>1</v>
      </c>
      <c r="BA176" s="13" t="str">
        <f t="shared" si="72"/>
        <v>('SIW400 T075', 1, 586, 788, 267, 70, 60, -30, 'COOLER', 'IP65', 'TRANSFORMERLESS', 75000, 75000, 380, 133, 133, 50, 4, 16, 0),</v>
      </c>
      <c r="BB176" t="str">
        <f t="shared" si="73"/>
        <v xml:space="preserve">(174, 0, 4, 1100, 200, 1000, 200, 1000, 200, 600, 55, 44), </v>
      </c>
      <c r="BC176" t="str">
        <f t="shared" si="74"/>
        <v>(174, 'ON-GRID'),</v>
      </c>
      <c r="BD176" t="str">
        <f t="shared" si="75"/>
        <v/>
      </c>
      <c r="BE176" t="str">
        <f t="shared" si="76"/>
        <v/>
      </c>
      <c r="BF176" t="str">
        <f t="shared" si="77"/>
        <v/>
      </c>
      <c r="BG176" t="str">
        <f t="shared" si="78"/>
        <v>(174, 'WIFI'),</v>
      </c>
      <c r="BH176" t="str">
        <f t="shared" si="79"/>
        <v>(174, 'RS485'),</v>
      </c>
      <c r="BI176" t="str">
        <f t="shared" si="80"/>
        <v/>
      </c>
      <c r="BJ176" t="str">
        <f t="shared" si="81"/>
        <v>(174, 'LED'),</v>
      </c>
      <c r="BK176" t="str">
        <f t="shared" si="82"/>
        <v/>
      </c>
      <c r="BL176" t="str">
        <f t="shared" si="83"/>
        <v/>
      </c>
      <c r="BM176" t="str">
        <f t="shared" si="84"/>
        <v/>
      </c>
      <c r="BN176" t="str">
        <f t="shared" si="85"/>
        <v>(174, 'THREE_PHASE_FOUR_WIRE'),</v>
      </c>
      <c r="BO176" t="str">
        <f t="shared" si="86"/>
        <v/>
      </c>
    </row>
    <row r="177" spans="1:67">
      <c r="A177" s="2" t="s">
        <v>455</v>
      </c>
      <c r="B177" s="3" t="s">
        <v>212</v>
      </c>
      <c r="C177" s="3">
        <v>183.5</v>
      </c>
      <c r="D177" s="3">
        <v>370</v>
      </c>
      <c r="E177" s="3">
        <v>480</v>
      </c>
      <c r="F177" s="3">
        <v>17</v>
      </c>
      <c r="G177" s="3" t="s">
        <v>275</v>
      </c>
      <c r="H177" s="3">
        <v>1</v>
      </c>
      <c r="I177" s="3">
        <v>1</v>
      </c>
      <c r="J177" s="3">
        <v>1</v>
      </c>
      <c r="K177" s="3">
        <v>1</v>
      </c>
      <c r="L177" s="3">
        <v>0</v>
      </c>
      <c r="M177" s="3">
        <v>12000</v>
      </c>
      <c r="N177" s="3">
        <v>13200</v>
      </c>
      <c r="O177" s="3">
        <v>1</v>
      </c>
      <c r="P177" s="3">
        <v>2</v>
      </c>
      <c r="Q177" s="3">
        <v>1100</v>
      </c>
      <c r="R177" s="3">
        <v>140</v>
      </c>
      <c r="S177" s="3">
        <v>1000</v>
      </c>
      <c r="T177" s="3">
        <v>140</v>
      </c>
      <c r="U177" s="3">
        <v>850</v>
      </c>
      <c r="V177" s="3">
        <v>455</v>
      </c>
      <c r="W177" s="3">
        <v>600</v>
      </c>
      <c r="X177" s="3">
        <v>18.2</v>
      </c>
      <c r="Y177" s="3">
        <v>14</v>
      </c>
      <c r="Z177" s="3">
        <v>0</v>
      </c>
      <c r="AA177" s="3">
        <v>0</v>
      </c>
      <c r="AB177" s="3">
        <v>1</v>
      </c>
      <c r="AC177" s="3">
        <v>380</v>
      </c>
      <c r="AE177" s="4">
        <v>19.100000000000001</v>
      </c>
      <c r="AF177">
        <v>17.399999999999999</v>
      </c>
      <c r="AG177">
        <v>50</v>
      </c>
      <c r="AH177">
        <v>60</v>
      </c>
      <c r="AI177">
        <v>-25</v>
      </c>
      <c r="AJ177" t="s">
        <v>276</v>
      </c>
      <c r="AK177" t="s">
        <v>277</v>
      </c>
      <c r="AL177">
        <v>0</v>
      </c>
      <c r="AN177">
        <v>175</v>
      </c>
      <c r="AO177">
        <v>0</v>
      </c>
      <c r="AP177">
        <f t="shared" si="70"/>
        <v>2</v>
      </c>
      <c r="AR177">
        <v>1</v>
      </c>
      <c r="AS177">
        <v>0</v>
      </c>
      <c r="AT177">
        <v>0</v>
      </c>
      <c r="AU177">
        <v>0</v>
      </c>
      <c r="AW177">
        <v>1</v>
      </c>
      <c r="AY177" t="str">
        <f t="shared" si="71"/>
        <v>1</v>
      </c>
      <c r="BA177" s="13" t="str">
        <f t="shared" si="72"/>
        <v>('SIW400G T012 W0', 1, 370, 480, 183.5, 17, 60, -25, 'CONVECÇÃO NATURAL', 'IP65', 'TRANSFORMERLESS', 12000, 13200, 380, 17.4, 19.1, 50, 2, 2, 0),</v>
      </c>
      <c r="BB177" t="str">
        <f t="shared" si="73"/>
        <v xml:space="preserve">(175, 0, 1, 1100, 140, 1000, 140, 850, 455, 600, 18.2, 14), </v>
      </c>
      <c r="BC177" t="str">
        <f t="shared" si="74"/>
        <v>(175, 'ON-GRID'),</v>
      </c>
      <c r="BD177" t="str">
        <f t="shared" si="75"/>
        <v/>
      </c>
      <c r="BE177" t="str">
        <f t="shared" si="76"/>
        <v/>
      </c>
      <c r="BF177" t="str">
        <f t="shared" si="77"/>
        <v/>
      </c>
      <c r="BG177" t="str">
        <f t="shared" si="78"/>
        <v>(175, 'WIFI'),</v>
      </c>
      <c r="BH177" t="str">
        <f t="shared" si="79"/>
        <v>(175, 'RS485'),</v>
      </c>
      <c r="BI177" t="str">
        <f t="shared" si="80"/>
        <v>(175, 'DISPLAY'),</v>
      </c>
      <c r="BJ177" t="str">
        <f t="shared" si="81"/>
        <v>(175, 'LED'),</v>
      </c>
      <c r="BK177" t="str">
        <f t="shared" si="82"/>
        <v/>
      </c>
      <c r="BL177" t="str">
        <f t="shared" si="83"/>
        <v/>
      </c>
      <c r="BM177" t="str">
        <f t="shared" si="84"/>
        <v/>
      </c>
      <c r="BN177" t="str">
        <f t="shared" si="85"/>
        <v>(175, 'THREE_PHASE_FOUR_WIRE'),</v>
      </c>
      <c r="BO177" t="str">
        <f t="shared" si="86"/>
        <v/>
      </c>
    </row>
    <row r="178" spans="1:67">
      <c r="A178" s="2" t="s">
        <v>456</v>
      </c>
      <c r="B178" s="3" t="s">
        <v>212</v>
      </c>
      <c r="C178" s="3">
        <v>183.5</v>
      </c>
      <c r="D178" s="3">
        <v>370</v>
      </c>
      <c r="E178" s="3">
        <v>480</v>
      </c>
      <c r="F178" s="3">
        <v>21</v>
      </c>
      <c r="G178" s="3" t="s">
        <v>316</v>
      </c>
      <c r="H178" s="3">
        <v>1</v>
      </c>
      <c r="I178" s="3">
        <v>1</v>
      </c>
      <c r="J178" s="3">
        <v>1</v>
      </c>
      <c r="K178" s="3">
        <v>1</v>
      </c>
      <c r="L178" s="3">
        <v>0</v>
      </c>
      <c r="M178" s="3">
        <v>15000</v>
      </c>
      <c r="N178" s="3">
        <v>16500</v>
      </c>
      <c r="O178" s="3">
        <v>2</v>
      </c>
      <c r="P178" s="3">
        <v>2</v>
      </c>
      <c r="Q178" s="3">
        <v>1100</v>
      </c>
      <c r="R178" s="3">
        <v>140</v>
      </c>
      <c r="S178" s="3">
        <v>1000</v>
      </c>
      <c r="T178" s="3">
        <v>140</v>
      </c>
      <c r="U178" s="3">
        <v>850</v>
      </c>
      <c r="V178" s="3">
        <v>275</v>
      </c>
      <c r="W178" s="3">
        <v>600</v>
      </c>
      <c r="X178" s="3">
        <v>36.4</v>
      </c>
      <c r="Y178" s="3">
        <v>28</v>
      </c>
      <c r="Z178" s="3">
        <v>0</v>
      </c>
      <c r="AA178" s="3">
        <v>0</v>
      </c>
      <c r="AB178" s="3">
        <v>1</v>
      </c>
      <c r="AC178" s="3">
        <v>380</v>
      </c>
      <c r="AE178" s="4">
        <v>23.9</v>
      </c>
      <c r="AF178">
        <v>21.7</v>
      </c>
      <c r="AG178">
        <v>50</v>
      </c>
      <c r="AH178">
        <v>60</v>
      </c>
      <c r="AI178">
        <v>-25</v>
      </c>
      <c r="AJ178" t="s">
        <v>276</v>
      </c>
      <c r="AK178" t="s">
        <v>277</v>
      </c>
      <c r="AL178">
        <v>0</v>
      </c>
      <c r="AN178">
        <v>176</v>
      </c>
      <c r="AO178">
        <v>0</v>
      </c>
      <c r="AP178">
        <f t="shared" ref="AP178:AP194" si="87">O178*P178</f>
        <v>4</v>
      </c>
      <c r="AR178">
        <v>1</v>
      </c>
      <c r="AS178">
        <v>0</v>
      </c>
      <c r="AT178">
        <v>0</v>
      </c>
      <c r="AU178">
        <v>0</v>
      </c>
      <c r="AW178">
        <v>1</v>
      </c>
      <c r="AY178" t="str">
        <f t="shared" si="71"/>
        <v>1</v>
      </c>
      <c r="BA178" s="13" t="str">
        <f t="shared" si="72"/>
        <v>('SIW400G T015 W0', 1, 370, 480, 183.5, 21, 60, -25, 'COOLER', 'IP65', 'TRANSFORMERLESS', 15000, 16500, 380, 21.7, 23.9, 50, 2, 4, 0),</v>
      </c>
      <c r="BB178" t="str">
        <f t="shared" si="73"/>
        <v xml:space="preserve">(176, 0, 2, 1100, 140, 1000, 140, 850, 275, 600, 36.4, 28), </v>
      </c>
      <c r="BC178" t="str">
        <f t="shared" si="74"/>
        <v>(176, 'ON-GRID'),</v>
      </c>
      <c r="BD178" t="str">
        <f t="shared" si="75"/>
        <v/>
      </c>
      <c r="BE178" t="str">
        <f t="shared" si="76"/>
        <v/>
      </c>
      <c r="BF178" t="str">
        <f t="shared" si="77"/>
        <v/>
      </c>
      <c r="BG178" t="str">
        <f t="shared" si="78"/>
        <v>(176, 'WIFI'),</v>
      </c>
      <c r="BH178" t="str">
        <f t="shared" si="79"/>
        <v>(176, 'RS485'),</v>
      </c>
      <c r="BI178" t="str">
        <f t="shared" si="80"/>
        <v>(176, 'DISPLAY'),</v>
      </c>
      <c r="BJ178" t="str">
        <f t="shared" si="81"/>
        <v>(176, 'LED'),</v>
      </c>
      <c r="BK178" t="str">
        <f t="shared" si="82"/>
        <v/>
      </c>
      <c r="BL178" t="str">
        <f t="shared" si="83"/>
        <v/>
      </c>
      <c r="BM178" t="str">
        <f t="shared" si="84"/>
        <v/>
      </c>
      <c r="BN178" t="str">
        <f t="shared" si="85"/>
        <v>(176, 'THREE_PHASE_FOUR_WIRE'),</v>
      </c>
      <c r="BO178" t="str">
        <f t="shared" si="86"/>
        <v/>
      </c>
    </row>
    <row r="179" spans="1:67">
      <c r="A179" s="2" t="s">
        <v>457</v>
      </c>
      <c r="B179" s="3" t="s">
        <v>212</v>
      </c>
      <c r="C179" s="3">
        <v>183.5</v>
      </c>
      <c r="D179" s="3">
        <v>370</v>
      </c>
      <c r="E179" s="3">
        <v>480</v>
      </c>
      <c r="F179" s="3">
        <v>21</v>
      </c>
      <c r="G179" s="3" t="s">
        <v>316</v>
      </c>
      <c r="H179" s="3">
        <v>1</v>
      </c>
      <c r="I179" s="3">
        <v>1</v>
      </c>
      <c r="J179" s="3">
        <v>1</v>
      </c>
      <c r="K179" s="3">
        <v>1</v>
      </c>
      <c r="L179" s="3">
        <v>0</v>
      </c>
      <c r="M179" s="3">
        <v>20000</v>
      </c>
      <c r="N179" s="3">
        <v>22000</v>
      </c>
      <c r="O179" s="3">
        <v>2</v>
      </c>
      <c r="P179" s="3">
        <v>2</v>
      </c>
      <c r="Q179" s="3">
        <v>1100</v>
      </c>
      <c r="R179" s="3">
        <v>140</v>
      </c>
      <c r="S179" s="3">
        <v>1000</v>
      </c>
      <c r="T179" s="3">
        <v>140</v>
      </c>
      <c r="U179" s="3">
        <v>850</v>
      </c>
      <c r="V179" s="3">
        <v>370</v>
      </c>
      <c r="W179" s="3">
        <v>600</v>
      </c>
      <c r="X179" s="3">
        <v>36.4</v>
      </c>
      <c r="Y179" s="3">
        <v>28</v>
      </c>
      <c r="Z179" s="3">
        <v>0</v>
      </c>
      <c r="AA179" s="3">
        <v>0</v>
      </c>
      <c r="AB179" s="3">
        <v>1</v>
      </c>
      <c r="AC179" s="3">
        <v>380</v>
      </c>
      <c r="AE179" s="4">
        <v>31.9</v>
      </c>
      <c r="AF179">
        <v>29</v>
      </c>
      <c r="AG179">
        <v>50</v>
      </c>
      <c r="AH179">
        <v>60</v>
      </c>
      <c r="AI179">
        <v>-25</v>
      </c>
      <c r="AJ179" t="s">
        <v>276</v>
      </c>
      <c r="AK179" t="s">
        <v>277</v>
      </c>
      <c r="AL179">
        <v>0</v>
      </c>
      <c r="AN179">
        <v>177</v>
      </c>
      <c r="AO179">
        <v>0</v>
      </c>
      <c r="AP179">
        <f t="shared" si="87"/>
        <v>4</v>
      </c>
      <c r="AR179">
        <v>1</v>
      </c>
      <c r="AS179">
        <v>0</v>
      </c>
      <c r="AT179">
        <v>0</v>
      </c>
      <c r="AU179">
        <v>0</v>
      </c>
      <c r="AW179">
        <v>1</v>
      </c>
      <c r="AY179" t="str">
        <f t="shared" si="71"/>
        <v>1</v>
      </c>
      <c r="BA179" s="13" t="str">
        <f t="shared" si="72"/>
        <v>('SIW400G T020 W0', 1, 370, 480, 183.5, 21, 60, -25, 'COOLER', 'IP65', 'TRANSFORMERLESS', 20000, 22000, 380, 29, 31.9, 50, 2, 4, 0),</v>
      </c>
      <c r="BB179" t="str">
        <f t="shared" si="73"/>
        <v xml:space="preserve">(177, 0, 2, 1100, 140, 1000, 140, 850, 370, 600, 36.4, 28), </v>
      </c>
      <c r="BC179" t="str">
        <f t="shared" si="74"/>
        <v>(177, 'ON-GRID'),</v>
      </c>
      <c r="BD179" t="str">
        <f t="shared" si="75"/>
        <v/>
      </c>
      <c r="BE179" t="str">
        <f t="shared" si="76"/>
        <v/>
      </c>
      <c r="BF179" t="str">
        <f t="shared" si="77"/>
        <v/>
      </c>
      <c r="BG179" t="str">
        <f t="shared" si="78"/>
        <v>(177, 'WIFI'),</v>
      </c>
      <c r="BH179" t="str">
        <f t="shared" si="79"/>
        <v>(177, 'RS485'),</v>
      </c>
      <c r="BI179" t="str">
        <f t="shared" si="80"/>
        <v>(177, 'DISPLAY'),</v>
      </c>
      <c r="BJ179" t="str">
        <f t="shared" si="81"/>
        <v>(177, 'LED'),</v>
      </c>
      <c r="BK179" t="str">
        <f t="shared" si="82"/>
        <v/>
      </c>
      <c r="BL179" t="str">
        <f t="shared" si="83"/>
        <v/>
      </c>
      <c r="BM179" t="str">
        <f t="shared" si="84"/>
        <v/>
      </c>
      <c r="BN179" t="str">
        <f t="shared" si="85"/>
        <v>(177, 'THREE_PHASE_FOUR_WIRE'),</v>
      </c>
      <c r="BO179" t="str">
        <f t="shared" si="86"/>
        <v/>
      </c>
    </row>
    <row r="180" spans="1:67">
      <c r="A180" s="2" t="s">
        <v>458</v>
      </c>
      <c r="B180" s="3" t="s">
        <v>212</v>
      </c>
      <c r="C180" s="3">
        <v>183.5</v>
      </c>
      <c r="D180" s="3">
        <v>370</v>
      </c>
      <c r="E180" s="3">
        <v>480</v>
      </c>
      <c r="F180" s="3">
        <v>21</v>
      </c>
      <c r="G180" s="3" t="s">
        <v>316</v>
      </c>
      <c r="H180" s="3">
        <v>1</v>
      </c>
      <c r="I180" s="3">
        <v>1</v>
      </c>
      <c r="J180" s="3">
        <v>1</v>
      </c>
      <c r="K180" s="3">
        <v>1</v>
      </c>
      <c r="L180" s="3">
        <v>0</v>
      </c>
      <c r="M180" s="3">
        <v>25000</v>
      </c>
      <c r="N180" s="3">
        <v>25000</v>
      </c>
      <c r="O180" s="3">
        <v>2</v>
      </c>
      <c r="P180" s="3">
        <v>2</v>
      </c>
      <c r="Q180" s="3">
        <v>1100</v>
      </c>
      <c r="R180" s="3">
        <v>140</v>
      </c>
      <c r="S180" s="3">
        <v>1000</v>
      </c>
      <c r="T180" s="3">
        <v>140</v>
      </c>
      <c r="U180" s="3">
        <v>850</v>
      </c>
      <c r="V180" s="3">
        <v>460</v>
      </c>
      <c r="W180" s="3">
        <v>600</v>
      </c>
      <c r="X180" s="3">
        <v>36.4</v>
      </c>
      <c r="Y180" s="3">
        <v>28</v>
      </c>
      <c r="Z180" s="3">
        <v>0</v>
      </c>
      <c r="AA180" s="3">
        <v>0</v>
      </c>
      <c r="AB180" s="3">
        <v>1</v>
      </c>
      <c r="AC180" s="3">
        <v>380</v>
      </c>
      <c r="AE180" s="4">
        <v>36.200000000000003</v>
      </c>
      <c r="AF180">
        <v>36.200000000000003</v>
      </c>
      <c r="AG180">
        <v>50</v>
      </c>
      <c r="AH180">
        <v>60</v>
      </c>
      <c r="AI180">
        <v>-25</v>
      </c>
      <c r="AJ180" t="s">
        <v>276</v>
      </c>
      <c r="AK180" t="s">
        <v>277</v>
      </c>
      <c r="AL180">
        <v>0</v>
      </c>
      <c r="AN180">
        <v>178</v>
      </c>
      <c r="AO180">
        <v>0</v>
      </c>
      <c r="AP180">
        <f t="shared" si="87"/>
        <v>4</v>
      </c>
      <c r="AR180">
        <v>1</v>
      </c>
      <c r="AS180">
        <v>0</v>
      </c>
      <c r="AT180">
        <v>0</v>
      </c>
      <c r="AU180">
        <v>0</v>
      </c>
      <c r="AW180">
        <v>1</v>
      </c>
      <c r="AY180" t="str">
        <f t="shared" si="71"/>
        <v>1</v>
      </c>
      <c r="BA180" s="13" t="str">
        <f t="shared" si="72"/>
        <v>('SIW400G T025 W0', 1, 370, 480, 183.5, 21, 60, -25, 'COOLER', 'IP65', 'TRANSFORMERLESS', 25000, 25000, 380, 36.2, 36.2, 50, 2, 4, 0),</v>
      </c>
      <c r="BB180" t="str">
        <f t="shared" si="73"/>
        <v xml:space="preserve">(178, 0, 2, 1100, 140, 1000, 140, 850, 460, 600, 36.4, 28), </v>
      </c>
      <c r="BC180" t="str">
        <f t="shared" si="74"/>
        <v>(178, 'ON-GRID'),</v>
      </c>
      <c r="BD180" t="str">
        <f t="shared" si="75"/>
        <v/>
      </c>
      <c r="BE180" t="str">
        <f t="shared" si="76"/>
        <v/>
      </c>
      <c r="BF180" t="str">
        <f t="shared" si="77"/>
        <v/>
      </c>
      <c r="BG180" t="str">
        <f t="shared" si="78"/>
        <v>(178, 'WIFI'),</v>
      </c>
      <c r="BH180" t="str">
        <f t="shared" si="79"/>
        <v>(178, 'RS485'),</v>
      </c>
      <c r="BI180" t="str">
        <f t="shared" si="80"/>
        <v>(178, 'DISPLAY'),</v>
      </c>
      <c r="BJ180" t="str">
        <f t="shared" si="81"/>
        <v>(178, 'LED'),</v>
      </c>
      <c r="BK180" t="str">
        <f t="shared" si="82"/>
        <v/>
      </c>
      <c r="BL180" t="str">
        <f t="shared" si="83"/>
        <v/>
      </c>
      <c r="BM180" t="str">
        <f t="shared" si="84"/>
        <v/>
      </c>
      <c r="BN180" t="str">
        <f t="shared" si="85"/>
        <v>(178, 'THREE_PHASE_FOUR_WIRE'),</v>
      </c>
      <c r="BO180" t="str">
        <f t="shared" si="86"/>
        <v/>
      </c>
    </row>
    <row r="181" spans="1:67">
      <c r="A181" s="2" t="s">
        <v>459</v>
      </c>
      <c r="B181" s="3" t="s">
        <v>212</v>
      </c>
      <c r="C181" s="3">
        <v>360</v>
      </c>
      <c r="D181" s="3">
        <v>975</v>
      </c>
      <c r="E181" s="3">
        <v>630</v>
      </c>
      <c r="F181" s="3">
        <v>90</v>
      </c>
      <c r="G181" s="3" t="s">
        <v>316</v>
      </c>
      <c r="H181" s="3">
        <v>1</v>
      </c>
      <c r="I181" s="3">
        <v>1</v>
      </c>
      <c r="J181" s="3">
        <v>0</v>
      </c>
      <c r="K181" s="3">
        <v>1</v>
      </c>
      <c r="L181" s="3">
        <v>0</v>
      </c>
      <c r="M181" s="3">
        <v>75000</v>
      </c>
      <c r="N181" s="3">
        <v>75000</v>
      </c>
      <c r="O181" s="3">
        <v>2</v>
      </c>
      <c r="P181" s="3">
        <v>9</v>
      </c>
      <c r="Q181" s="3">
        <v>1100</v>
      </c>
      <c r="R181" s="3">
        <v>250</v>
      </c>
      <c r="S181" s="3">
        <v>1000</v>
      </c>
      <c r="T181" s="3">
        <v>200</v>
      </c>
      <c r="U181" s="3">
        <v>850</v>
      </c>
      <c r="V181" s="3">
        <v>550</v>
      </c>
      <c r="W181" s="3">
        <v>600</v>
      </c>
      <c r="X181" s="3">
        <v>40</v>
      </c>
      <c r="Y181" s="3">
        <v>26</v>
      </c>
      <c r="Z181" s="3">
        <v>0</v>
      </c>
      <c r="AA181" s="3">
        <v>0</v>
      </c>
      <c r="AB181" s="3">
        <v>1</v>
      </c>
      <c r="AC181" s="3">
        <v>380</v>
      </c>
      <c r="AE181" s="4">
        <v>113.7</v>
      </c>
      <c r="AF181" s="4">
        <v>113.7</v>
      </c>
      <c r="AG181">
        <v>50</v>
      </c>
      <c r="AH181">
        <v>60</v>
      </c>
      <c r="AI181">
        <v>-30</v>
      </c>
      <c r="AJ181" t="s">
        <v>307</v>
      </c>
      <c r="AK181" t="s">
        <v>277</v>
      </c>
      <c r="AL181">
        <v>0</v>
      </c>
      <c r="AN181">
        <v>179</v>
      </c>
      <c r="AO181">
        <v>0</v>
      </c>
      <c r="AP181">
        <f t="shared" si="87"/>
        <v>18</v>
      </c>
      <c r="AR181">
        <v>1</v>
      </c>
      <c r="AS181">
        <v>0</v>
      </c>
      <c r="AT181">
        <v>0</v>
      </c>
      <c r="AU181">
        <v>0</v>
      </c>
      <c r="AW181">
        <v>0</v>
      </c>
      <c r="AY181" t="str">
        <f t="shared" si="71"/>
        <v>1</v>
      </c>
      <c r="BA181" s="13" t="str">
        <f t="shared" si="72"/>
        <v>('SIW400G T075 W0', 1, 975, 630, 360, 90, 60, -30, 'COOLER', 'IP66', 'TRANSFORMERLESS', 75000, 75000, 380, 113.7, 113.7, 50, 9, 18, 0),</v>
      </c>
      <c r="BB181" t="str">
        <f t="shared" si="73"/>
        <v xml:space="preserve">(179, 0, 2, 1100, 250, 1000, 200, 850, 550, 600, 40, 26), </v>
      </c>
      <c r="BC181" t="str">
        <f t="shared" si="74"/>
        <v>(179, 'ON-GRID'),</v>
      </c>
      <c r="BD181" t="str">
        <f t="shared" si="75"/>
        <v/>
      </c>
      <c r="BE181" t="str">
        <f t="shared" si="76"/>
        <v/>
      </c>
      <c r="BF181" t="str">
        <f t="shared" si="77"/>
        <v/>
      </c>
      <c r="BG181" t="str">
        <f t="shared" si="78"/>
        <v>(179, 'WIFI'),</v>
      </c>
      <c r="BH181" t="str">
        <f t="shared" si="79"/>
        <v>(179, 'RS485'),</v>
      </c>
      <c r="BI181" t="str">
        <f t="shared" si="80"/>
        <v/>
      </c>
      <c r="BJ181" t="str">
        <f t="shared" si="81"/>
        <v>(179, 'LED'),</v>
      </c>
      <c r="BK181" t="str">
        <f t="shared" si="82"/>
        <v/>
      </c>
      <c r="BL181" t="str">
        <f t="shared" si="83"/>
        <v/>
      </c>
      <c r="BM181" t="str">
        <f t="shared" si="84"/>
        <v/>
      </c>
      <c r="BN181" t="str">
        <f t="shared" si="85"/>
        <v>(179, 'THREE_PHASE_FOUR_WIRE'),</v>
      </c>
      <c r="BO181" t="str">
        <f t="shared" si="86"/>
        <v/>
      </c>
    </row>
    <row r="182" spans="1:67">
      <c r="A182" s="2" t="s">
        <v>460</v>
      </c>
      <c r="B182" s="3" t="s">
        <v>212</v>
      </c>
      <c r="C182" s="3">
        <v>360</v>
      </c>
      <c r="D182" s="3">
        <v>975</v>
      </c>
      <c r="E182" s="3">
        <v>630</v>
      </c>
      <c r="F182" s="3">
        <v>90</v>
      </c>
      <c r="G182" s="3" t="s">
        <v>316</v>
      </c>
      <c r="H182" s="3">
        <v>1</v>
      </c>
      <c r="I182" s="3">
        <v>1</v>
      </c>
      <c r="J182" s="3">
        <v>0</v>
      </c>
      <c r="K182" s="3">
        <v>1</v>
      </c>
      <c r="L182" s="3">
        <v>0</v>
      </c>
      <c r="M182" s="3">
        <v>100000</v>
      </c>
      <c r="N182" s="3">
        <v>110000</v>
      </c>
      <c r="O182" s="3">
        <v>2</v>
      </c>
      <c r="P182" s="3">
        <v>9</v>
      </c>
      <c r="Q182" s="3">
        <v>1100</v>
      </c>
      <c r="R182" s="3">
        <v>250</v>
      </c>
      <c r="S182" s="3">
        <v>1000</v>
      </c>
      <c r="T182" s="3">
        <v>200</v>
      </c>
      <c r="U182" s="3">
        <v>850</v>
      </c>
      <c r="V182" s="3">
        <v>550</v>
      </c>
      <c r="W182" s="3">
        <v>600</v>
      </c>
      <c r="X182" s="3">
        <v>40</v>
      </c>
      <c r="Y182" s="3">
        <v>26</v>
      </c>
      <c r="Z182" s="3">
        <v>0</v>
      </c>
      <c r="AA182" s="3">
        <v>0</v>
      </c>
      <c r="AB182" s="3">
        <v>1</v>
      </c>
      <c r="AC182" s="3">
        <v>380</v>
      </c>
      <c r="AE182" s="4">
        <v>166.6</v>
      </c>
      <c r="AF182" s="4">
        <v>166.6</v>
      </c>
      <c r="AG182">
        <v>50</v>
      </c>
      <c r="AH182">
        <v>60</v>
      </c>
      <c r="AI182">
        <v>-30</v>
      </c>
      <c r="AJ182" t="s">
        <v>307</v>
      </c>
      <c r="AK182" t="s">
        <v>277</v>
      </c>
      <c r="AL182">
        <v>0</v>
      </c>
      <c r="AN182">
        <v>180</v>
      </c>
      <c r="AO182">
        <v>0</v>
      </c>
      <c r="AP182">
        <f t="shared" si="87"/>
        <v>18</v>
      </c>
      <c r="AR182">
        <v>1</v>
      </c>
      <c r="AS182">
        <v>0</v>
      </c>
      <c r="AT182">
        <v>0</v>
      </c>
      <c r="AU182">
        <v>0</v>
      </c>
      <c r="AW182">
        <v>0</v>
      </c>
      <c r="AY182" t="str">
        <f t="shared" si="71"/>
        <v>1</v>
      </c>
      <c r="BA182" s="13" t="str">
        <f t="shared" si="72"/>
        <v>('SIW400G T100 W0', 1, 975, 630, 360, 90, 60, -30, 'COOLER', 'IP66', 'TRANSFORMERLESS', 100000, 110000, 380, 166.6, 166.6, 50, 9, 18, 0),</v>
      </c>
      <c r="BB182" t="str">
        <f t="shared" si="73"/>
        <v xml:space="preserve">(180, 0, 2, 1100, 250, 1000, 200, 850, 550, 600, 40, 26), </v>
      </c>
      <c r="BC182" t="str">
        <f t="shared" si="74"/>
        <v>(180, 'ON-GRID'),</v>
      </c>
      <c r="BD182" t="str">
        <f t="shared" si="75"/>
        <v/>
      </c>
      <c r="BE182" t="str">
        <f t="shared" si="76"/>
        <v/>
      </c>
      <c r="BF182" t="str">
        <f t="shared" si="77"/>
        <v/>
      </c>
      <c r="BG182" t="str">
        <f t="shared" si="78"/>
        <v>(180, 'WIFI'),</v>
      </c>
      <c r="BH182" t="str">
        <f t="shared" si="79"/>
        <v>(180, 'RS485'),</v>
      </c>
      <c r="BI182" t="str">
        <f t="shared" si="80"/>
        <v/>
      </c>
      <c r="BJ182" t="str">
        <f t="shared" si="81"/>
        <v>(180, 'LED'),</v>
      </c>
      <c r="BK182" t="str">
        <f t="shared" si="82"/>
        <v/>
      </c>
      <c r="BL182" t="str">
        <f t="shared" si="83"/>
        <v/>
      </c>
      <c r="BM182" t="str">
        <f t="shared" si="84"/>
        <v/>
      </c>
      <c r="BN182" t="str">
        <f t="shared" si="85"/>
        <v>(180, 'THREE_PHASE_FOUR_WIRE'),</v>
      </c>
      <c r="BO182" t="str">
        <f t="shared" si="86"/>
        <v/>
      </c>
    </row>
    <row r="183" spans="1:67">
      <c r="A183" s="2" t="s">
        <v>461</v>
      </c>
      <c r="B183" s="3" t="s">
        <v>212</v>
      </c>
      <c r="C183" s="3">
        <v>183.5</v>
      </c>
      <c r="D183" s="3">
        <v>370</v>
      </c>
      <c r="E183" s="3">
        <v>480</v>
      </c>
      <c r="F183" s="3">
        <v>17</v>
      </c>
      <c r="G183" s="3" t="s">
        <v>275</v>
      </c>
      <c r="H183" s="3">
        <v>1</v>
      </c>
      <c r="I183" s="3">
        <v>1</v>
      </c>
      <c r="J183" s="3">
        <v>1</v>
      </c>
      <c r="K183" s="3">
        <v>1</v>
      </c>
      <c r="L183" s="3">
        <v>0</v>
      </c>
      <c r="M183" s="3">
        <v>12000</v>
      </c>
      <c r="N183" s="3">
        <v>13200</v>
      </c>
      <c r="O183" s="3">
        <v>1</v>
      </c>
      <c r="P183" s="3">
        <v>2</v>
      </c>
      <c r="Q183" s="3">
        <v>1100</v>
      </c>
      <c r="R183" s="3">
        <v>140</v>
      </c>
      <c r="S183" s="3">
        <v>1000</v>
      </c>
      <c r="T183" s="3">
        <v>140</v>
      </c>
      <c r="U183" s="3">
        <v>850</v>
      </c>
      <c r="V183" s="3">
        <v>455</v>
      </c>
      <c r="W183" s="3">
        <v>600</v>
      </c>
      <c r="X183" s="3">
        <v>18.2</v>
      </c>
      <c r="Y183" s="3">
        <v>14</v>
      </c>
      <c r="Z183" s="3">
        <v>0</v>
      </c>
      <c r="AA183" s="3">
        <v>0</v>
      </c>
      <c r="AB183" s="3">
        <v>1</v>
      </c>
      <c r="AC183" s="3">
        <v>380</v>
      </c>
      <c r="AE183" s="4">
        <v>19.100000000000001</v>
      </c>
      <c r="AF183">
        <v>17.399999999999999</v>
      </c>
      <c r="AG183">
        <v>50</v>
      </c>
      <c r="AH183">
        <v>60</v>
      </c>
      <c r="AI183">
        <v>-25</v>
      </c>
      <c r="AJ183" t="s">
        <v>276</v>
      </c>
      <c r="AK183" t="s">
        <v>277</v>
      </c>
      <c r="AL183">
        <v>1</v>
      </c>
      <c r="AN183">
        <v>181</v>
      </c>
      <c r="AO183">
        <v>0</v>
      </c>
      <c r="AP183">
        <f t="shared" si="87"/>
        <v>2</v>
      </c>
      <c r="AR183">
        <v>1</v>
      </c>
      <c r="AS183">
        <v>0</v>
      </c>
      <c r="AT183">
        <v>0</v>
      </c>
      <c r="AU183">
        <v>0</v>
      </c>
      <c r="AW183">
        <v>1</v>
      </c>
      <c r="AY183" t="str">
        <f t="shared" ref="AY183:AY205" si="88">IF(B183="WEG","1",IF(B183="HUAWEI","2",IF(B183="FOX ESS","3",IF(B183="GOODWE","4",IF(B183="PHB","5",IF(B183="ASTRONERGY","6",IF(B183="BYD","7",IF(B183="HUASUN","8",IF(B183="JA SOLAR","9",IF(B183="JINKO","10",IF(B183="LONGI","11",IF(B183="RISEN","12",IF(B183="SUNOVA","13",IF(B183="TALESUN","14",IF(B183="TRINA SOLAR","15","NÃO CADASTRADO")))))))))))))))</f>
        <v>1</v>
      </c>
      <c r="BA183" s="13" t="str">
        <f t="shared" si="72"/>
        <v>('SIW400G T012 W1', 1, 370, 480, 183.5, 17, 60, -25, 'CONVECÇÃO NATURAL', 'IP65', 'TRANSFORMERLESS', 12000, 13200, 380, 17.4, 19.1, 50, 2, 2, 1),</v>
      </c>
      <c r="BB183" t="str">
        <f t="shared" si="73"/>
        <v xml:space="preserve">(181, 0, 1, 1100, 140, 1000, 140, 850, 455, 600, 18.2, 14), </v>
      </c>
      <c r="BC183" t="str">
        <f t="shared" si="74"/>
        <v>(181, 'ON-GRID'),</v>
      </c>
      <c r="BD183" t="str">
        <f t="shared" si="75"/>
        <v/>
      </c>
      <c r="BE183" t="str">
        <f t="shared" si="76"/>
        <v/>
      </c>
      <c r="BF183" t="str">
        <f t="shared" si="77"/>
        <v/>
      </c>
      <c r="BG183" t="str">
        <f t="shared" si="78"/>
        <v>(181, 'WIFI'),</v>
      </c>
      <c r="BH183" t="str">
        <f t="shared" si="79"/>
        <v>(181, 'RS485'),</v>
      </c>
      <c r="BI183" t="str">
        <f t="shared" si="80"/>
        <v>(181, 'DISPLAY'),</v>
      </c>
      <c r="BJ183" t="str">
        <f t="shared" si="81"/>
        <v>(181, 'LED'),</v>
      </c>
      <c r="BK183" t="str">
        <f t="shared" si="82"/>
        <v/>
      </c>
      <c r="BL183" t="str">
        <f t="shared" si="83"/>
        <v/>
      </c>
      <c r="BM183" t="str">
        <f t="shared" si="84"/>
        <v/>
      </c>
      <c r="BN183" t="str">
        <f t="shared" si="85"/>
        <v>(181, 'THREE_PHASE_FOUR_WIRE'),</v>
      </c>
      <c r="BO183" t="str">
        <f t="shared" si="86"/>
        <v/>
      </c>
    </row>
    <row r="184" spans="1:67">
      <c r="A184" s="2" t="s">
        <v>462</v>
      </c>
      <c r="B184" s="3" t="s">
        <v>212</v>
      </c>
      <c r="C184" s="3">
        <v>183.5</v>
      </c>
      <c r="D184" s="3">
        <v>370</v>
      </c>
      <c r="E184" s="3">
        <v>480</v>
      </c>
      <c r="F184" s="3">
        <v>21</v>
      </c>
      <c r="G184" s="3" t="s">
        <v>316</v>
      </c>
      <c r="H184" s="3">
        <v>1</v>
      </c>
      <c r="I184" s="3">
        <v>1</v>
      </c>
      <c r="J184" s="3">
        <v>1</v>
      </c>
      <c r="K184" s="3">
        <v>1</v>
      </c>
      <c r="L184" s="3">
        <v>0</v>
      </c>
      <c r="M184" s="3">
        <v>15000</v>
      </c>
      <c r="N184" s="3">
        <v>16500</v>
      </c>
      <c r="O184" s="3">
        <v>2</v>
      </c>
      <c r="P184" s="3">
        <v>2</v>
      </c>
      <c r="Q184" s="3">
        <v>1100</v>
      </c>
      <c r="R184" s="3">
        <v>140</v>
      </c>
      <c r="S184" s="3">
        <v>1000</v>
      </c>
      <c r="T184" s="3">
        <v>140</v>
      </c>
      <c r="U184" s="3">
        <v>850</v>
      </c>
      <c r="V184" s="3">
        <v>275</v>
      </c>
      <c r="W184" s="3">
        <v>600</v>
      </c>
      <c r="X184" s="3">
        <v>36.4</v>
      </c>
      <c r="Y184" s="3">
        <v>28</v>
      </c>
      <c r="Z184" s="3">
        <v>0</v>
      </c>
      <c r="AA184" s="3">
        <v>0</v>
      </c>
      <c r="AB184" s="3">
        <v>1</v>
      </c>
      <c r="AC184" s="3">
        <v>380</v>
      </c>
      <c r="AE184" s="4">
        <v>23.9</v>
      </c>
      <c r="AF184">
        <v>21.7</v>
      </c>
      <c r="AG184">
        <v>50</v>
      </c>
      <c r="AH184">
        <v>60</v>
      </c>
      <c r="AI184">
        <v>-25</v>
      </c>
      <c r="AJ184" t="s">
        <v>276</v>
      </c>
      <c r="AK184" t="s">
        <v>277</v>
      </c>
      <c r="AL184">
        <v>1</v>
      </c>
      <c r="AN184">
        <v>182</v>
      </c>
      <c r="AO184">
        <v>0</v>
      </c>
      <c r="AP184">
        <f t="shared" si="87"/>
        <v>4</v>
      </c>
      <c r="AR184">
        <v>1</v>
      </c>
      <c r="AS184">
        <v>0</v>
      </c>
      <c r="AT184">
        <v>0</v>
      </c>
      <c r="AU184">
        <v>0</v>
      </c>
      <c r="AW184">
        <v>1</v>
      </c>
      <c r="AY184" t="str">
        <f t="shared" si="88"/>
        <v>1</v>
      </c>
      <c r="BA184" s="13" t="str">
        <f t="shared" si="72"/>
        <v>('SIW400G T015 W1', 1, 370, 480, 183.5, 21, 60, -25, 'COOLER', 'IP65', 'TRANSFORMERLESS', 15000, 16500, 380, 21.7, 23.9, 50, 2, 4, 1),</v>
      </c>
      <c r="BB184" t="str">
        <f t="shared" si="73"/>
        <v xml:space="preserve">(182, 0, 2, 1100, 140, 1000, 140, 850, 275, 600, 36.4, 28), </v>
      </c>
      <c r="BC184" t="str">
        <f t="shared" si="74"/>
        <v>(182, 'ON-GRID'),</v>
      </c>
      <c r="BD184" t="str">
        <f t="shared" si="75"/>
        <v/>
      </c>
      <c r="BE184" t="str">
        <f t="shared" si="76"/>
        <v/>
      </c>
      <c r="BF184" t="str">
        <f t="shared" si="77"/>
        <v/>
      </c>
      <c r="BG184" t="str">
        <f t="shared" si="78"/>
        <v>(182, 'WIFI'),</v>
      </c>
      <c r="BH184" t="str">
        <f t="shared" si="79"/>
        <v>(182, 'RS485'),</v>
      </c>
      <c r="BI184" t="str">
        <f t="shared" si="80"/>
        <v>(182, 'DISPLAY'),</v>
      </c>
      <c r="BJ184" t="str">
        <f t="shared" si="81"/>
        <v>(182, 'LED'),</v>
      </c>
      <c r="BK184" t="str">
        <f t="shared" si="82"/>
        <v/>
      </c>
      <c r="BL184" t="str">
        <f t="shared" si="83"/>
        <v/>
      </c>
      <c r="BM184" t="str">
        <f t="shared" si="84"/>
        <v/>
      </c>
      <c r="BN184" t="str">
        <f t="shared" si="85"/>
        <v>(182, 'THREE_PHASE_FOUR_WIRE'),</v>
      </c>
      <c r="BO184" t="str">
        <f t="shared" si="86"/>
        <v/>
      </c>
    </row>
    <row r="185" spans="1:67">
      <c r="A185" s="2" t="s">
        <v>463</v>
      </c>
      <c r="B185" s="3" t="s">
        <v>212</v>
      </c>
      <c r="C185" s="3">
        <v>183.5</v>
      </c>
      <c r="D185" s="3">
        <v>370</v>
      </c>
      <c r="E185" s="3">
        <v>480</v>
      </c>
      <c r="F185" s="3">
        <v>21</v>
      </c>
      <c r="G185" s="3" t="s">
        <v>316</v>
      </c>
      <c r="H185" s="3">
        <v>1</v>
      </c>
      <c r="I185" s="3">
        <v>1</v>
      </c>
      <c r="J185" s="3">
        <v>1</v>
      </c>
      <c r="K185" s="3">
        <v>1</v>
      </c>
      <c r="L185" s="3">
        <v>0</v>
      </c>
      <c r="M185" s="3">
        <v>20000</v>
      </c>
      <c r="N185" s="3">
        <v>22000</v>
      </c>
      <c r="O185" s="3">
        <v>2</v>
      </c>
      <c r="P185" s="3">
        <v>2</v>
      </c>
      <c r="Q185" s="3">
        <v>1100</v>
      </c>
      <c r="R185" s="3">
        <v>140</v>
      </c>
      <c r="S185" s="3">
        <v>1000</v>
      </c>
      <c r="T185" s="3">
        <v>140</v>
      </c>
      <c r="U185" s="3">
        <v>850</v>
      </c>
      <c r="V185" s="3">
        <v>370</v>
      </c>
      <c r="W185" s="3">
        <v>600</v>
      </c>
      <c r="X185" s="3">
        <v>36.4</v>
      </c>
      <c r="Y185" s="3">
        <v>28</v>
      </c>
      <c r="Z185" s="3">
        <v>0</v>
      </c>
      <c r="AA185" s="3">
        <v>0</v>
      </c>
      <c r="AB185" s="3">
        <v>1</v>
      </c>
      <c r="AC185" s="3">
        <v>380</v>
      </c>
      <c r="AE185" s="4">
        <v>31.9</v>
      </c>
      <c r="AF185">
        <v>29</v>
      </c>
      <c r="AG185">
        <v>50</v>
      </c>
      <c r="AH185">
        <v>60</v>
      </c>
      <c r="AI185">
        <v>-25</v>
      </c>
      <c r="AJ185" t="s">
        <v>276</v>
      </c>
      <c r="AK185" t="s">
        <v>277</v>
      </c>
      <c r="AL185">
        <v>1</v>
      </c>
      <c r="AN185">
        <v>183</v>
      </c>
      <c r="AO185">
        <v>0</v>
      </c>
      <c r="AP185">
        <f t="shared" si="87"/>
        <v>4</v>
      </c>
      <c r="AR185">
        <v>1</v>
      </c>
      <c r="AS185">
        <v>0</v>
      </c>
      <c r="AT185">
        <v>0</v>
      </c>
      <c r="AU185">
        <v>0</v>
      </c>
      <c r="AW185">
        <v>1</v>
      </c>
      <c r="AY185" t="str">
        <f t="shared" si="88"/>
        <v>1</v>
      </c>
      <c r="BA185" s="13" t="str">
        <f t="shared" si="72"/>
        <v>('SIW400G T020 W1', 1, 370, 480, 183.5, 21, 60, -25, 'COOLER', 'IP65', 'TRANSFORMERLESS', 20000, 22000, 380, 29, 31.9, 50, 2, 4, 1),</v>
      </c>
      <c r="BB185" t="str">
        <f t="shared" si="73"/>
        <v xml:space="preserve">(183, 0, 2, 1100, 140, 1000, 140, 850, 370, 600, 36.4, 28), </v>
      </c>
      <c r="BC185" t="str">
        <f t="shared" si="74"/>
        <v>(183, 'ON-GRID'),</v>
      </c>
      <c r="BD185" t="str">
        <f t="shared" si="75"/>
        <v/>
      </c>
      <c r="BE185" t="str">
        <f t="shared" si="76"/>
        <v/>
      </c>
      <c r="BF185" t="str">
        <f t="shared" si="77"/>
        <v/>
      </c>
      <c r="BG185" t="str">
        <f t="shared" si="78"/>
        <v>(183, 'WIFI'),</v>
      </c>
      <c r="BH185" t="str">
        <f t="shared" si="79"/>
        <v>(183, 'RS485'),</v>
      </c>
      <c r="BI185" t="str">
        <f t="shared" si="80"/>
        <v>(183, 'DISPLAY'),</v>
      </c>
      <c r="BJ185" t="str">
        <f t="shared" si="81"/>
        <v>(183, 'LED'),</v>
      </c>
      <c r="BK185" t="str">
        <f t="shared" si="82"/>
        <v/>
      </c>
      <c r="BL185" t="str">
        <f t="shared" si="83"/>
        <v/>
      </c>
      <c r="BM185" t="str">
        <f t="shared" si="84"/>
        <v/>
      </c>
      <c r="BN185" t="str">
        <f t="shared" si="85"/>
        <v>(183, 'THREE_PHASE_FOUR_WIRE'),</v>
      </c>
      <c r="BO185" t="str">
        <f t="shared" si="86"/>
        <v/>
      </c>
    </row>
    <row r="186" spans="1:67">
      <c r="A186" s="2" t="s">
        <v>464</v>
      </c>
      <c r="B186" s="3" t="s">
        <v>212</v>
      </c>
      <c r="C186" s="3">
        <v>183.5</v>
      </c>
      <c r="D186" s="3">
        <v>370</v>
      </c>
      <c r="E186" s="3">
        <v>480</v>
      </c>
      <c r="F186" s="3">
        <v>21</v>
      </c>
      <c r="G186" s="3" t="s">
        <v>316</v>
      </c>
      <c r="H186" s="3">
        <v>1</v>
      </c>
      <c r="I186" s="3">
        <v>1</v>
      </c>
      <c r="J186" s="3">
        <v>1</v>
      </c>
      <c r="K186" s="3">
        <v>1</v>
      </c>
      <c r="L186" s="3">
        <v>0</v>
      </c>
      <c r="M186" s="3">
        <v>25000</v>
      </c>
      <c r="N186" s="3">
        <v>25000</v>
      </c>
      <c r="O186" s="3">
        <v>2</v>
      </c>
      <c r="P186" s="3">
        <v>2</v>
      </c>
      <c r="Q186" s="3">
        <v>1100</v>
      </c>
      <c r="R186" s="3">
        <v>140</v>
      </c>
      <c r="S186" s="3">
        <v>1000</v>
      </c>
      <c r="T186" s="3">
        <v>140</v>
      </c>
      <c r="U186" s="3">
        <v>850</v>
      </c>
      <c r="V186" s="3">
        <v>460</v>
      </c>
      <c r="W186" s="3">
        <v>600</v>
      </c>
      <c r="X186" s="3">
        <v>36.4</v>
      </c>
      <c r="Y186" s="3">
        <v>28</v>
      </c>
      <c r="Z186" s="3">
        <v>0</v>
      </c>
      <c r="AA186" s="3">
        <v>0</v>
      </c>
      <c r="AB186" s="3">
        <v>1</v>
      </c>
      <c r="AC186" s="3">
        <v>380</v>
      </c>
      <c r="AE186" s="4">
        <v>36.200000000000003</v>
      </c>
      <c r="AF186">
        <v>36.200000000000003</v>
      </c>
      <c r="AG186">
        <v>50</v>
      </c>
      <c r="AH186">
        <v>60</v>
      </c>
      <c r="AI186">
        <v>-25</v>
      </c>
      <c r="AJ186" t="s">
        <v>276</v>
      </c>
      <c r="AK186" t="s">
        <v>277</v>
      </c>
      <c r="AL186">
        <v>1</v>
      </c>
      <c r="AN186">
        <v>184</v>
      </c>
      <c r="AO186">
        <v>0</v>
      </c>
      <c r="AP186">
        <f t="shared" si="87"/>
        <v>4</v>
      </c>
      <c r="AR186">
        <v>1</v>
      </c>
      <c r="AS186">
        <v>0</v>
      </c>
      <c r="AT186">
        <v>0</v>
      </c>
      <c r="AU186">
        <v>0</v>
      </c>
      <c r="AW186">
        <v>1</v>
      </c>
      <c r="AY186" t="str">
        <f t="shared" si="88"/>
        <v>1</v>
      </c>
      <c r="BA186" s="13" t="str">
        <f t="shared" si="72"/>
        <v>('SIW400G T025 W1', 1, 370, 480, 183.5, 21, 60, -25, 'COOLER', 'IP65', 'TRANSFORMERLESS', 25000, 25000, 380, 36.2, 36.2, 50, 2, 4, 1),</v>
      </c>
      <c r="BB186" t="str">
        <f t="shared" si="73"/>
        <v xml:space="preserve">(184, 0, 2, 1100, 140, 1000, 140, 850, 460, 600, 36.4, 28), </v>
      </c>
      <c r="BC186" t="str">
        <f t="shared" si="74"/>
        <v>(184, 'ON-GRID'),</v>
      </c>
      <c r="BD186" t="str">
        <f t="shared" si="75"/>
        <v/>
      </c>
      <c r="BE186" t="str">
        <f t="shared" si="76"/>
        <v/>
      </c>
      <c r="BF186" t="str">
        <f t="shared" si="77"/>
        <v/>
      </c>
      <c r="BG186" t="str">
        <f t="shared" si="78"/>
        <v>(184, 'WIFI'),</v>
      </c>
      <c r="BH186" t="str">
        <f t="shared" si="79"/>
        <v>(184, 'RS485'),</v>
      </c>
      <c r="BI186" t="str">
        <f t="shared" si="80"/>
        <v>(184, 'DISPLAY'),</v>
      </c>
      <c r="BJ186" t="str">
        <f t="shared" si="81"/>
        <v>(184, 'LED'),</v>
      </c>
      <c r="BK186" t="str">
        <f t="shared" si="82"/>
        <v/>
      </c>
      <c r="BL186" t="str">
        <f t="shared" si="83"/>
        <v/>
      </c>
      <c r="BM186" t="str">
        <f t="shared" si="84"/>
        <v/>
      </c>
      <c r="BN186" t="str">
        <f t="shared" si="85"/>
        <v>(184, 'THREE_PHASE_FOUR_WIRE'),</v>
      </c>
      <c r="BO186" t="str">
        <f t="shared" si="86"/>
        <v/>
      </c>
    </row>
    <row r="187" spans="1:67">
      <c r="A187" s="2" t="s">
        <v>465</v>
      </c>
      <c r="B187" s="3" t="s">
        <v>212</v>
      </c>
      <c r="C187" s="3">
        <v>243</v>
      </c>
      <c r="D187" s="3">
        <v>640</v>
      </c>
      <c r="E187" s="3">
        <v>430</v>
      </c>
      <c r="F187" s="3">
        <v>50</v>
      </c>
      <c r="G187" s="3" t="s">
        <v>316</v>
      </c>
      <c r="H187" s="3">
        <v>1</v>
      </c>
      <c r="I187" s="3">
        <v>1</v>
      </c>
      <c r="J187" s="3">
        <v>0</v>
      </c>
      <c r="K187" s="3">
        <v>1</v>
      </c>
      <c r="L187" s="3">
        <v>0</v>
      </c>
      <c r="M187" s="3">
        <v>50000</v>
      </c>
      <c r="N187" s="3">
        <v>55000</v>
      </c>
      <c r="O187" s="3">
        <v>2</v>
      </c>
      <c r="P187" s="3">
        <v>4</v>
      </c>
      <c r="Q187" s="3">
        <v>1100</v>
      </c>
      <c r="R187" s="3">
        <v>250</v>
      </c>
      <c r="S187" s="3">
        <v>1000</v>
      </c>
      <c r="T187" s="3">
        <v>200</v>
      </c>
      <c r="U187" s="3">
        <v>800</v>
      </c>
      <c r="V187" s="3">
        <v>550</v>
      </c>
      <c r="W187" s="3">
        <v>600</v>
      </c>
      <c r="X187" s="3">
        <v>50</v>
      </c>
      <c r="Y187" s="3">
        <v>40</v>
      </c>
      <c r="Z187" s="3">
        <v>0</v>
      </c>
      <c r="AA187" s="3">
        <v>0</v>
      </c>
      <c r="AB187" s="3">
        <v>1</v>
      </c>
      <c r="AC187" s="3">
        <v>380</v>
      </c>
      <c r="AE187" s="4">
        <v>83.6</v>
      </c>
      <c r="AF187" s="4">
        <v>83.6</v>
      </c>
      <c r="AG187">
        <v>50</v>
      </c>
      <c r="AH187">
        <v>60</v>
      </c>
      <c r="AI187">
        <v>-25</v>
      </c>
      <c r="AJ187" t="s">
        <v>307</v>
      </c>
      <c r="AK187" t="s">
        <v>277</v>
      </c>
      <c r="AL187">
        <v>1</v>
      </c>
      <c r="AN187">
        <v>185</v>
      </c>
      <c r="AO187">
        <v>0</v>
      </c>
      <c r="AP187">
        <f t="shared" si="87"/>
        <v>8</v>
      </c>
      <c r="AR187">
        <v>1</v>
      </c>
      <c r="AS187">
        <v>0</v>
      </c>
      <c r="AT187">
        <v>0</v>
      </c>
      <c r="AU187">
        <v>0</v>
      </c>
      <c r="AW187">
        <v>1</v>
      </c>
      <c r="AY187" t="str">
        <f t="shared" si="88"/>
        <v>1</v>
      </c>
      <c r="BA187" s="13" t="str">
        <f t="shared" si="72"/>
        <v>('SIW400G T050 W00', 1, 640, 430, 243, 50, 60, -25, 'COOLER', 'IP66', 'TRANSFORMERLESS', 50000, 55000, 380, 83.6, 83.6, 50, 4, 8, 1),</v>
      </c>
      <c r="BB187" t="str">
        <f t="shared" si="73"/>
        <v xml:space="preserve">(185, 0, 2, 1100, 250, 1000, 200, 800, 550, 600, 50, 40), </v>
      </c>
      <c r="BC187" t="str">
        <f t="shared" si="74"/>
        <v>(185, 'ON-GRID'),</v>
      </c>
      <c r="BD187" t="str">
        <f t="shared" si="75"/>
        <v/>
      </c>
      <c r="BE187" t="str">
        <f t="shared" si="76"/>
        <v/>
      </c>
      <c r="BF187" t="str">
        <f t="shared" si="77"/>
        <v/>
      </c>
      <c r="BG187" t="str">
        <f t="shared" si="78"/>
        <v>(185, 'WIFI'),</v>
      </c>
      <c r="BH187" t="str">
        <f t="shared" si="79"/>
        <v>(185, 'RS485'),</v>
      </c>
      <c r="BI187" t="str">
        <f t="shared" si="80"/>
        <v/>
      </c>
      <c r="BJ187" t="str">
        <f t="shared" si="81"/>
        <v>(185, 'LED'),</v>
      </c>
      <c r="BK187" t="str">
        <f t="shared" si="82"/>
        <v/>
      </c>
      <c r="BL187" t="str">
        <f t="shared" si="83"/>
        <v/>
      </c>
      <c r="BM187" t="str">
        <f t="shared" si="84"/>
        <v/>
      </c>
      <c r="BN187" t="str">
        <f t="shared" si="85"/>
        <v>(185, 'THREE_PHASE_FOUR_WIRE'),</v>
      </c>
      <c r="BO187" t="str">
        <f t="shared" si="86"/>
        <v/>
      </c>
    </row>
    <row r="188" spans="1:67">
      <c r="A188" s="2" t="s">
        <v>466</v>
      </c>
      <c r="B188" s="3" t="s">
        <v>212</v>
      </c>
      <c r="C188" s="3">
        <v>243</v>
      </c>
      <c r="D188" s="3">
        <v>640</v>
      </c>
      <c r="E188" s="3">
        <v>430</v>
      </c>
      <c r="F188" s="3">
        <v>50</v>
      </c>
      <c r="G188" s="3" t="s">
        <v>316</v>
      </c>
      <c r="H188" s="3">
        <v>1</v>
      </c>
      <c r="I188" s="3">
        <v>1</v>
      </c>
      <c r="J188" s="3">
        <v>0</v>
      </c>
      <c r="K188" s="3">
        <v>1</v>
      </c>
      <c r="L188" s="3">
        <v>0</v>
      </c>
      <c r="M188" s="3">
        <v>60000</v>
      </c>
      <c r="N188" s="3">
        <v>66000</v>
      </c>
      <c r="O188" s="3">
        <v>2</v>
      </c>
      <c r="P188" s="3">
        <v>6</v>
      </c>
      <c r="Q188" s="3">
        <v>1100</v>
      </c>
      <c r="R188" s="3">
        <v>250</v>
      </c>
      <c r="S188" s="3">
        <v>1000</v>
      </c>
      <c r="T188" s="3">
        <v>200</v>
      </c>
      <c r="U188" s="3">
        <v>800</v>
      </c>
      <c r="V188" s="3">
        <v>550</v>
      </c>
      <c r="W188" s="3">
        <v>600</v>
      </c>
      <c r="X188" s="3">
        <v>50</v>
      </c>
      <c r="Y188" s="3">
        <v>40</v>
      </c>
      <c r="Z188" s="3">
        <v>0</v>
      </c>
      <c r="AA188" s="3">
        <v>0</v>
      </c>
      <c r="AB188" s="3">
        <v>1</v>
      </c>
      <c r="AC188" s="3">
        <v>380</v>
      </c>
      <c r="AE188" s="4">
        <v>100.3</v>
      </c>
      <c r="AF188" s="4">
        <v>100.3</v>
      </c>
      <c r="AG188">
        <v>50</v>
      </c>
      <c r="AH188">
        <v>60</v>
      </c>
      <c r="AI188">
        <v>-25</v>
      </c>
      <c r="AJ188" t="s">
        <v>307</v>
      </c>
      <c r="AK188" t="s">
        <v>277</v>
      </c>
      <c r="AL188">
        <v>1</v>
      </c>
      <c r="AN188">
        <v>186</v>
      </c>
      <c r="AO188">
        <v>0</v>
      </c>
      <c r="AP188">
        <f t="shared" si="87"/>
        <v>12</v>
      </c>
      <c r="AR188">
        <v>1</v>
      </c>
      <c r="AS188">
        <v>0</v>
      </c>
      <c r="AT188">
        <v>0</v>
      </c>
      <c r="AU188">
        <v>0</v>
      </c>
      <c r="AW188">
        <v>1</v>
      </c>
      <c r="AY188" t="str">
        <f t="shared" si="88"/>
        <v>1</v>
      </c>
      <c r="BA188" s="13" t="str">
        <f t="shared" si="72"/>
        <v>('SIW400G T060 W00', 1, 640, 430, 243, 50, 60, -25, 'COOLER', 'IP66', 'TRANSFORMERLESS', 60000, 66000, 380, 100.3, 100.3, 50, 6, 12, 1),</v>
      </c>
      <c r="BB188" t="str">
        <f t="shared" si="73"/>
        <v xml:space="preserve">(186, 0, 2, 1100, 250, 1000, 200, 800, 550, 600, 50, 40), </v>
      </c>
      <c r="BC188" t="str">
        <f t="shared" si="74"/>
        <v>(186, 'ON-GRID'),</v>
      </c>
      <c r="BD188" t="str">
        <f t="shared" si="75"/>
        <v/>
      </c>
      <c r="BE188" t="str">
        <f t="shared" si="76"/>
        <v/>
      </c>
      <c r="BF188" t="str">
        <f t="shared" si="77"/>
        <v/>
      </c>
      <c r="BG188" t="str">
        <f t="shared" si="78"/>
        <v>(186, 'WIFI'),</v>
      </c>
      <c r="BH188" t="str">
        <f t="shared" si="79"/>
        <v>(186, 'RS485'),</v>
      </c>
      <c r="BI188" t="str">
        <f t="shared" si="80"/>
        <v/>
      </c>
      <c r="BJ188" t="str">
        <f t="shared" si="81"/>
        <v>(186, 'LED'),</v>
      </c>
      <c r="BK188" t="str">
        <f t="shared" si="82"/>
        <v/>
      </c>
      <c r="BL188" t="str">
        <f t="shared" si="83"/>
        <v/>
      </c>
      <c r="BM188" t="str">
        <f t="shared" si="84"/>
        <v/>
      </c>
      <c r="BN188" t="str">
        <f t="shared" si="85"/>
        <v>(186, 'THREE_PHASE_FOUR_WIRE'),</v>
      </c>
      <c r="BO188" t="str">
        <f t="shared" si="86"/>
        <v/>
      </c>
    </row>
    <row r="189" spans="1:67">
      <c r="A189" s="2" t="s">
        <v>467</v>
      </c>
      <c r="B189" s="3" t="s">
        <v>212</v>
      </c>
      <c r="C189" s="3">
        <v>243</v>
      </c>
      <c r="D189" s="3">
        <v>640</v>
      </c>
      <c r="E189" s="3">
        <v>430</v>
      </c>
      <c r="F189" s="3">
        <v>50</v>
      </c>
      <c r="G189" s="3" t="s">
        <v>316</v>
      </c>
      <c r="H189" s="3">
        <v>1</v>
      </c>
      <c r="I189" s="3">
        <v>1</v>
      </c>
      <c r="J189" s="3">
        <v>0</v>
      </c>
      <c r="K189" s="3">
        <v>1</v>
      </c>
      <c r="L189" s="3">
        <v>0</v>
      </c>
      <c r="M189" s="3">
        <v>75000</v>
      </c>
      <c r="N189" s="3">
        <v>75000</v>
      </c>
      <c r="O189" s="3">
        <v>2</v>
      </c>
      <c r="P189" s="3">
        <v>6</v>
      </c>
      <c r="Q189" s="3">
        <v>1100</v>
      </c>
      <c r="R189" s="3">
        <v>250</v>
      </c>
      <c r="S189" s="3">
        <v>1000</v>
      </c>
      <c r="T189" s="3">
        <v>200</v>
      </c>
      <c r="U189" s="3">
        <v>800</v>
      </c>
      <c r="V189" s="3">
        <v>550</v>
      </c>
      <c r="W189" s="3">
        <v>600</v>
      </c>
      <c r="X189" s="3">
        <v>50</v>
      </c>
      <c r="Y189" s="3">
        <v>40</v>
      </c>
      <c r="Z189" s="3">
        <v>0</v>
      </c>
      <c r="AA189" s="3">
        <v>0</v>
      </c>
      <c r="AB189" s="3">
        <v>1</v>
      </c>
      <c r="AC189" s="3">
        <v>380</v>
      </c>
      <c r="AE189" s="4">
        <v>114</v>
      </c>
      <c r="AF189" s="4">
        <v>114</v>
      </c>
      <c r="AG189">
        <v>50</v>
      </c>
      <c r="AH189">
        <v>60</v>
      </c>
      <c r="AI189">
        <v>-25</v>
      </c>
      <c r="AJ189" t="s">
        <v>307</v>
      </c>
      <c r="AK189" t="s">
        <v>277</v>
      </c>
      <c r="AL189">
        <v>1</v>
      </c>
      <c r="AN189">
        <v>187</v>
      </c>
      <c r="AO189">
        <v>0</v>
      </c>
      <c r="AP189">
        <f t="shared" si="87"/>
        <v>12</v>
      </c>
      <c r="AR189">
        <v>1</v>
      </c>
      <c r="AS189">
        <v>0</v>
      </c>
      <c r="AT189">
        <v>0</v>
      </c>
      <c r="AU189">
        <v>0</v>
      </c>
      <c r="AW189">
        <v>1</v>
      </c>
      <c r="AY189" t="str">
        <f t="shared" si="88"/>
        <v>1</v>
      </c>
      <c r="BA189" s="13" t="str">
        <f t="shared" si="72"/>
        <v>('SIW400G T075 W01', 1, 640, 430, 243, 50, 60, -25, 'COOLER', 'IP66', 'TRANSFORMERLESS', 75000, 75000, 380, 114, 114, 50, 6, 12, 1),</v>
      </c>
      <c r="BB189" t="str">
        <f t="shared" si="73"/>
        <v xml:space="preserve">(187, 0, 2, 1100, 250, 1000, 200, 800, 550, 600, 50, 40), </v>
      </c>
      <c r="BC189" t="str">
        <f t="shared" si="74"/>
        <v>(187, 'ON-GRID'),</v>
      </c>
      <c r="BD189" t="str">
        <f t="shared" si="75"/>
        <v/>
      </c>
      <c r="BE189" t="str">
        <f t="shared" si="76"/>
        <v/>
      </c>
      <c r="BF189" t="str">
        <f t="shared" si="77"/>
        <v/>
      </c>
      <c r="BG189" t="str">
        <f t="shared" si="78"/>
        <v>(187, 'WIFI'),</v>
      </c>
      <c r="BH189" t="str">
        <f t="shared" si="79"/>
        <v>(187, 'RS485'),</v>
      </c>
      <c r="BI189" t="str">
        <f t="shared" si="80"/>
        <v/>
      </c>
      <c r="BJ189" t="str">
        <f t="shared" si="81"/>
        <v>(187, 'LED'),</v>
      </c>
      <c r="BK189" t="str">
        <f t="shared" si="82"/>
        <v/>
      </c>
      <c r="BL189" t="str">
        <f t="shared" si="83"/>
        <v/>
      </c>
      <c r="BM189" t="str">
        <f t="shared" si="84"/>
        <v/>
      </c>
      <c r="BN189" t="str">
        <f t="shared" si="85"/>
        <v>(187, 'THREE_PHASE_FOUR_WIRE'),</v>
      </c>
      <c r="BO189" t="str">
        <f t="shared" si="86"/>
        <v/>
      </c>
    </row>
    <row r="190" spans="1:67">
      <c r="A190" s="2" t="s">
        <v>468</v>
      </c>
      <c r="B190" s="3" t="s">
        <v>212</v>
      </c>
      <c r="C190" s="3">
        <v>243</v>
      </c>
      <c r="D190" s="3">
        <v>640</v>
      </c>
      <c r="E190" s="3">
        <v>430</v>
      </c>
      <c r="F190" s="3">
        <v>50</v>
      </c>
      <c r="G190" s="3" t="s">
        <v>316</v>
      </c>
      <c r="H190" s="3">
        <v>1</v>
      </c>
      <c r="I190" s="3">
        <v>1</v>
      </c>
      <c r="J190" s="3">
        <v>0</v>
      </c>
      <c r="K190" s="3">
        <v>1</v>
      </c>
      <c r="L190" s="3">
        <v>1</v>
      </c>
      <c r="M190" s="3">
        <v>15000</v>
      </c>
      <c r="N190" s="3">
        <v>16500</v>
      </c>
      <c r="O190" s="3">
        <v>2</v>
      </c>
      <c r="P190" s="3">
        <v>4</v>
      </c>
      <c r="Q190" s="3">
        <v>1100</v>
      </c>
      <c r="R190" s="3">
        <v>250</v>
      </c>
      <c r="S190" s="3">
        <v>1000</v>
      </c>
      <c r="T190" s="3">
        <v>200</v>
      </c>
      <c r="U190" s="3">
        <v>800</v>
      </c>
      <c r="V190" s="3">
        <v>320</v>
      </c>
      <c r="W190" s="3">
        <v>360</v>
      </c>
      <c r="X190" s="3">
        <v>50</v>
      </c>
      <c r="Y190" s="3">
        <v>40</v>
      </c>
      <c r="Z190" s="3">
        <v>0</v>
      </c>
      <c r="AA190" s="3">
        <v>0</v>
      </c>
      <c r="AB190" s="3">
        <v>1</v>
      </c>
      <c r="AC190" s="3">
        <v>220</v>
      </c>
      <c r="AE190" s="4">
        <v>43.4</v>
      </c>
      <c r="AF190" s="4">
        <v>43.4</v>
      </c>
      <c r="AG190">
        <v>50</v>
      </c>
      <c r="AH190">
        <v>60</v>
      </c>
      <c r="AI190">
        <v>-30</v>
      </c>
      <c r="AJ190" t="s">
        <v>307</v>
      </c>
      <c r="AK190" t="s">
        <v>277</v>
      </c>
      <c r="AL190">
        <v>1</v>
      </c>
      <c r="AN190">
        <v>188</v>
      </c>
      <c r="AO190">
        <v>0</v>
      </c>
      <c r="AP190">
        <f t="shared" si="87"/>
        <v>8</v>
      </c>
      <c r="AR190">
        <v>1</v>
      </c>
      <c r="AS190">
        <v>0</v>
      </c>
      <c r="AT190">
        <v>0</v>
      </c>
      <c r="AU190">
        <v>0</v>
      </c>
      <c r="AW190">
        <v>1</v>
      </c>
      <c r="AY190" t="str">
        <f t="shared" si="88"/>
        <v>1</v>
      </c>
      <c r="BA190" s="13" t="str">
        <f t="shared" si="72"/>
        <v>('SIW400G K015 W00', 1, 640, 430, 243, 50, 60, -30, 'COOLER', 'IP66', 'TRANSFORMERLESS', 15000, 16500, 220, 43.4, 43.4, 50, 4, 8, 1),</v>
      </c>
      <c r="BB190" t="str">
        <f t="shared" si="73"/>
        <v xml:space="preserve">(188, 0, 2, 1100, 250, 1000, 200, 800, 320, 360, 50, 40), </v>
      </c>
      <c r="BC190" t="str">
        <f t="shared" si="74"/>
        <v>(188, 'ON-GRID'),</v>
      </c>
      <c r="BD190" t="str">
        <f t="shared" si="75"/>
        <v/>
      </c>
      <c r="BE190" t="str">
        <f t="shared" si="76"/>
        <v/>
      </c>
      <c r="BF190" t="str">
        <f t="shared" si="77"/>
        <v/>
      </c>
      <c r="BG190" t="str">
        <f t="shared" si="78"/>
        <v>(188, 'WIFI'),</v>
      </c>
      <c r="BH190" t="str">
        <f t="shared" si="79"/>
        <v>(188, 'RS485'),</v>
      </c>
      <c r="BI190" t="str">
        <f t="shared" si="80"/>
        <v/>
      </c>
      <c r="BJ190" t="str">
        <f t="shared" si="81"/>
        <v>(188, 'LED'),</v>
      </c>
      <c r="BK190" t="str">
        <f t="shared" si="82"/>
        <v>(188, 'USB'),</v>
      </c>
      <c r="BL190" t="str">
        <f t="shared" si="83"/>
        <v/>
      </c>
      <c r="BM190" t="str">
        <f t="shared" si="84"/>
        <v/>
      </c>
      <c r="BN190" t="str">
        <f t="shared" si="85"/>
        <v>(188, 'THREE_PHASE_FOUR_WIRE'),</v>
      </c>
      <c r="BO190" t="str">
        <f t="shared" si="86"/>
        <v/>
      </c>
    </row>
    <row r="191" spans="1:67">
      <c r="A191" s="2" t="s">
        <v>469</v>
      </c>
      <c r="B191" s="3" t="s">
        <v>212</v>
      </c>
      <c r="C191" s="3">
        <v>243</v>
      </c>
      <c r="D191" s="3">
        <v>640</v>
      </c>
      <c r="E191" s="3">
        <v>430</v>
      </c>
      <c r="F191" s="3">
        <v>50</v>
      </c>
      <c r="G191" s="3" t="s">
        <v>316</v>
      </c>
      <c r="H191" s="3">
        <v>1</v>
      </c>
      <c r="I191" s="3">
        <v>1</v>
      </c>
      <c r="J191" s="3">
        <v>0</v>
      </c>
      <c r="K191" s="3">
        <v>1</v>
      </c>
      <c r="L191" s="3">
        <v>1</v>
      </c>
      <c r="M191" s="3">
        <v>20000</v>
      </c>
      <c r="N191" s="3">
        <v>22000</v>
      </c>
      <c r="O191" s="3">
        <v>2</v>
      </c>
      <c r="P191" s="3">
        <v>4</v>
      </c>
      <c r="Q191" s="3">
        <v>1100</v>
      </c>
      <c r="R191" s="3">
        <v>250</v>
      </c>
      <c r="S191" s="3">
        <v>1000</v>
      </c>
      <c r="T191" s="3">
        <v>200</v>
      </c>
      <c r="U191" s="3">
        <v>800</v>
      </c>
      <c r="V191" s="3">
        <v>320</v>
      </c>
      <c r="W191" s="3">
        <v>360</v>
      </c>
      <c r="X191" s="3">
        <v>50</v>
      </c>
      <c r="Y191" s="3">
        <v>40</v>
      </c>
      <c r="Z191" s="3">
        <v>0</v>
      </c>
      <c r="AA191" s="3">
        <v>0</v>
      </c>
      <c r="AB191" s="3">
        <v>1</v>
      </c>
      <c r="AC191" s="3">
        <v>220</v>
      </c>
      <c r="AE191" s="4">
        <v>57.8</v>
      </c>
      <c r="AF191" s="4">
        <v>57.8</v>
      </c>
      <c r="AG191">
        <v>50</v>
      </c>
      <c r="AH191">
        <v>60</v>
      </c>
      <c r="AI191">
        <v>-30</v>
      </c>
      <c r="AJ191" t="s">
        <v>307</v>
      </c>
      <c r="AK191" t="s">
        <v>277</v>
      </c>
      <c r="AL191">
        <v>1</v>
      </c>
      <c r="AN191">
        <v>189</v>
      </c>
      <c r="AO191">
        <v>0</v>
      </c>
      <c r="AP191">
        <f t="shared" si="87"/>
        <v>8</v>
      </c>
      <c r="AR191">
        <v>1</v>
      </c>
      <c r="AS191">
        <v>0</v>
      </c>
      <c r="AT191">
        <v>0</v>
      </c>
      <c r="AU191">
        <v>0</v>
      </c>
      <c r="AW191">
        <v>1</v>
      </c>
      <c r="AY191" t="str">
        <f t="shared" si="88"/>
        <v>1</v>
      </c>
      <c r="BA191" s="13" t="str">
        <f t="shared" si="72"/>
        <v>('SIW400G K020 W00', 1, 640, 430, 243, 50, 60, -30, 'COOLER', 'IP66', 'TRANSFORMERLESS', 20000, 22000, 220, 57.8, 57.8, 50, 4, 8, 1),</v>
      </c>
      <c r="BB191" t="str">
        <f t="shared" si="73"/>
        <v xml:space="preserve">(189, 0, 2, 1100, 250, 1000, 200, 800, 320, 360, 50, 40), </v>
      </c>
      <c r="BC191" t="str">
        <f t="shared" si="74"/>
        <v>(189, 'ON-GRID'),</v>
      </c>
      <c r="BD191" t="str">
        <f t="shared" si="75"/>
        <v/>
      </c>
      <c r="BE191" t="str">
        <f t="shared" si="76"/>
        <v/>
      </c>
      <c r="BF191" t="str">
        <f t="shared" si="77"/>
        <v/>
      </c>
      <c r="BG191" t="str">
        <f t="shared" si="78"/>
        <v>(189, 'WIFI'),</v>
      </c>
      <c r="BH191" t="str">
        <f t="shared" si="79"/>
        <v>(189, 'RS485'),</v>
      </c>
      <c r="BI191" t="str">
        <f t="shared" si="80"/>
        <v/>
      </c>
      <c r="BJ191" t="str">
        <f t="shared" si="81"/>
        <v>(189, 'LED'),</v>
      </c>
      <c r="BK191" t="str">
        <f t="shared" si="82"/>
        <v>(189, 'USB'),</v>
      </c>
      <c r="BL191" t="str">
        <f t="shared" si="83"/>
        <v/>
      </c>
      <c r="BM191" t="str">
        <f t="shared" si="84"/>
        <v/>
      </c>
      <c r="BN191" t="str">
        <f t="shared" si="85"/>
        <v>(189, 'THREE_PHASE_FOUR_WIRE'),</v>
      </c>
      <c r="BO191" t="str">
        <f t="shared" si="86"/>
        <v/>
      </c>
    </row>
    <row r="192" spans="1:67">
      <c r="A192" s="2" t="s">
        <v>470</v>
      </c>
      <c r="B192" s="3" t="s">
        <v>212</v>
      </c>
      <c r="C192" s="3">
        <v>243</v>
      </c>
      <c r="D192" s="3">
        <v>640</v>
      </c>
      <c r="E192" s="3">
        <v>430</v>
      </c>
      <c r="F192" s="3">
        <v>50</v>
      </c>
      <c r="G192" s="3" t="s">
        <v>316</v>
      </c>
      <c r="H192" s="3">
        <v>1</v>
      </c>
      <c r="I192" s="3">
        <v>1</v>
      </c>
      <c r="J192" s="3">
        <v>0</v>
      </c>
      <c r="K192" s="3">
        <v>1</v>
      </c>
      <c r="L192" s="3">
        <v>1</v>
      </c>
      <c r="M192" s="3">
        <v>25000</v>
      </c>
      <c r="N192" s="3">
        <v>27500</v>
      </c>
      <c r="O192" s="3">
        <v>2</v>
      </c>
      <c r="P192" s="3">
        <v>4</v>
      </c>
      <c r="Q192" s="3">
        <v>1100</v>
      </c>
      <c r="R192" s="3">
        <v>250</v>
      </c>
      <c r="S192" s="3">
        <v>1000</v>
      </c>
      <c r="T192" s="3">
        <v>200</v>
      </c>
      <c r="U192" s="3">
        <v>800</v>
      </c>
      <c r="V192" s="3">
        <v>320</v>
      </c>
      <c r="W192" s="3">
        <v>360</v>
      </c>
      <c r="X192" s="3">
        <v>50</v>
      </c>
      <c r="Y192" s="3">
        <v>40</v>
      </c>
      <c r="Z192" s="3">
        <v>0</v>
      </c>
      <c r="AA192" s="3">
        <v>0</v>
      </c>
      <c r="AB192" s="3">
        <v>1</v>
      </c>
      <c r="AC192" s="3">
        <v>220</v>
      </c>
      <c r="AE192" s="4">
        <v>72.2</v>
      </c>
      <c r="AF192" s="4">
        <v>72.2</v>
      </c>
      <c r="AG192">
        <v>50</v>
      </c>
      <c r="AH192">
        <v>60</v>
      </c>
      <c r="AI192">
        <v>-30</v>
      </c>
      <c r="AJ192" t="s">
        <v>307</v>
      </c>
      <c r="AK192" t="s">
        <v>277</v>
      </c>
      <c r="AL192">
        <v>1</v>
      </c>
      <c r="AN192">
        <v>190</v>
      </c>
      <c r="AO192">
        <v>0</v>
      </c>
      <c r="AP192">
        <f t="shared" si="87"/>
        <v>8</v>
      </c>
      <c r="AR192">
        <v>1</v>
      </c>
      <c r="AS192">
        <v>0</v>
      </c>
      <c r="AT192">
        <v>0</v>
      </c>
      <c r="AU192">
        <v>0</v>
      </c>
      <c r="AW192">
        <v>1</v>
      </c>
      <c r="AY192" t="str">
        <f t="shared" si="88"/>
        <v>1</v>
      </c>
      <c r="BA192" s="13" t="str">
        <f t="shared" si="72"/>
        <v>('SIW400G K025 W00', 1, 640, 430, 243, 50, 60, -30, 'COOLER', 'IP66', 'TRANSFORMERLESS', 25000, 27500, 220, 72.2, 72.2, 50, 4, 8, 1),</v>
      </c>
      <c r="BB192" t="str">
        <f t="shared" si="73"/>
        <v xml:space="preserve">(190, 0, 2, 1100, 250, 1000, 200, 800, 320, 360, 50, 40), </v>
      </c>
      <c r="BC192" t="str">
        <f t="shared" si="74"/>
        <v>(190, 'ON-GRID'),</v>
      </c>
      <c r="BD192" t="str">
        <f t="shared" si="75"/>
        <v/>
      </c>
      <c r="BE192" t="str">
        <f t="shared" si="76"/>
        <v/>
      </c>
      <c r="BF192" t="str">
        <f t="shared" si="77"/>
        <v/>
      </c>
      <c r="BG192" t="str">
        <f t="shared" si="78"/>
        <v>(190, 'WIFI'),</v>
      </c>
      <c r="BH192" t="str">
        <f t="shared" si="79"/>
        <v>(190, 'RS485'),</v>
      </c>
      <c r="BI192" t="str">
        <f t="shared" si="80"/>
        <v/>
      </c>
      <c r="BJ192" t="str">
        <f t="shared" si="81"/>
        <v>(190, 'LED'),</v>
      </c>
      <c r="BK192" t="str">
        <f t="shared" si="82"/>
        <v>(190, 'USB'),</v>
      </c>
      <c r="BL192" t="str">
        <f t="shared" si="83"/>
        <v/>
      </c>
      <c r="BM192" t="str">
        <f t="shared" si="84"/>
        <v/>
      </c>
      <c r="BN192" t="str">
        <f t="shared" si="85"/>
        <v>(190, 'THREE_PHASE_FOUR_WIRE'),</v>
      </c>
      <c r="BO192" t="str">
        <f t="shared" si="86"/>
        <v/>
      </c>
    </row>
    <row r="193" spans="1:67">
      <c r="A193" s="2" t="s">
        <v>471</v>
      </c>
      <c r="B193" s="3" t="s">
        <v>212</v>
      </c>
      <c r="C193" s="3">
        <v>243</v>
      </c>
      <c r="D193" s="3">
        <v>640</v>
      </c>
      <c r="E193" s="3">
        <v>430</v>
      </c>
      <c r="F193" s="3">
        <v>50</v>
      </c>
      <c r="G193" s="3" t="s">
        <v>316</v>
      </c>
      <c r="H193" s="3">
        <v>1</v>
      </c>
      <c r="I193" s="3">
        <v>1</v>
      </c>
      <c r="J193" s="3">
        <v>0</v>
      </c>
      <c r="K193" s="3">
        <v>1</v>
      </c>
      <c r="L193" s="3">
        <v>1</v>
      </c>
      <c r="M193" s="3">
        <v>30000</v>
      </c>
      <c r="N193" s="3">
        <v>33000</v>
      </c>
      <c r="O193" s="3">
        <v>2</v>
      </c>
      <c r="P193" s="3">
        <v>4</v>
      </c>
      <c r="Q193" s="3">
        <v>1100</v>
      </c>
      <c r="R193" s="3">
        <v>250</v>
      </c>
      <c r="S193" s="3">
        <v>1000</v>
      </c>
      <c r="T193" s="3">
        <v>200</v>
      </c>
      <c r="U193" s="3">
        <v>800</v>
      </c>
      <c r="V193" s="3">
        <v>320</v>
      </c>
      <c r="W193" s="3">
        <v>360</v>
      </c>
      <c r="X193" s="3">
        <v>50</v>
      </c>
      <c r="Y193" s="3">
        <v>40</v>
      </c>
      <c r="Z193" s="3">
        <v>0</v>
      </c>
      <c r="AA193" s="3">
        <v>0</v>
      </c>
      <c r="AB193" s="3">
        <v>1</v>
      </c>
      <c r="AC193" s="3">
        <v>220</v>
      </c>
      <c r="AE193" s="4">
        <v>86.7</v>
      </c>
      <c r="AF193" s="4">
        <v>86.7</v>
      </c>
      <c r="AG193">
        <v>50</v>
      </c>
      <c r="AH193">
        <v>60</v>
      </c>
      <c r="AI193">
        <v>-30</v>
      </c>
      <c r="AJ193" t="s">
        <v>307</v>
      </c>
      <c r="AK193" t="s">
        <v>277</v>
      </c>
      <c r="AL193">
        <v>1</v>
      </c>
      <c r="AN193">
        <v>191</v>
      </c>
      <c r="AO193">
        <v>0</v>
      </c>
      <c r="AP193">
        <f t="shared" si="87"/>
        <v>8</v>
      </c>
      <c r="AR193">
        <v>1</v>
      </c>
      <c r="AS193">
        <v>0</v>
      </c>
      <c r="AT193">
        <v>0</v>
      </c>
      <c r="AU193">
        <v>0</v>
      </c>
      <c r="AW193">
        <v>1</v>
      </c>
      <c r="AY193" t="str">
        <f t="shared" si="88"/>
        <v>1</v>
      </c>
      <c r="BA193" s="13" t="str">
        <f t="shared" si="72"/>
        <v>('SIW400G K030 W00', 1, 640, 430, 243, 50, 60, -30, 'COOLER', 'IP66', 'TRANSFORMERLESS', 30000, 33000, 220, 86.7, 86.7, 50, 4, 8, 1),</v>
      </c>
      <c r="BB193" t="str">
        <f t="shared" si="73"/>
        <v xml:space="preserve">(191, 0, 2, 1100, 250, 1000, 200, 800, 320, 360, 50, 40), </v>
      </c>
      <c r="BC193" t="str">
        <f t="shared" si="74"/>
        <v>(191, 'ON-GRID'),</v>
      </c>
      <c r="BD193" t="str">
        <f t="shared" si="75"/>
        <v/>
      </c>
      <c r="BE193" t="str">
        <f t="shared" si="76"/>
        <v/>
      </c>
      <c r="BF193" t="str">
        <f t="shared" si="77"/>
        <v/>
      </c>
      <c r="BG193" t="str">
        <f t="shared" si="78"/>
        <v>(191, 'WIFI'),</v>
      </c>
      <c r="BH193" t="str">
        <f t="shared" si="79"/>
        <v>(191, 'RS485'),</v>
      </c>
      <c r="BI193" t="str">
        <f t="shared" si="80"/>
        <v/>
      </c>
      <c r="BJ193" t="str">
        <f t="shared" si="81"/>
        <v>(191, 'LED'),</v>
      </c>
      <c r="BK193" t="str">
        <f t="shared" si="82"/>
        <v>(191, 'USB'),</v>
      </c>
      <c r="BL193" t="str">
        <f t="shared" si="83"/>
        <v/>
      </c>
      <c r="BM193" t="str">
        <f t="shared" si="84"/>
        <v/>
      </c>
      <c r="BN193" t="str">
        <f t="shared" si="85"/>
        <v>(191, 'THREE_PHASE_FOUR_WIRE'),</v>
      </c>
      <c r="BO193" t="str">
        <f t="shared" si="86"/>
        <v/>
      </c>
    </row>
    <row r="194" spans="1:67">
      <c r="A194" s="2" t="s">
        <v>472</v>
      </c>
      <c r="B194" s="3" t="s">
        <v>212</v>
      </c>
      <c r="C194" s="3">
        <v>243</v>
      </c>
      <c r="D194" s="3">
        <v>640</v>
      </c>
      <c r="E194" s="3">
        <v>430</v>
      </c>
      <c r="F194" s="3">
        <v>50</v>
      </c>
      <c r="G194" s="3" t="s">
        <v>316</v>
      </c>
      <c r="H194" s="3">
        <v>1</v>
      </c>
      <c r="I194" s="3">
        <v>1</v>
      </c>
      <c r="J194" s="3">
        <v>0</v>
      </c>
      <c r="K194" s="3">
        <v>1</v>
      </c>
      <c r="L194" s="3">
        <v>1</v>
      </c>
      <c r="M194" s="3">
        <v>37000</v>
      </c>
      <c r="N194" s="3">
        <v>37500</v>
      </c>
      <c r="O194" s="3">
        <v>2</v>
      </c>
      <c r="P194" s="3">
        <v>4</v>
      </c>
      <c r="Q194" s="3">
        <v>1100</v>
      </c>
      <c r="R194" s="3">
        <v>250</v>
      </c>
      <c r="S194" s="3">
        <v>1000</v>
      </c>
      <c r="T194" s="3">
        <v>200</v>
      </c>
      <c r="U194" s="3">
        <v>800</v>
      </c>
      <c r="V194" s="3">
        <v>320</v>
      </c>
      <c r="W194" s="3">
        <v>360</v>
      </c>
      <c r="X194" s="3">
        <v>50</v>
      </c>
      <c r="Y194" s="3">
        <v>40</v>
      </c>
      <c r="Z194" s="3">
        <v>0</v>
      </c>
      <c r="AA194" s="3">
        <v>0</v>
      </c>
      <c r="AB194" s="3">
        <v>1</v>
      </c>
      <c r="AC194" s="3">
        <v>220</v>
      </c>
      <c r="AE194" s="4">
        <v>98.5</v>
      </c>
      <c r="AF194" s="4">
        <v>98.5</v>
      </c>
      <c r="AG194">
        <v>50</v>
      </c>
      <c r="AH194">
        <v>60</v>
      </c>
      <c r="AI194">
        <v>-30</v>
      </c>
      <c r="AJ194" t="s">
        <v>307</v>
      </c>
      <c r="AK194" t="s">
        <v>277</v>
      </c>
      <c r="AL194">
        <v>1</v>
      </c>
      <c r="AN194">
        <v>192</v>
      </c>
      <c r="AO194">
        <v>0</v>
      </c>
      <c r="AP194">
        <f t="shared" si="87"/>
        <v>8</v>
      </c>
      <c r="AR194">
        <v>1</v>
      </c>
      <c r="AS194">
        <v>0</v>
      </c>
      <c r="AT194">
        <v>0</v>
      </c>
      <c r="AU194">
        <v>1</v>
      </c>
      <c r="AW194">
        <v>1</v>
      </c>
      <c r="AY194" t="str">
        <f t="shared" si="88"/>
        <v>1</v>
      </c>
      <c r="BA194" s="13" t="str">
        <f t="shared" si="72"/>
        <v>('SIW400G K037 W00', 1, 640, 430, 243, 50, 60, -30, 'COOLER', 'IP66', 'TRANSFORMERLESS', 37000, 37500, 220, 98.5, 98.5, 50, 4, 8, 1),</v>
      </c>
      <c r="BB194" t="str">
        <f t="shared" si="73"/>
        <v xml:space="preserve">(192, 0, 2, 1100, 250, 1000, 200, 800, 320, 360, 50, 40), </v>
      </c>
      <c r="BC194" t="str">
        <f t="shared" si="74"/>
        <v>(192, 'ON-GRID'),</v>
      </c>
      <c r="BD194" t="str">
        <f t="shared" si="75"/>
        <v/>
      </c>
      <c r="BE194" t="str">
        <f t="shared" si="76"/>
        <v/>
      </c>
      <c r="BF194" t="str">
        <f t="shared" si="77"/>
        <v>(192, 'HYBRID'),</v>
      </c>
      <c r="BG194" t="str">
        <f t="shared" si="78"/>
        <v>(192, 'WIFI'),</v>
      </c>
      <c r="BH194" t="str">
        <f t="shared" si="79"/>
        <v>(192, 'RS485'),</v>
      </c>
      <c r="BI194" t="str">
        <f t="shared" si="80"/>
        <v/>
      </c>
      <c r="BJ194" t="str">
        <f t="shared" si="81"/>
        <v>(192, 'LED'),</v>
      </c>
      <c r="BK194" t="str">
        <f t="shared" si="82"/>
        <v>(192, 'USB'),</v>
      </c>
      <c r="BL194" t="str">
        <f t="shared" si="83"/>
        <v/>
      </c>
      <c r="BM194" t="str">
        <f t="shared" si="84"/>
        <v/>
      </c>
      <c r="BN194" t="str">
        <f t="shared" si="85"/>
        <v>(192, 'THREE_PHASE_FOUR_WIRE'),</v>
      </c>
      <c r="BO194" t="str">
        <f t="shared" si="86"/>
        <v/>
      </c>
    </row>
    <row r="195" spans="1:67">
      <c r="A195" s="2" t="s">
        <v>473</v>
      </c>
      <c r="B195" s="3" t="s">
        <v>212</v>
      </c>
      <c r="C195" s="3">
        <v>225</v>
      </c>
      <c r="D195" s="3">
        <v>600</v>
      </c>
      <c r="E195" s="3">
        <v>560</v>
      </c>
      <c r="F195" s="3">
        <v>52.5</v>
      </c>
      <c r="G195" s="3" t="s">
        <v>316</v>
      </c>
      <c r="H195" s="3">
        <v>1</v>
      </c>
      <c r="I195" s="3">
        <v>1</v>
      </c>
      <c r="J195" s="3">
        <v>1</v>
      </c>
      <c r="K195" s="3">
        <v>1</v>
      </c>
      <c r="L195" s="3">
        <v>1</v>
      </c>
      <c r="M195" s="3">
        <v>10000</v>
      </c>
      <c r="N195" s="3">
        <v>11000</v>
      </c>
      <c r="O195" s="3">
        <v>2</v>
      </c>
      <c r="P195" s="3">
        <v>3</v>
      </c>
      <c r="Q195" s="3">
        <v>1000</v>
      </c>
      <c r="R195" s="3">
        <v>160</v>
      </c>
      <c r="S195" s="3">
        <v>850</v>
      </c>
      <c r="T195" s="3">
        <v>150</v>
      </c>
      <c r="U195" s="3">
        <v>850</v>
      </c>
      <c r="V195" s="3">
        <v>230</v>
      </c>
      <c r="W195" s="3">
        <v>750</v>
      </c>
      <c r="X195" s="3">
        <v>20</v>
      </c>
      <c r="Y195" s="3">
        <v>16</v>
      </c>
      <c r="Z195" s="3">
        <v>0</v>
      </c>
      <c r="AA195" s="3">
        <v>0</v>
      </c>
      <c r="AB195" s="3">
        <v>1</v>
      </c>
      <c r="AC195" s="3">
        <v>380</v>
      </c>
      <c r="AE195" s="4">
        <v>16.7</v>
      </c>
      <c r="AF195" s="4">
        <v>16.7</v>
      </c>
      <c r="AG195">
        <v>50</v>
      </c>
      <c r="AH195">
        <v>60</v>
      </c>
      <c r="AI195">
        <v>-25</v>
      </c>
      <c r="AJ195" t="s">
        <v>276</v>
      </c>
      <c r="AK195" t="s">
        <v>277</v>
      </c>
      <c r="AL195">
        <v>1</v>
      </c>
      <c r="AN195">
        <v>193</v>
      </c>
      <c r="AO195">
        <v>0</v>
      </c>
      <c r="AP195">
        <f t="shared" ref="AP195:AP204" si="89">O195*P195</f>
        <v>6</v>
      </c>
      <c r="AR195">
        <v>1</v>
      </c>
      <c r="AS195">
        <v>0</v>
      </c>
      <c r="AT195">
        <v>0</v>
      </c>
      <c r="AU195">
        <v>1</v>
      </c>
      <c r="AW195">
        <v>1</v>
      </c>
      <c r="AY195" t="str">
        <f t="shared" si="88"/>
        <v>1</v>
      </c>
      <c r="BA195" s="13" t="str">
        <f t="shared" si="72"/>
        <v>('SIW400H T010 W10', 1, 600, 560, 225, 52.5, 60, -25, 'COOLER', 'IP65', 'TRANSFORMERLESS', 10000, 11000, 380, 16.7, 16.7, 50, 3, 6, 1),</v>
      </c>
      <c r="BB195" t="str">
        <f t="shared" si="73"/>
        <v xml:space="preserve">(193, 0, 2, 1000, 160, 850, 150, 850, 230, 750, 20, 16), </v>
      </c>
      <c r="BC195" t="str">
        <f t="shared" si="74"/>
        <v>(193, 'ON-GRID'),</v>
      </c>
      <c r="BD195" t="str">
        <f t="shared" si="75"/>
        <v/>
      </c>
      <c r="BE195" t="str">
        <f t="shared" si="76"/>
        <v/>
      </c>
      <c r="BF195" t="str">
        <f t="shared" si="77"/>
        <v>(193, 'HYBRID'),</v>
      </c>
      <c r="BG195" t="str">
        <f t="shared" si="78"/>
        <v>(193, 'WIFI'),</v>
      </c>
      <c r="BH195" t="str">
        <f t="shared" si="79"/>
        <v>(193, 'RS485'),</v>
      </c>
      <c r="BI195" t="str">
        <f t="shared" si="80"/>
        <v>(193, 'DISPLAY'),</v>
      </c>
      <c r="BJ195" t="str">
        <f t="shared" si="81"/>
        <v>(193, 'LED'),</v>
      </c>
      <c r="BK195" t="str">
        <f t="shared" si="82"/>
        <v>(193, 'USB'),</v>
      </c>
      <c r="BL195" t="str">
        <f t="shared" si="83"/>
        <v/>
      </c>
      <c r="BM195" t="str">
        <f t="shared" si="84"/>
        <v/>
      </c>
      <c r="BN195" t="str">
        <f t="shared" si="85"/>
        <v>(193, 'THREE_PHASE_FOUR_WIRE'),</v>
      </c>
      <c r="BO195" t="str">
        <f t="shared" si="86"/>
        <v/>
      </c>
    </row>
    <row r="196" spans="1:67">
      <c r="A196" s="2" t="s">
        <v>474</v>
      </c>
      <c r="B196" s="3" t="s">
        <v>212</v>
      </c>
      <c r="C196" s="3">
        <v>225</v>
      </c>
      <c r="D196" s="3">
        <v>600</v>
      </c>
      <c r="E196" s="3">
        <v>560</v>
      </c>
      <c r="F196" s="3">
        <v>52.5</v>
      </c>
      <c r="G196" s="3" t="s">
        <v>316</v>
      </c>
      <c r="H196" s="3">
        <v>1</v>
      </c>
      <c r="I196" s="3">
        <v>1</v>
      </c>
      <c r="J196" s="3">
        <v>1</v>
      </c>
      <c r="K196" s="3">
        <v>1</v>
      </c>
      <c r="L196" s="3">
        <v>1</v>
      </c>
      <c r="M196" s="3">
        <v>12000</v>
      </c>
      <c r="N196" s="3">
        <v>13200</v>
      </c>
      <c r="O196" s="3">
        <v>2</v>
      </c>
      <c r="P196" s="3">
        <v>3</v>
      </c>
      <c r="Q196" s="3">
        <v>1000</v>
      </c>
      <c r="R196" s="3">
        <v>160</v>
      </c>
      <c r="S196" s="3">
        <v>850</v>
      </c>
      <c r="T196" s="3">
        <v>150</v>
      </c>
      <c r="U196" s="3">
        <v>850</v>
      </c>
      <c r="V196" s="3">
        <v>270</v>
      </c>
      <c r="W196" s="3">
        <v>750</v>
      </c>
      <c r="X196" s="3">
        <v>20</v>
      </c>
      <c r="Y196" s="3">
        <v>16</v>
      </c>
      <c r="Z196" s="3">
        <v>0</v>
      </c>
      <c r="AA196" s="3">
        <v>0</v>
      </c>
      <c r="AB196" s="3">
        <v>1</v>
      </c>
      <c r="AC196" s="3">
        <v>380</v>
      </c>
      <c r="AE196" s="4">
        <v>20</v>
      </c>
      <c r="AF196" s="4">
        <v>20</v>
      </c>
      <c r="AG196">
        <v>50</v>
      </c>
      <c r="AH196">
        <v>60</v>
      </c>
      <c r="AI196">
        <v>-25</v>
      </c>
      <c r="AJ196" t="s">
        <v>276</v>
      </c>
      <c r="AK196" t="s">
        <v>277</v>
      </c>
      <c r="AL196">
        <v>1</v>
      </c>
      <c r="AN196">
        <v>194</v>
      </c>
      <c r="AO196">
        <v>0</v>
      </c>
      <c r="AP196">
        <f t="shared" si="89"/>
        <v>6</v>
      </c>
      <c r="AR196">
        <v>1</v>
      </c>
      <c r="AS196">
        <v>0</v>
      </c>
      <c r="AT196">
        <v>0</v>
      </c>
      <c r="AU196">
        <v>1</v>
      </c>
      <c r="AW196">
        <v>1</v>
      </c>
      <c r="AY196" t="str">
        <f t="shared" si="88"/>
        <v>1</v>
      </c>
      <c r="BA196" s="13" t="str">
        <f t="shared" si="72"/>
        <v>('SIW400H T012 W10', 1, 600, 560, 225, 52.5, 60, -25, 'COOLER', 'IP65', 'TRANSFORMERLESS', 12000, 13200, 380, 20, 20, 50, 3, 6, 1),</v>
      </c>
      <c r="BB196" t="str">
        <f t="shared" si="73"/>
        <v xml:space="preserve">(194, 0, 2, 1000, 160, 850, 150, 850, 270, 750, 20, 16), </v>
      </c>
      <c r="BC196" t="str">
        <f t="shared" si="74"/>
        <v>(194, 'ON-GRID'),</v>
      </c>
      <c r="BD196" t="str">
        <f t="shared" si="75"/>
        <v/>
      </c>
      <c r="BE196" t="str">
        <f t="shared" si="76"/>
        <v/>
      </c>
      <c r="BF196" t="str">
        <f t="shared" si="77"/>
        <v>(194, 'HYBRID'),</v>
      </c>
      <c r="BG196" t="str">
        <f t="shared" si="78"/>
        <v>(194, 'WIFI'),</v>
      </c>
      <c r="BH196" t="str">
        <f t="shared" si="79"/>
        <v>(194, 'RS485'),</v>
      </c>
      <c r="BI196" t="str">
        <f t="shared" si="80"/>
        <v>(194, 'DISPLAY'),</v>
      </c>
      <c r="BJ196" t="str">
        <f t="shared" si="81"/>
        <v>(194, 'LED'),</v>
      </c>
      <c r="BK196" t="str">
        <f t="shared" si="82"/>
        <v>(194, 'USB'),</v>
      </c>
      <c r="BL196" t="str">
        <f t="shared" si="83"/>
        <v/>
      </c>
      <c r="BM196" t="str">
        <f t="shared" si="84"/>
        <v/>
      </c>
      <c r="BN196" t="str">
        <f t="shared" si="85"/>
        <v>(194, 'THREE_PHASE_FOUR_WIRE'),</v>
      </c>
      <c r="BO196" t="str">
        <f t="shared" si="86"/>
        <v/>
      </c>
    </row>
    <row r="197" spans="1:67">
      <c r="A197" s="2" t="s">
        <v>475</v>
      </c>
      <c r="B197" s="3" t="s">
        <v>212</v>
      </c>
      <c r="C197" s="3">
        <v>225</v>
      </c>
      <c r="D197" s="3">
        <v>600</v>
      </c>
      <c r="E197" s="3">
        <v>560</v>
      </c>
      <c r="F197" s="3">
        <v>52.5</v>
      </c>
      <c r="G197" s="3" t="s">
        <v>316</v>
      </c>
      <c r="H197" s="3">
        <v>1</v>
      </c>
      <c r="I197" s="3">
        <v>1</v>
      </c>
      <c r="J197" s="3">
        <v>1</v>
      </c>
      <c r="K197" s="3">
        <v>1</v>
      </c>
      <c r="L197" s="3">
        <v>1</v>
      </c>
      <c r="M197" s="3">
        <v>15000</v>
      </c>
      <c r="N197" s="3">
        <v>16500</v>
      </c>
      <c r="O197" s="3">
        <v>2</v>
      </c>
      <c r="P197" s="3">
        <v>3</v>
      </c>
      <c r="Q197" s="3">
        <v>1000</v>
      </c>
      <c r="R197" s="3">
        <v>160</v>
      </c>
      <c r="S197" s="3">
        <v>850</v>
      </c>
      <c r="T197" s="3">
        <v>150</v>
      </c>
      <c r="U197" s="3">
        <v>850</v>
      </c>
      <c r="V197" s="3">
        <v>170</v>
      </c>
      <c r="W197" s="3">
        <v>750</v>
      </c>
      <c r="X197" s="3">
        <v>40</v>
      </c>
      <c r="Y197" s="3">
        <v>32</v>
      </c>
      <c r="Z197" s="3">
        <v>0</v>
      </c>
      <c r="AA197" s="3">
        <v>0</v>
      </c>
      <c r="AB197" s="3">
        <v>1</v>
      </c>
      <c r="AC197" s="3">
        <v>380</v>
      </c>
      <c r="AE197" s="4">
        <v>25</v>
      </c>
      <c r="AF197" s="4">
        <v>25</v>
      </c>
      <c r="AG197">
        <v>50</v>
      </c>
      <c r="AH197">
        <v>60</v>
      </c>
      <c r="AI197">
        <v>-25</v>
      </c>
      <c r="AJ197" t="s">
        <v>276</v>
      </c>
      <c r="AK197" t="s">
        <v>277</v>
      </c>
      <c r="AL197">
        <v>1</v>
      </c>
      <c r="AN197">
        <v>195</v>
      </c>
      <c r="AO197">
        <v>0</v>
      </c>
      <c r="AP197">
        <f t="shared" si="89"/>
        <v>6</v>
      </c>
      <c r="AR197">
        <v>1</v>
      </c>
      <c r="AS197">
        <v>0</v>
      </c>
      <c r="AT197">
        <v>0</v>
      </c>
      <c r="AU197">
        <v>1</v>
      </c>
      <c r="AW197">
        <v>1</v>
      </c>
      <c r="AY197" t="str">
        <f t="shared" si="88"/>
        <v>1</v>
      </c>
      <c r="BA197" s="13" t="str">
        <f t="shared" si="72"/>
        <v>('SIW400H T015 W10', 1, 600, 560, 225, 52.5, 60, -25, 'COOLER', 'IP65', 'TRANSFORMERLESS', 15000, 16500, 380, 25, 25, 50, 3, 6, 1),</v>
      </c>
      <c r="BB197" t="str">
        <f t="shared" si="73"/>
        <v xml:space="preserve">(195, 0, 2, 1000, 160, 850, 150, 850, 170, 750, 40, 32), </v>
      </c>
      <c r="BC197" t="str">
        <f t="shared" si="74"/>
        <v>(195, 'ON-GRID'),</v>
      </c>
      <c r="BD197" t="str">
        <f t="shared" si="75"/>
        <v/>
      </c>
      <c r="BE197" t="str">
        <f t="shared" si="76"/>
        <v/>
      </c>
      <c r="BF197" t="str">
        <f t="shared" si="77"/>
        <v>(195, 'HYBRID'),</v>
      </c>
      <c r="BG197" t="str">
        <f t="shared" si="78"/>
        <v>(195, 'WIFI'),</v>
      </c>
      <c r="BH197" t="str">
        <f t="shared" si="79"/>
        <v>(195, 'RS485'),</v>
      </c>
      <c r="BI197" t="str">
        <f t="shared" si="80"/>
        <v>(195, 'DISPLAY'),</v>
      </c>
      <c r="BJ197" t="str">
        <f t="shared" si="81"/>
        <v>(195, 'LED'),</v>
      </c>
      <c r="BK197" t="str">
        <f t="shared" si="82"/>
        <v>(195, 'USB'),</v>
      </c>
      <c r="BL197" t="str">
        <f t="shared" si="83"/>
        <v/>
      </c>
      <c r="BM197" t="str">
        <f t="shared" si="84"/>
        <v/>
      </c>
      <c r="BN197" t="str">
        <f t="shared" si="85"/>
        <v>(195, 'THREE_PHASE_FOUR_WIRE'),</v>
      </c>
      <c r="BO197" t="str">
        <f t="shared" si="86"/>
        <v/>
      </c>
    </row>
    <row r="198" spans="1:67">
      <c r="A198" s="2" t="s">
        <v>476</v>
      </c>
      <c r="B198" s="3" t="s">
        <v>212</v>
      </c>
      <c r="C198" s="3">
        <v>225</v>
      </c>
      <c r="D198" s="3">
        <v>600</v>
      </c>
      <c r="E198" s="3">
        <v>560</v>
      </c>
      <c r="F198" s="3">
        <v>52.5</v>
      </c>
      <c r="G198" s="3" t="s">
        <v>316</v>
      </c>
      <c r="H198" s="3">
        <v>1</v>
      </c>
      <c r="I198" s="3">
        <v>1</v>
      </c>
      <c r="J198" s="3">
        <v>1</v>
      </c>
      <c r="K198" s="3">
        <v>1</v>
      </c>
      <c r="L198" s="3">
        <v>1</v>
      </c>
      <c r="M198" s="3">
        <v>20000</v>
      </c>
      <c r="N198" s="3">
        <v>22000</v>
      </c>
      <c r="O198" s="3">
        <v>2</v>
      </c>
      <c r="P198" s="3">
        <v>3</v>
      </c>
      <c r="Q198" s="3">
        <v>1000</v>
      </c>
      <c r="R198" s="3">
        <v>160</v>
      </c>
      <c r="S198" s="3">
        <v>850</v>
      </c>
      <c r="T198" s="3">
        <v>150</v>
      </c>
      <c r="U198" s="3">
        <v>850</v>
      </c>
      <c r="V198" s="3">
        <v>230</v>
      </c>
      <c r="W198" s="3">
        <v>750</v>
      </c>
      <c r="X198" s="3">
        <v>40</v>
      </c>
      <c r="Y198" s="3">
        <v>32</v>
      </c>
      <c r="Z198" s="3">
        <v>0</v>
      </c>
      <c r="AA198" s="3">
        <v>0</v>
      </c>
      <c r="AB198" s="3">
        <v>1</v>
      </c>
      <c r="AC198" s="3">
        <v>380</v>
      </c>
      <c r="AE198" s="4">
        <v>33.299999999999997</v>
      </c>
      <c r="AF198" s="4">
        <v>33.299999999999997</v>
      </c>
      <c r="AG198">
        <v>50</v>
      </c>
      <c r="AH198">
        <v>60</v>
      </c>
      <c r="AI198">
        <v>-25</v>
      </c>
      <c r="AJ198" t="s">
        <v>276</v>
      </c>
      <c r="AK198" t="s">
        <v>277</v>
      </c>
      <c r="AL198">
        <v>1</v>
      </c>
      <c r="AN198">
        <v>196</v>
      </c>
      <c r="AO198">
        <v>0</v>
      </c>
      <c r="AP198">
        <f t="shared" si="89"/>
        <v>6</v>
      </c>
      <c r="AR198">
        <v>1</v>
      </c>
      <c r="AS198">
        <v>0</v>
      </c>
      <c r="AT198">
        <v>0</v>
      </c>
      <c r="AU198">
        <v>1</v>
      </c>
      <c r="AW198">
        <v>1</v>
      </c>
      <c r="AY198" t="str">
        <f t="shared" si="88"/>
        <v>1</v>
      </c>
      <c r="BA198" s="13" t="str">
        <f t="shared" si="72"/>
        <v>('SIW400H T020 W10', 1, 600, 560, 225, 52.5, 60, -25, 'COOLER', 'IP65', 'TRANSFORMERLESS', 20000, 22000, 380, 33.3, 33.3, 50, 3, 6, 1),</v>
      </c>
      <c r="BB198" t="str">
        <f t="shared" si="73"/>
        <v xml:space="preserve">(196, 0, 2, 1000, 160, 850, 150, 850, 230, 750, 40, 32), </v>
      </c>
      <c r="BC198" t="str">
        <f t="shared" si="74"/>
        <v>(196, 'ON-GRID'),</v>
      </c>
      <c r="BD198" t="str">
        <f t="shared" si="75"/>
        <v/>
      </c>
      <c r="BE198" t="str">
        <f t="shared" si="76"/>
        <v/>
      </c>
      <c r="BF198" t="str">
        <f t="shared" si="77"/>
        <v>(196, 'HYBRID'),</v>
      </c>
      <c r="BG198" t="str">
        <f t="shared" si="78"/>
        <v>(196, 'WIFI'),</v>
      </c>
      <c r="BH198" t="str">
        <f t="shared" si="79"/>
        <v>(196, 'RS485'),</v>
      </c>
      <c r="BI198" t="str">
        <f t="shared" si="80"/>
        <v>(196, 'DISPLAY'),</v>
      </c>
      <c r="BJ198" t="str">
        <f t="shared" si="81"/>
        <v>(196, 'LED'),</v>
      </c>
      <c r="BK198" t="str">
        <f t="shared" si="82"/>
        <v>(196, 'USB'),</v>
      </c>
      <c r="BL198" t="str">
        <f t="shared" si="83"/>
        <v/>
      </c>
      <c r="BM198" t="str">
        <f t="shared" si="84"/>
        <v/>
      </c>
      <c r="BN198" t="str">
        <f t="shared" si="85"/>
        <v>(196, 'THREE_PHASE_FOUR_WIRE'),</v>
      </c>
      <c r="BO198" t="str">
        <f t="shared" si="86"/>
        <v/>
      </c>
    </row>
    <row r="199" spans="1:67">
      <c r="A199" s="2" t="s">
        <v>477</v>
      </c>
      <c r="B199" s="3" t="s">
        <v>212</v>
      </c>
      <c r="C199" s="3">
        <v>225</v>
      </c>
      <c r="D199" s="3">
        <v>600</v>
      </c>
      <c r="E199" s="3">
        <v>560</v>
      </c>
      <c r="F199" s="3">
        <v>52.5</v>
      </c>
      <c r="G199" s="3" t="s">
        <v>316</v>
      </c>
      <c r="H199" s="3">
        <v>1</v>
      </c>
      <c r="I199" s="3">
        <v>1</v>
      </c>
      <c r="J199" s="3">
        <v>1</v>
      </c>
      <c r="K199" s="3">
        <v>1</v>
      </c>
      <c r="L199" s="3">
        <v>1</v>
      </c>
      <c r="M199" s="3">
        <v>25000</v>
      </c>
      <c r="N199" s="3">
        <v>27500</v>
      </c>
      <c r="O199" s="3">
        <v>2</v>
      </c>
      <c r="P199" s="3">
        <v>3</v>
      </c>
      <c r="Q199" s="3">
        <v>1000</v>
      </c>
      <c r="R199" s="3">
        <v>160</v>
      </c>
      <c r="S199" s="3">
        <v>850</v>
      </c>
      <c r="T199" s="3">
        <v>150</v>
      </c>
      <c r="U199" s="3">
        <v>850</v>
      </c>
      <c r="V199" s="3">
        <v>280</v>
      </c>
      <c r="W199" s="3">
        <v>750</v>
      </c>
      <c r="X199" s="3">
        <v>40</v>
      </c>
      <c r="Y199" s="3">
        <v>32</v>
      </c>
      <c r="Z199" s="3">
        <v>0</v>
      </c>
      <c r="AA199" s="3">
        <v>0</v>
      </c>
      <c r="AB199" s="3">
        <v>1</v>
      </c>
      <c r="AC199" s="3">
        <v>380</v>
      </c>
      <c r="AE199" s="4">
        <v>41.7</v>
      </c>
      <c r="AF199" s="4">
        <v>41.7</v>
      </c>
      <c r="AG199">
        <v>50</v>
      </c>
      <c r="AH199">
        <v>60</v>
      </c>
      <c r="AI199">
        <v>-25</v>
      </c>
      <c r="AJ199" t="s">
        <v>276</v>
      </c>
      <c r="AK199" t="s">
        <v>277</v>
      </c>
      <c r="AL199">
        <v>1</v>
      </c>
      <c r="AN199">
        <v>197</v>
      </c>
      <c r="AO199">
        <v>0</v>
      </c>
      <c r="AP199">
        <f t="shared" si="89"/>
        <v>6</v>
      </c>
      <c r="AR199">
        <v>1</v>
      </c>
      <c r="AS199">
        <v>0</v>
      </c>
      <c r="AT199">
        <v>0</v>
      </c>
      <c r="AU199">
        <v>1</v>
      </c>
      <c r="AW199">
        <v>1</v>
      </c>
      <c r="AY199" t="str">
        <f t="shared" si="88"/>
        <v>1</v>
      </c>
      <c r="BA199" s="13" t="str">
        <f t="shared" si="72"/>
        <v>('SIW400H T025 W10', 1, 600, 560, 225, 52.5, 60, -25, 'COOLER', 'IP65', 'TRANSFORMERLESS', 25000, 27500, 380, 41.7, 41.7, 50, 3, 6, 1),</v>
      </c>
      <c r="BB199" t="str">
        <f t="shared" si="73"/>
        <v xml:space="preserve">(197, 0, 2, 1000, 160, 850, 150, 850, 280, 750, 40, 32), </v>
      </c>
      <c r="BC199" t="str">
        <f t="shared" si="74"/>
        <v>(197, 'ON-GRID'),</v>
      </c>
      <c r="BD199" t="str">
        <f t="shared" si="75"/>
        <v/>
      </c>
      <c r="BE199" t="str">
        <f t="shared" si="76"/>
        <v/>
      </c>
      <c r="BF199" t="str">
        <f t="shared" si="77"/>
        <v>(197, 'HYBRID'),</v>
      </c>
      <c r="BG199" t="str">
        <f t="shared" si="78"/>
        <v>(197, 'WIFI'),</v>
      </c>
      <c r="BH199" t="str">
        <f t="shared" si="79"/>
        <v>(197, 'RS485'),</v>
      </c>
      <c r="BI199" t="str">
        <f t="shared" si="80"/>
        <v>(197, 'DISPLAY'),</v>
      </c>
      <c r="BJ199" t="str">
        <f t="shared" si="81"/>
        <v>(197, 'LED'),</v>
      </c>
      <c r="BK199" t="str">
        <f t="shared" si="82"/>
        <v>(197, 'USB'),</v>
      </c>
      <c r="BL199" t="str">
        <f t="shared" si="83"/>
        <v/>
      </c>
      <c r="BM199" t="str">
        <f t="shared" si="84"/>
        <v/>
      </c>
      <c r="BN199" t="str">
        <f t="shared" si="85"/>
        <v>(197, 'THREE_PHASE_FOUR_WIRE'),</v>
      </c>
      <c r="BO199" t="str">
        <f t="shared" si="86"/>
        <v/>
      </c>
    </row>
    <row r="200" spans="1:67">
      <c r="A200" s="2" t="s">
        <v>478</v>
      </c>
      <c r="B200" s="3" t="s">
        <v>212</v>
      </c>
      <c r="C200" s="3">
        <v>225</v>
      </c>
      <c r="D200" s="3">
        <v>600</v>
      </c>
      <c r="E200" s="3">
        <v>560</v>
      </c>
      <c r="F200" s="3">
        <v>52.5</v>
      </c>
      <c r="G200" s="3" t="s">
        <v>316</v>
      </c>
      <c r="H200" s="3">
        <v>1</v>
      </c>
      <c r="I200" s="3">
        <v>1</v>
      </c>
      <c r="J200" s="3">
        <v>1</v>
      </c>
      <c r="K200" s="3">
        <v>1</v>
      </c>
      <c r="L200" s="3">
        <v>1</v>
      </c>
      <c r="M200" s="3">
        <v>30000</v>
      </c>
      <c r="N200" s="3">
        <v>33000</v>
      </c>
      <c r="O200" s="3">
        <v>2</v>
      </c>
      <c r="P200" s="3">
        <v>3</v>
      </c>
      <c r="Q200" s="3">
        <v>1000</v>
      </c>
      <c r="R200" s="3">
        <v>160</v>
      </c>
      <c r="S200" s="3">
        <v>850</v>
      </c>
      <c r="T200" s="3">
        <v>150</v>
      </c>
      <c r="U200" s="3">
        <v>850</v>
      </c>
      <c r="V200" s="3">
        <v>340</v>
      </c>
      <c r="W200" s="3">
        <v>750</v>
      </c>
      <c r="X200" s="3">
        <v>40</v>
      </c>
      <c r="Y200" s="3">
        <v>32</v>
      </c>
      <c r="Z200" s="3">
        <v>0</v>
      </c>
      <c r="AA200" s="3">
        <v>0</v>
      </c>
      <c r="AB200" s="3">
        <v>1</v>
      </c>
      <c r="AC200" s="3">
        <v>380</v>
      </c>
      <c r="AE200" s="4">
        <v>50</v>
      </c>
      <c r="AF200" s="4">
        <v>50</v>
      </c>
      <c r="AG200">
        <v>50</v>
      </c>
      <c r="AH200">
        <v>60</v>
      </c>
      <c r="AI200">
        <v>-25</v>
      </c>
      <c r="AJ200" t="s">
        <v>276</v>
      </c>
      <c r="AK200" t="s">
        <v>277</v>
      </c>
      <c r="AL200">
        <v>1</v>
      </c>
      <c r="AN200">
        <v>198</v>
      </c>
      <c r="AO200">
        <v>0</v>
      </c>
      <c r="AP200">
        <f t="shared" si="89"/>
        <v>6</v>
      </c>
      <c r="AR200">
        <v>1</v>
      </c>
      <c r="AS200">
        <v>0</v>
      </c>
      <c r="AT200">
        <v>0</v>
      </c>
      <c r="AU200">
        <v>1</v>
      </c>
      <c r="AW200">
        <v>1</v>
      </c>
      <c r="AY200" t="str">
        <f t="shared" si="88"/>
        <v>1</v>
      </c>
      <c r="BA200" s="13" t="str">
        <f t="shared" si="72"/>
        <v>('SIW400H T030 W10', 1, 600, 560, 225, 52.5, 60, -25, 'COOLER', 'IP65', 'TRANSFORMERLESS', 30000, 33000, 380, 50, 50, 50, 3, 6, 1),</v>
      </c>
      <c r="BB200" t="str">
        <f t="shared" si="73"/>
        <v xml:space="preserve">(198, 0, 2, 1000, 160, 850, 150, 850, 340, 750, 40, 32), </v>
      </c>
      <c r="BC200" t="str">
        <f t="shared" si="74"/>
        <v>(198, 'ON-GRID'),</v>
      </c>
      <c r="BD200" t="str">
        <f t="shared" si="75"/>
        <v/>
      </c>
      <c r="BE200" t="str">
        <f t="shared" si="76"/>
        <v/>
      </c>
      <c r="BF200" t="str">
        <f t="shared" si="77"/>
        <v>(198, 'HYBRID'),</v>
      </c>
      <c r="BG200" t="str">
        <f t="shared" si="78"/>
        <v>(198, 'WIFI'),</v>
      </c>
      <c r="BH200" t="str">
        <f t="shared" si="79"/>
        <v>(198, 'RS485'),</v>
      </c>
      <c r="BI200" t="str">
        <f t="shared" si="80"/>
        <v>(198, 'DISPLAY'),</v>
      </c>
      <c r="BJ200" t="str">
        <f t="shared" si="81"/>
        <v>(198, 'LED'),</v>
      </c>
      <c r="BK200" t="str">
        <f t="shared" si="82"/>
        <v>(198, 'USB'),</v>
      </c>
      <c r="BL200" t="str">
        <f t="shared" si="83"/>
        <v/>
      </c>
      <c r="BM200" t="str">
        <f t="shared" si="84"/>
        <v/>
      </c>
      <c r="BN200" t="str">
        <f t="shared" si="85"/>
        <v>(198, 'THREE_PHASE_FOUR_WIRE'),</v>
      </c>
      <c r="BO200" t="str">
        <f t="shared" si="86"/>
        <v/>
      </c>
    </row>
    <row r="201" spans="1:67">
      <c r="A201" s="2" t="s">
        <v>479</v>
      </c>
      <c r="B201" s="3" t="s">
        <v>212</v>
      </c>
      <c r="C201" s="3">
        <v>270</v>
      </c>
      <c r="D201" s="3">
        <v>684</v>
      </c>
      <c r="E201" s="3">
        <v>488</v>
      </c>
      <c r="F201" s="3">
        <v>37</v>
      </c>
      <c r="G201" s="3" t="s">
        <v>275</v>
      </c>
      <c r="H201" s="3">
        <v>1</v>
      </c>
      <c r="I201" s="3">
        <v>1</v>
      </c>
      <c r="J201" s="3">
        <v>0</v>
      </c>
      <c r="K201" s="3">
        <v>1</v>
      </c>
      <c r="L201" s="3">
        <v>0</v>
      </c>
      <c r="M201" s="3">
        <v>25000</v>
      </c>
      <c r="N201" s="3">
        <v>25000</v>
      </c>
      <c r="O201" s="3">
        <v>2</v>
      </c>
      <c r="P201" s="3">
        <v>4</v>
      </c>
      <c r="Q201" s="3">
        <v>1100</v>
      </c>
      <c r="R201" s="3">
        <v>250</v>
      </c>
      <c r="S201" s="3">
        <v>1000</v>
      </c>
      <c r="T201" s="3">
        <v>200</v>
      </c>
      <c r="U201" s="3">
        <v>550</v>
      </c>
      <c r="V201" s="3">
        <v>300</v>
      </c>
      <c r="W201" s="3">
        <v>350</v>
      </c>
      <c r="X201" s="3">
        <v>45</v>
      </c>
      <c r="Y201" s="3">
        <v>30</v>
      </c>
      <c r="Z201" s="3">
        <v>0</v>
      </c>
      <c r="AA201" s="3">
        <v>0</v>
      </c>
      <c r="AB201" s="3">
        <v>1</v>
      </c>
      <c r="AC201" s="3">
        <v>220</v>
      </c>
      <c r="AE201" s="4">
        <v>65.599999999999994</v>
      </c>
      <c r="AF201">
        <v>65.599999999999994</v>
      </c>
      <c r="AG201">
        <v>50</v>
      </c>
      <c r="AH201">
        <v>60</v>
      </c>
      <c r="AI201">
        <v>-25</v>
      </c>
      <c r="AJ201" t="s">
        <v>307</v>
      </c>
      <c r="AK201" t="s">
        <v>277</v>
      </c>
      <c r="AL201">
        <v>1</v>
      </c>
      <c r="AN201">
        <v>199</v>
      </c>
      <c r="AO201">
        <v>0</v>
      </c>
      <c r="AP201">
        <f t="shared" si="89"/>
        <v>8</v>
      </c>
      <c r="AR201">
        <v>1</v>
      </c>
      <c r="AS201">
        <v>0</v>
      </c>
      <c r="AT201">
        <v>0</v>
      </c>
      <c r="AU201">
        <v>0</v>
      </c>
      <c r="AW201">
        <v>0</v>
      </c>
      <c r="AY201" t="str">
        <f t="shared" si="88"/>
        <v>1</v>
      </c>
      <c r="BA201" s="13" t="str">
        <f t="shared" si="72"/>
        <v>('SIW420G K025 W00', 1, 684, 488, 270, 37, 60, -25, 'CONVECÇÃO NATURAL', 'IP66', 'TRANSFORMERLESS', 25000, 25000, 220, 65.6, 65.6, 50, 4, 8, 1),</v>
      </c>
      <c r="BB201" t="str">
        <f t="shared" si="73"/>
        <v xml:space="preserve">(199, 0, 2, 1100, 250, 1000, 200, 550, 300, 350, 45, 30), </v>
      </c>
      <c r="BC201" t="str">
        <f t="shared" si="74"/>
        <v>(199, 'ON-GRID'),</v>
      </c>
      <c r="BD201" t="str">
        <f t="shared" si="75"/>
        <v/>
      </c>
      <c r="BE201" t="str">
        <f t="shared" si="76"/>
        <v/>
      </c>
      <c r="BF201" t="str">
        <f t="shared" si="77"/>
        <v/>
      </c>
      <c r="BG201" t="str">
        <f t="shared" si="78"/>
        <v>(199, 'WIFI'),</v>
      </c>
      <c r="BH201" t="str">
        <f t="shared" si="79"/>
        <v>(199, 'RS485'),</v>
      </c>
      <c r="BI201" t="str">
        <f t="shared" si="80"/>
        <v/>
      </c>
      <c r="BJ201" t="str">
        <f t="shared" si="81"/>
        <v>(199, 'LED'),</v>
      </c>
      <c r="BK201" t="str">
        <f t="shared" si="82"/>
        <v/>
      </c>
      <c r="BL201" t="str">
        <f t="shared" si="83"/>
        <v/>
      </c>
      <c r="BM201" t="str">
        <f t="shared" si="84"/>
        <v/>
      </c>
      <c r="BN201" t="str">
        <f t="shared" si="85"/>
        <v>(199, 'THREE_PHASE_FOUR_WIRE'),</v>
      </c>
      <c r="BO201" t="str">
        <f t="shared" si="86"/>
        <v/>
      </c>
    </row>
    <row r="202" spans="1:67">
      <c r="A202" s="2" t="s">
        <v>480</v>
      </c>
      <c r="B202" s="3" t="s">
        <v>212</v>
      </c>
      <c r="C202" s="3">
        <v>340</v>
      </c>
      <c r="D202" s="3">
        <v>1050</v>
      </c>
      <c r="E202" s="3">
        <v>660</v>
      </c>
      <c r="F202" s="3">
        <v>86</v>
      </c>
      <c r="G202" s="3" t="s">
        <v>316</v>
      </c>
      <c r="H202" s="3">
        <v>1</v>
      </c>
      <c r="I202" s="3">
        <v>1</v>
      </c>
      <c r="J202" s="3">
        <v>0</v>
      </c>
      <c r="K202" s="3">
        <v>1</v>
      </c>
      <c r="L202" s="3">
        <v>0</v>
      </c>
      <c r="M202" s="3">
        <v>75000</v>
      </c>
      <c r="N202" s="3">
        <v>75000</v>
      </c>
      <c r="O202" s="3">
        <v>2</v>
      </c>
      <c r="P202" s="3">
        <v>9</v>
      </c>
      <c r="Q202" s="3">
        <v>1100</v>
      </c>
      <c r="R202" s="3">
        <v>200</v>
      </c>
      <c r="S202" s="3">
        <v>950</v>
      </c>
      <c r="T202" s="3">
        <v>200</v>
      </c>
      <c r="U202" s="3">
        <v>850</v>
      </c>
      <c r="V202" s="3">
        <v>400</v>
      </c>
      <c r="W202" s="3">
        <v>615</v>
      </c>
      <c r="X202" s="3">
        <v>45</v>
      </c>
      <c r="Y202" s="3">
        <v>30</v>
      </c>
      <c r="Z202" s="3">
        <v>0</v>
      </c>
      <c r="AA202" s="3">
        <v>0</v>
      </c>
      <c r="AB202" s="3">
        <v>1</v>
      </c>
      <c r="AC202" s="3">
        <v>220</v>
      </c>
      <c r="AE202" s="4">
        <v>197</v>
      </c>
      <c r="AF202">
        <v>197</v>
      </c>
      <c r="AG202">
        <v>50</v>
      </c>
      <c r="AH202">
        <v>60</v>
      </c>
      <c r="AI202">
        <v>-30</v>
      </c>
      <c r="AJ202" t="s">
        <v>307</v>
      </c>
      <c r="AK202" t="s">
        <v>277</v>
      </c>
      <c r="AL202">
        <v>1</v>
      </c>
      <c r="AN202">
        <v>200</v>
      </c>
      <c r="AO202">
        <v>0</v>
      </c>
      <c r="AP202">
        <f t="shared" si="89"/>
        <v>18</v>
      </c>
      <c r="AR202">
        <v>1</v>
      </c>
      <c r="AS202">
        <v>0</v>
      </c>
      <c r="AT202">
        <v>0</v>
      </c>
      <c r="AU202">
        <v>0</v>
      </c>
      <c r="AW202">
        <v>0</v>
      </c>
      <c r="AY202" t="str">
        <f t="shared" si="88"/>
        <v>1</v>
      </c>
      <c r="BA202" s="13" t="str">
        <f t="shared" ref="BA202:BA207" si="90">_xlfn.CONCAT("('",A202,"', ",AY202,", ",SUBSTITUTE(D202,",","."),", ",SUBSTITUTE(E202,",","."),", ",SUBSTITUTE(C202,",","."),", ",SUBSTITUTE(F202,",","."),", ",AH202,", ",AI202,", '",G202,"', '",AJ202,"', '",AK202,"', ",M202,", ",N202,", ",AC202,", ",SUBSTITUTE(AF202,",","."),", ",SUBSTITUTE(AE202,",","."),", ",AG202,", ",P202,", ",AP202,", ",AL202,"),")</f>
        <v>('SIW420G K075 W00', 1, 1050, 660, 340, 86, 60, -30, 'COOLER', 'IP66', 'TRANSFORMERLESS', 75000, 75000, 220, 197, 197, 50, 9, 18, 1),</v>
      </c>
      <c r="BB202" t="str">
        <f t="shared" si="73"/>
        <v xml:space="preserve">(200, 0, 2, 1100, 200, 950, 200, 850, 400, 615, 45, 30), </v>
      </c>
      <c r="BC202" t="str">
        <f t="shared" ref="BC202:BC206" si="91">IF(AR202=1,_xlfn.CONCAT("(",$AN202,", 'ON-GRID'),"),"")</f>
        <v>(200, 'ON-GRID'),</v>
      </c>
      <c r="BD202" t="str">
        <f t="shared" ref="BD202:BD206" si="92">IF(AS202=1,_xlfn.CONCAT("(",$AN202,", 'OFF-GRID'),"),"")</f>
        <v/>
      </c>
      <c r="BE202" t="str">
        <f t="shared" ref="BE202:BE206" si="93">IF(AT202=1,_xlfn.CONCAT("(",$AN202,", 'GRIDZERO'),"),"")</f>
        <v/>
      </c>
      <c r="BF202" t="str">
        <f t="shared" ref="BF202:BF206" si="94">IF(AU202=1,_xlfn.CONCAT("(",$AN202,", 'HYBRID'),"),"")</f>
        <v/>
      </c>
      <c r="BG202" t="str">
        <f t="shared" si="78"/>
        <v>(200, 'WIFI'),</v>
      </c>
      <c r="BH202" t="str">
        <f t="shared" si="79"/>
        <v>(200, 'RS485'),</v>
      </c>
      <c r="BI202" t="str">
        <f t="shared" si="80"/>
        <v/>
      </c>
      <c r="BJ202" t="str">
        <f t="shared" si="81"/>
        <v>(200, 'LED'),</v>
      </c>
      <c r="BK202" t="str">
        <f t="shared" si="82"/>
        <v/>
      </c>
      <c r="BL202" t="str">
        <f t="shared" si="83"/>
        <v/>
      </c>
      <c r="BM202" t="str">
        <f t="shared" si="84"/>
        <v/>
      </c>
      <c r="BN202" t="str">
        <f t="shared" si="85"/>
        <v>(200, 'THREE_PHASE_FOUR_WIRE'),</v>
      </c>
      <c r="BO202" t="str">
        <f t="shared" si="86"/>
        <v/>
      </c>
    </row>
    <row r="203" spans="1:67">
      <c r="A203" s="2" t="s">
        <v>481</v>
      </c>
      <c r="B203" s="3" t="s">
        <v>212</v>
      </c>
      <c r="C203" s="3">
        <v>365</v>
      </c>
      <c r="D203" s="3">
        <v>1035</v>
      </c>
      <c r="E203" s="3">
        <v>700</v>
      </c>
      <c r="F203" s="3">
        <v>90</v>
      </c>
      <c r="G203" s="3" t="s">
        <v>316</v>
      </c>
      <c r="H203" s="3">
        <v>0</v>
      </c>
      <c r="I203" s="3">
        <v>1</v>
      </c>
      <c r="J203" s="3">
        <v>0</v>
      </c>
      <c r="K203" s="3">
        <v>1</v>
      </c>
      <c r="L203" s="3">
        <v>1</v>
      </c>
      <c r="M203" s="3">
        <v>75000</v>
      </c>
      <c r="N203" s="3">
        <v>75000</v>
      </c>
      <c r="O203" s="3">
        <v>2</v>
      </c>
      <c r="P203" s="3">
        <v>10</v>
      </c>
      <c r="Q203" s="3">
        <v>1100</v>
      </c>
      <c r="R203" s="3">
        <v>200</v>
      </c>
      <c r="S203" s="3">
        <v>1000</v>
      </c>
      <c r="T203" s="3">
        <v>200</v>
      </c>
      <c r="U203" s="3">
        <v>800</v>
      </c>
      <c r="V203" s="3">
        <v>540</v>
      </c>
      <c r="W203" s="3">
        <v>600</v>
      </c>
      <c r="X203" s="3">
        <v>40</v>
      </c>
      <c r="Y203" s="3">
        <v>30</v>
      </c>
      <c r="Z203" s="3">
        <v>0</v>
      </c>
      <c r="AA203" s="3">
        <v>1</v>
      </c>
      <c r="AB203" s="3">
        <v>1</v>
      </c>
      <c r="AC203" s="3">
        <v>380</v>
      </c>
      <c r="AE203" s="4">
        <v>113.6</v>
      </c>
      <c r="AF203">
        <v>113.6</v>
      </c>
      <c r="AG203">
        <v>50</v>
      </c>
      <c r="AH203">
        <v>60</v>
      </c>
      <c r="AI203">
        <v>-30</v>
      </c>
      <c r="AJ203" t="s">
        <v>307</v>
      </c>
      <c r="AK203" t="s">
        <v>277</v>
      </c>
      <c r="AL203">
        <v>1</v>
      </c>
      <c r="AN203">
        <v>201</v>
      </c>
      <c r="AO203">
        <v>0</v>
      </c>
      <c r="AP203">
        <f t="shared" si="89"/>
        <v>20</v>
      </c>
      <c r="AR203">
        <v>1</v>
      </c>
      <c r="AS203">
        <v>0</v>
      </c>
      <c r="AT203">
        <v>1</v>
      </c>
      <c r="AU203">
        <v>0</v>
      </c>
      <c r="AW203">
        <v>0</v>
      </c>
      <c r="AY203" t="str">
        <f t="shared" si="88"/>
        <v>1</v>
      </c>
      <c r="BA203" s="13" t="str">
        <f t="shared" si="90"/>
        <v>('SIW500G T075 W0', 1, 1035, 700, 365, 90, 60, -30, 'COOLER', 'IP66', 'TRANSFORMERLESS', 75000, 75000, 380, 113.6, 113.6, 50, 10, 20, 1),</v>
      </c>
      <c r="BB203" t="str">
        <f t="shared" si="73"/>
        <v xml:space="preserve">(201, 0, 2, 1100, 200, 1000, 200, 800, 540, 600, 40, 30), </v>
      </c>
      <c r="BC203" t="str">
        <f t="shared" si="91"/>
        <v>(201, 'ON-GRID'),</v>
      </c>
      <c r="BD203" t="str">
        <f t="shared" si="92"/>
        <v/>
      </c>
      <c r="BE203" t="str">
        <f t="shared" si="93"/>
        <v>(201, 'GRIDZERO'),</v>
      </c>
      <c r="BF203" t="str">
        <f t="shared" si="94"/>
        <v/>
      </c>
      <c r="BG203" t="str">
        <f t="shared" si="78"/>
        <v/>
      </c>
      <c r="BH203" t="str">
        <f t="shared" si="79"/>
        <v>(201, 'RS485'),</v>
      </c>
      <c r="BI203" t="str">
        <f t="shared" si="80"/>
        <v/>
      </c>
      <c r="BJ203" t="str">
        <f t="shared" si="81"/>
        <v>(201, 'LED'),</v>
      </c>
      <c r="BK203" t="str">
        <f t="shared" si="82"/>
        <v>(201, 'USB'),</v>
      </c>
      <c r="BL203" t="str">
        <f t="shared" si="83"/>
        <v/>
      </c>
      <c r="BM203" t="str">
        <f t="shared" si="84"/>
        <v>(201, 'THREE_PHASE_THREE_WIRE'),</v>
      </c>
      <c r="BN203" t="str">
        <f t="shared" si="85"/>
        <v>(201, 'THREE_PHASE_FOUR_WIRE'),</v>
      </c>
      <c r="BO203" t="str">
        <f t="shared" si="86"/>
        <v/>
      </c>
    </row>
    <row r="204" spans="1:67">
      <c r="A204" s="2" t="s">
        <v>482</v>
      </c>
      <c r="B204" s="3" t="s">
        <v>212</v>
      </c>
      <c r="C204" s="3">
        <v>365</v>
      </c>
      <c r="D204" s="3">
        <v>1035</v>
      </c>
      <c r="E204" s="3">
        <v>700</v>
      </c>
      <c r="F204" s="3">
        <v>93</v>
      </c>
      <c r="G204" s="3" t="s">
        <v>316</v>
      </c>
      <c r="H204" s="3">
        <v>0</v>
      </c>
      <c r="I204" s="3">
        <v>1</v>
      </c>
      <c r="J204" s="3">
        <v>0</v>
      </c>
      <c r="K204" s="3">
        <v>1</v>
      </c>
      <c r="L204" s="3">
        <v>1</v>
      </c>
      <c r="M204" s="3">
        <v>100000</v>
      </c>
      <c r="N204" s="3">
        <v>110000</v>
      </c>
      <c r="O204" s="3">
        <v>2</v>
      </c>
      <c r="P204" s="3">
        <v>10</v>
      </c>
      <c r="Q204" s="3">
        <v>1100</v>
      </c>
      <c r="R204" s="3">
        <v>200</v>
      </c>
      <c r="S204" s="3">
        <v>1000</v>
      </c>
      <c r="T204" s="3">
        <v>200</v>
      </c>
      <c r="U204" s="3">
        <v>800</v>
      </c>
      <c r="V204" s="3">
        <v>540</v>
      </c>
      <c r="W204" s="3">
        <v>600</v>
      </c>
      <c r="X204" s="3">
        <v>40</v>
      </c>
      <c r="Y204" s="3">
        <v>30</v>
      </c>
      <c r="Z204" s="3">
        <v>0</v>
      </c>
      <c r="AA204" s="3">
        <v>1</v>
      </c>
      <c r="AB204" s="3">
        <v>1</v>
      </c>
      <c r="AC204" s="3">
        <v>380</v>
      </c>
      <c r="AE204" s="4">
        <v>168.8</v>
      </c>
      <c r="AF204">
        <v>152</v>
      </c>
      <c r="AG204">
        <v>50</v>
      </c>
      <c r="AH204">
        <v>60</v>
      </c>
      <c r="AI204">
        <v>-30</v>
      </c>
      <c r="AJ204" t="s">
        <v>307</v>
      </c>
      <c r="AK204" t="s">
        <v>277</v>
      </c>
      <c r="AL204">
        <v>1</v>
      </c>
      <c r="AN204">
        <v>202</v>
      </c>
      <c r="AO204">
        <v>14</v>
      </c>
      <c r="AP204">
        <f t="shared" si="89"/>
        <v>20</v>
      </c>
      <c r="AR204">
        <v>1</v>
      </c>
      <c r="AS204">
        <v>0</v>
      </c>
      <c r="AT204">
        <v>1</v>
      </c>
      <c r="AU204">
        <v>0</v>
      </c>
      <c r="AW204">
        <v>0</v>
      </c>
      <c r="AY204" t="str">
        <f t="shared" si="88"/>
        <v>1</v>
      </c>
      <c r="BA204" s="13" t="str">
        <f t="shared" si="90"/>
        <v>('SIW500G T100 W0', 1, 1035, 700, 365, 93, 60, -30, 'COOLER', 'IP66', 'TRANSFORMERLESS', 100000, 110000, 380, 152, 168.8, 50, 10, 20, 1),</v>
      </c>
      <c r="BB204" t="str">
        <f t="shared" ref="BB204:BB207" si="95">_xlfn.CONCAT("(",AN204,", ",AO204,", ",O204,", ",Q204,", ",R204,", ",S204,", ",T204,", ",U204,", ",V204,", ",W204,", ",SUBSTITUTE(X204,",","."),", ",SUBSTITUTE(Y204,",","."),"), ")</f>
        <v xml:space="preserve">(202, 14, 2, 1100, 200, 1000, 200, 800, 540, 600, 40, 30), </v>
      </c>
      <c r="BC204" t="str">
        <f t="shared" si="91"/>
        <v>(202, 'ON-GRID'),</v>
      </c>
      <c r="BD204" t="str">
        <f t="shared" si="92"/>
        <v/>
      </c>
      <c r="BE204" t="str">
        <f t="shared" si="93"/>
        <v>(202, 'GRIDZERO'),</v>
      </c>
      <c r="BF204" t="str">
        <f t="shared" si="94"/>
        <v/>
      </c>
      <c r="BG204" t="str">
        <f t="shared" ref="BG204:BL204" si="96">IF(H204=1,_xlfn.CONCAT("(",$AN204,", '",BG$2,"'),"),"")</f>
        <v/>
      </c>
      <c r="BH204" t="str">
        <f t="shared" si="96"/>
        <v>(202, 'RS485'),</v>
      </c>
      <c r="BI204" t="str">
        <f t="shared" si="96"/>
        <v/>
      </c>
      <c r="BJ204" t="str">
        <f t="shared" si="96"/>
        <v>(202, 'LED'),</v>
      </c>
      <c r="BK204" t="str">
        <f t="shared" si="96"/>
        <v>(202, 'USB'),</v>
      </c>
      <c r="BL204" t="str">
        <f t="shared" si="96"/>
        <v/>
      </c>
      <c r="BM204" t="str">
        <f t="shared" si="84"/>
        <v>(202, 'THREE_PHASE_THREE_WIRE'),</v>
      </c>
      <c r="BN204" t="str">
        <f t="shared" si="85"/>
        <v>(202, 'THREE_PHASE_FOUR_WIRE'),</v>
      </c>
      <c r="BO204" t="str">
        <f t="shared" si="86"/>
        <v/>
      </c>
    </row>
    <row r="205" spans="1:67">
      <c r="A205" s="2" t="s">
        <v>483</v>
      </c>
      <c r="B205" s="3" t="s">
        <v>212</v>
      </c>
      <c r="C205" s="3">
        <v>395</v>
      </c>
      <c r="D205" s="3">
        <v>1048</v>
      </c>
      <c r="E205" s="3">
        <v>732</v>
      </c>
      <c r="F205" s="3">
        <v>112</v>
      </c>
      <c r="G205" s="3" t="s">
        <v>316</v>
      </c>
      <c r="H205" s="3">
        <v>0</v>
      </c>
      <c r="I205" s="3">
        <v>1</v>
      </c>
      <c r="J205" s="3">
        <v>0</v>
      </c>
      <c r="K205" s="3">
        <v>1</v>
      </c>
      <c r="L205" s="3">
        <v>1</v>
      </c>
      <c r="M205" s="3">
        <v>250000</v>
      </c>
      <c r="N205" s="3">
        <v>275000</v>
      </c>
      <c r="O205" s="3">
        <v>4</v>
      </c>
      <c r="P205" s="3">
        <v>2</v>
      </c>
      <c r="Q205" s="3">
        <v>1500</v>
      </c>
      <c r="R205" s="3">
        <v>550</v>
      </c>
      <c r="S205" s="3">
        <v>1500</v>
      </c>
      <c r="T205" s="3">
        <v>500</v>
      </c>
      <c r="U205" s="3">
        <v>1300</v>
      </c>
      <c r="V205" s="3">
        <v>880</v>
      </c>
      <c r="W205" s="3">
        <v>1080</v>
      </c>
      <c r="X205" s="3">
        <v>115</v>
      </c>
      <c r="Y205" s="3">
        <v>65</v>
      </c>
      <c r="Z205" s="3">
        <v>0</v>
      </c>
      <c r="AA205" s="3">
        <v>1</v>
      </c>
      <c r="AB205" s="3">
        <v>0</v>
      </c>
      <c r="AC205" s="3">
        <v>800</v>
      </c>
      <c r="AE205" s="4">
        <v>198.5</v>
      </c>
      <c r="AF205">
        <v>180.5</v>
      </c>
      <c r="AG205">
        <v>50</v>
      </c>
      <c r="AH205">
        <v>60</v>
      </c>
      <c r="AI205">
        <v>-30</v>
      </c>
      <c r="AJ205" t="s">
        <v>307</v>
      </c>
      <c r="AK205" t="s">
        <v>277</v>
      </c>
      <c r="AL205">
        <v>1</v>
      </c>
      <c r="AN205">
        <v>203</v>
      </c>
      <c r="AO205">
        <v>2145</v>
      </c>
      <c r="AP205">
        <v>28</v>
      </c>
      <c r="AR205">
        <v>1</v>
      </c>
      <c r="AS205">
        <v>0</v>
      </c>
      <c r="AT205">
        <v>1</v>
      </c>
      <c r="AU205">
        <v>0</v>
      </c>
      <c r="AW205">
        <v>0</v>
      </c>
      <c r="AY205" t="str">
        <f t="shared" si="88"/>
        <v>1</v>
      </c>
      <c r="BA205" s="13" t="str">
        <f t="shared" si="90"/>
        <v>('SIW500G H250 W0', 1, 1048, 732, 395, 112, 60, -30, 'COOLER', 'IP66', 'TRANSFORMERLESS', 250000, 275000, 800, 180.5, 198.5, 50, 2, 28, 1),</v>
      </c>
      <c r="BB205" t="str">
        <f t="shared" si="95"/>
        <v xml:space="preserve">(203, 2145, 4, 1500, 550, 1500, 500, 1300, 880, 1080, 115, 65), </v>
      </c>
      <c r="BC205" t="str">
        <f t="shared" si="91"/>
        <v>(203, 'ON-GRID'),</v>
      </c>
      <c r="BD205" t="str">
        <f t="shared" si="92"/>
        <v/>
      </c>
      <c r="BE205" t="str">
        <f t="shared" si="93"/>
        <v>(203, 'GRIDZERO'),</v>
      </c>
      <c r="BF205" t="str">
        <f t="shared" si="94"/>
        <v/>
      </c>
      <c r="BG205" t="str">
        <f t="shared" ref="BG205:BL205" si="97">IF(H205=1,_xlfn.CONCAT("(",$AN205,", '",BG$2,"'),"),"")</f>
        <v/>
      </c>
      <c r="BH205" t="str">
        <f t="shared" si="97"/>
        <v>(203, 'RS485'),</v>
      </c>
      <c r="BI205" t="str">
        <f t="shared" si="97"/>
        <v/>
      </c>
      <c r="BJ205" t="str">
        <f t="shared" si="97"/>
        <v>(203, 'LED'),</v>
      </c>
      <c r="BK205" t="str">
        <f t="shared" si="97"/>
        <v>(203, 'USB'),</v>
      </c>
      <c r="BL205" t="str">
        <f t="shared" si="97"/>
        <v/>
      </c>
      <c r="BM205" t="str">
        <f t="shared" si="84"/>
        <v>(203, 'THREE_PHASE_THREE_WIRE'),</v>
      </c>
      <c r="BN205" t="str">
        <f t="shared" si="85"/>
        <v/>
      </c>
      <c r="BO205" t="str">
        <f t="shared" si="86"/>
        <v/>
      </c>
    </row>
    <row r="206" spans="1:67">
      <c r="O206" s="3">
        <v>5</v>
      </c>
      <c r="P206" s="3">
        <v>4</v>
      </c>
      <c r="Q206" s="3">
        <v>1500</v>
      </c>
      <c r="R206" s="3">
        <v>550</v>
      </c>
      <c r="S206" s="3">
        <v>1500</v>
      </c>
      <c r="T206" s="3">
        <v>500</v>
      </c>
      <c r="U206" s="3">
        <v>1300</v>
      </c>
      <c r="V206" s="3">
        <v>880</v>
      </c>
      <c r="W206" s="3">
        <v>1080</v>
      </c>
      <c r="X206" s="3">
        <v>115</v>
      </c>
      <c r="Y206" s="3">
        <v>65</v>
      </c>
      <c r="AN206">
        <v>203</v>
      </c>
      <c r="BA206" s="13"/>
      <c r="BB206" t="str">
        <f>_xlfn.CONCAT("(",AN206,", 0, ",O206,", ",Q206,", ",R206,", ",S206,", ",T206,", ",U206,", ",V206,", ",W206,", ",SUBSTITUTE(X206,",","."),", ",SUBSTITUTE(Y206,",","."),"), ")</f>
        <v xml:space="preserve">(203, 0, 5, 1500, 550, 1500, 500, 1300, 880, 1080, 115, 65), </v>
      </c>
      <c r="BC206" t="str">
        <f t="shared" si="91"/>
        <v/>
      </c>
      <c r="BD206" t="str">
        <f t="shared" si="92"/>
        <v/>
      </c>
      <c r="BE206" t="str">
        <f t="shared" si="93"/>
        <v/>
      </c>
      <c r="BF206" t="str">
        <f t="shared" si="94"/>
        <v/>
      </c>
      <c r="BG206" t="str">
        <f t="shared" ref="BG206:BL206" si="98">IF(H206=1,_xlfn.CONCAT("(",$AN206,", '",BG$2,"'),"),"")</f>
        <v/>
      </c>
      <c r="BH206" t="str">
        <f t="shared" si="98"/>
        <v/>
      </c>
      <c r="BI206" t="str">
        <f t="shared" si="98"/>
        <v/>
      </c>
      <c r="BJ206" t="str">
        <f t="shared" si="98"/>
        <v/>
      </c>
      <c r="BK206" t="str">
        <f t="shared" si="98"/>
        <v/>
      </c>
      <c r="BL206" t="str">
        <f t="shared" si="98"/>
        <v/>
      </c>
      <c r="BM206" t="str">
        <f t="shared" si="84"/>
        <v/>
      </c>
      <c r="BN206" t="str">
        <f t="shared" si="85"/>
        <v/>
      </c>
      <c r="BO206" t="str">
        <f t="shared" si="86"/>
        <v/>
      </c>
    </row>
    <row r="207" spans="1:67">
      <c r="A207" s="2" t="s">
        <v>484</v>
      </c>
      <c r="B207" s="3" t="s">
        <v>212</v>
      </c>
      <c r="C207" s="3">
        <v>262</v>
      </c>
      <c r="D207" s="3">
        <v>525</v>
      </c>
      <c r="E207" s="3">
        <v>470</v>
      </c>
      <c r="F207" s="3">
        <v>25</v>
      </c>
      <c r="G207" s="3" t="s">
        <v>275</v>
      </c>
      <c r="H207" s="3">
        <v>1</v>
      </c>
      <c r="I207" s="3">
        <v>1</v>
      </c>
      <c r="J207" s="3">
        <v>0</v>
      </c>
      <c r="K207" s="3">
        <v>1</v>
      </c>
      <c r="L207" s="3">
        <v>0</v>
      </c>
      <c r="M207" s="3">
        <v>12000</v>
      </c>
      <c r="N207" s="3">
        <v>13200</v>
      </c>
      <c r="O207" s="3">
        <v>2</v>
      </c>
      <c r="P207" s="3">
        <v>2</v>
      </c>
      <c r="Q207" s="3">
        <v>1080</v>
      </c>
      <c r="R207" s="3">
        <v>200</v>
      </c>
      <c r="S207" s="3">
        <v>950</v>
      </c>
      <c r="T207" s="3">
        <v>160</v>
      </c>
      <c r="U207" s="3">
        <v>850</v>
      </c>
      <c r="V207" s="3">
        <v>380</v>
      </c>
      <c r="W207" s="3">
        <v>600</v>
      </c>
      <c r="X207" s="3">
        <v>30</v>
      </c>
      <c r="Y207" s="3">
        <v>22</v>
      </c>
      <c r="Z207" s="3">
        <v>0</v>
      </c>
      <c r="AA207" s="3">
        <v>1</v>
      </c>
      <c r="AB207" s="3">
        <v>1</v>
      </c>
      <c r="AC207" s="3">
        <v>380</v>
      </c>
      <c r="AE207" s="4">
        <v>20</v>
      </c>
      <c r="AF207">
        <v>18.2</v>
      </c>
      <c r="AG207">
        <v>50</v>
      </c>
      <c r="AH207">
        <v>60</v>
      </c>
      <c r="AI207">
        <v>-25</v>
      </c>
      <c r="AJ207" t="s">
        <v>276</v>
      </c>
      <c r="AK207" t="s">
        <v>277</v>
      </c>
      <c r="AL207">
        <v>0</v>
      </c>
      <c r="AN207">
        <v>204</v>
      </c>
      <c r="AO207">
        <v>0</v>
      </c>
      <c r="AP207">
        <f t="shared" ref="AP207:AP212" si="99">O207*P207</f>
        <v>4</v>
      </c>
      <c r="AR207">
        <v>1</v>
      </c>
      <c r="AS207">
        <v>0</v>
      </c>
      <c r="AT207">
        <v>1</v>
      </c>
      <c r="AU207">
        <v>0</v>
      </c>
      <c r="AW207">
        <v>0</v>
      </c>
      <c r="AY207" t="str">
        <f t="shared" ref="AY207:AY212" si="100">IF(B207="WEG","1",IF(B207="HUAWEI","2",IF(B207="FOX ESS","3",IF(B207="GOODWE","4",IF(B207="PHB","5",IF(B207="ASTRONERGY","6",IF(B207="BYD","7",IF(B207="HUASUN","8",IF(B207="JA SOLAR","9",IF(B207="JINKO","10",IF(B207="LONGI","11",IF(B207="RISEN","12",IF(B207="SUNOVA","13",IF(B207="TALESUN","14",IF(B207="TRINA SOLAR","15","NÃO CADASTRADO")))))))))))))))</f>
        <v>1</v>
      </c>
      <c r="BA207" s="13" t="str">
        <f t="shared" si="90"/>
        <v>('SIW500H ST012', 1, 525, 470, 262, 25, 60, -25, 'CONVECÇÃO NATURAL', 'IP65', 'TRANSFORMERLESS', 12000, 13200, 380, 18.2, 20, 50, 2, 4, 0),</v>
      </c>
      <c r="BB207" t="str">
        <f t="shared" si="95"/>
        <v xml:space="preserve">(204, 0, 2, 1080, 200, 950, 160, 850, 380, 600, 30, 22), </v>
      </c>
      <c r="BC207" t="str">
        <f t="shared" ref="BC207:BC235" si="101">IF(AR207=1,_xlfn.CONCAT("(",$AN207,", 'ON-GRID'),"),"")</f>
        <v>(204, 'ON-GRID'),</v>
      </c>
      <c r="BD207" t="str">
        <f t="shared" ref="BD207:BD235" si="102">IF(AS207=1,_xlfn.CONCAT("(",$AN207,", 'OFF-GRID'),"),"")</f>
        <v/>
      </c>
      <c r="BE207" t="str">
        <f t="shared" ref="BE207:BE235" si="103">IF(AT207=1,_xlfn.CONCAT("(",$AN207,", 'GRIDZERO'),"),"")</f>
        <v>(204, 'GRIDZERO'),</v>
      </c>
      <c r="BF207" t="str">
        <f t="shared" ref="BF207:BF235" si="104">IF(AU207=1,_xlfn.CONCAT("(",$AN207,", 'HYBRID'),"),"")</f>
        <v/>
      </c>
      <c r="BG207" t="str">
        <f t="shared" ref="BG207:BG235" si="105">IF(H207=1,_xlfn.CONCAT("(",$AN207,", '",BG$2,"'),"),"")</f>
        <v>(204, 'WIFI'),</v>
      </c>
      <c r="BH207" t="str">
        <f t="shared" ref="BH207:BH235" si="106">IF(I207=1,_xlfn.CONCAT("(",$AN207,", '",BH$2,"'),"),"")</f>
        <v>(204, 'RS485'),</v>
      </c>
      <c r="BI207" t="str">
        <f t="shared" ref="BI207:BI235" si="107">IF(J207=1,_xlfn.CONCAT("(",$AN207,", '",BI$2,"'),"),"")</f>
        <v/>
      </c>
      <c r="BJ207" t="str">
        <f t="shared" ref="BJ207:BJ235" si="108">IF(K207=1,_xlfn.CONCAT("(",$AN207,", '",BJ$2,"'),"),"")</f>
        <v>(204, 'LED'),</v>
      </c>
      <c r="BK207" t="str">
        <f t="shared" ref="BK207:BK235" si="109">IF(L207=1,_xlfn.CONCAT("(",$AN207,", '",BK$2,"'),"),"")</f>
        <v/>
      </c>
      <c r="BL207" t="str">
        <f t="shared" ref="BL207:BL235" si="110">IF(M207=1,_xlfn.CONCAT("(",$AN207,", '",BL$2,"'),"),"")</f>
        <v/>
      </c>
      <c r="BM207" t="str">
        <f t="shared" ref="BM207:BM235" si="111">IF(AA207=1,_xlfn.CONCAT("(",$AN207,", '",BM$2,"'),"),"")</f>
        <v>(204, 'THREE_PHASE_THREE_WIRE'),</v>
      </c>
      <c r="BN207" t="str">
        <f t="shared" ref="BN207:BN235" si="112">IF(AB207=1,_xlfn.CONCAT("(",$AN207,", '",BN$2,"'),"),"")</f>
        <v>(204, 'THREE_PHASE_FOUR_WIRE'),</v>
      </c>
      <c r="BO207" t="str">
        <f t="shared" ref="BO207:BO235" si="113">IF(Z207=1,_xlfn.CONCAT("(",$AN207,", '",BO$2,"'),"),"")</f>
        <v/>
      </c>
    </row>
    <row r="208" spans="1:67">
      <c r="A208" s="2" t="s">
        <v>485</v>
      </c>
      <c r="B208" s="3" t="s">
        <v>212</v>
      </c>
      <c r="C208" s="3">
        <v>262</v>
      </c>
      <c r="D208" s="3">
        <v>525</v>
      </c>
      <c r="E208" s="3">
        <v>470</v>
      </c>
      <c r="F208" s="3">
        <v>25</v>
      </c>
      <c r="G208" s="3" t="s">
        <v>275</v>
      </c>
      <c r="H208" s="3">
        <v>1</v>
      </c>
      <c r="I208" s="3">
        <v>1</v>
      </c>
      <c r="J208" s="3">
        <v>0</v>
      </c>
      <c r="K208" s="3">
        <v>1</v>
      </c>
      <c r="L208" s="3">
        <v>0</v>
      </c>
      <c r="M208" s="3">
        <v>15000</v>
      </c>
      <c r="N208" s="3">
        <v>16500</v>
      </c>
      <c r="O208" s="3">
        <v>2</v>
      </c>
      <c r="P208" s="3">
        <v>2</v>
      </c>
      <c r="Q208" s="3">
        <v>1080</v>
      </c>
      <c r="R208" s="3">
        <v>200</v>
      </c>
      <c r="S208" s="3">
        <v>950</v>
      </c>
      <c r="T208" s="3">
        <v>160</v>
      </c>
      <c r="U208" s="3">
        <v>850</v>
      </c>
      <c r="V208" s="3">
        <v>380</v>
      </c>
      <c r="W208" s="3">
        <v>600</v>
      </c>
      <c r="X208" s="3">
        <v>30</v>
      </c>
      <c r="Y208" s="3">
        <v>22</v>
      </c>
      <c r="Z208" s="3">
        <v>0</v>
      </c>
      <c r="AA208" s="3">
        <v>1</v>
      </c>
      <c r="AB208" s="3">
        <v>1</v>
      </c>
      <c r="AC208" s="3">
        <v>380</v>
      </c>
      <c r="AE208" s="4">
        <v>25.2</v>
      </c>
      <c r="AF208">
        <v>22.8</v>
      </c>
      <c r="AG208">
        <v>50</v>
      </c>
      <c r="AH208">
        <v>60</v>
      </c>
      <c r="AI208">
        <v>-25</v>
      </c>
      <c r="AJ208" t="s">
        <v>276</v>
      </c>
      <c r="AK208" t="s">
        <v>277</v>
      </c>
      <c r="AL208">
        <v>0</v>
      </c>
      <c r="AN208">
        <v>205</v>
      </c>
      <c r="AO208">
        <v>0</v>
      </c>
      <c r="AP208">
        <f t="shared" si="99"/>
        <v>4</v>
      </c>
      <c r="AR208">
        <v>1</v>
      </c>
      <c r="AS208">
        <v>0</v>
      </c>
      <c r="AT208">
        <v>1</v>
      </c>
      <c r="AU208">
        <v>0</v>
      </c>
      <c r="AW208">
        <v>0</v>
      </c>
      <c r="AY208" t="str">
        <f t="shared" si="100"/>
        <v>1</v>
      </c>
      <c r="BA208" s="13" t="str">
        <f t="shared" ref="BA208:BA221" si="114">_xlfn.CONCAT("('",A208,"', ",AY208,", ",SUBSTITUTE(D208,",","."),", ",SUBSTITUTE(E208,",","."),", ",SUBSTITUTE(C208,",","."),", ",SUBSTITUTE(F208,",","."),", ",AH208,", ",AI208,", '",G208,"', '",AJ208,"', '",AK208,"', ",M208,", ",N208,", ",AC208,", ",SUBSTITUTE(AF208,",","."),", ",SUBSTITUTE(AE208,",","."),", ",AG208,", ",P208,", ",AP208,", ",AL208,"),")</f>
        <v>('SIW500H ST015 ', 1, 525, 470, 262, 25, 60, -25, 'CONVECÇÃO NATURAL', 'IP65', 'TRANSFORMERLESS', 15000, 16500, 380, 22.8, 25.2, 50, 2, 4, 0),</v>
      </c>
      <c r="BB208" t="str">
        <f>_xlfn.CONCAT("(",AN208,", 0, ",O208,", ",Q208,", ",R208,", ",S208,", ",T208,", ",U208,", ",V208,", ",W208,", ",SUBSTITUTE(X208,",","."),", ",SUBSTITUTE(Y208,",","."),"), ")</f>
        <v xml:space="preserve">(205, 0, 2, 1080, 200, 950, 160, 850, 380, 600, 30, 22), </v>
      </c>
      <c r="BC208" t="str">
        <f t="shared" si="101"/>
        <v>(205, 'ON-GRID'),</v>
      </c>
      <c r="BD208" t="str">
        <f t="shared" si="102"/>
        <v/>
      </c>
      <c r="BE208" t="str">
        <f t="shared" si="103"/>
        <v>(205, 'GRIDZERO'),</v>
      </c>
      <c r="BF208" t="str">
        <f t="shared" si="104"/>
        <v/>
      </c>
      <c r="BG208" t="str">
        <f t="shared" si="105"/>
        <v>(205, 'WIFI'),</v>
      </c>
      <c r="BH208" t="str">
        <f t="shared" si="106"/>
        <v>(205, 'RS485'),</v>
      </c>
      <c r="BI208" t="str">
        <f t="shared" si="107"/>
        <v/>
      </c>
      <c r="BJ208" t="str">
        <f t="shared" si="108"/>
        <v>(205, 'LED'),</v>
      </c>
      <c r="BK208" t="str">
        <f t="shared" si="109"/>
        <v/>
      </c>
      <c r="BL208" t="str">
        <f t="shared" si="110"/>
        <v/>
      </c>
      <c r="BM208" t="str">
        <f t="shared" si="111"/>
        <v>(205, 'THREE_PHASE_THREE_WIRE'),</v>
      </c>
      <c r="BN208" t="str">
        <f t="shared" si="112"/>
        <v>(205, 'THREE_PHASE_FOUR_WIRE'),</v>
      </c>
      <c r="BO208" t="str">
        <f t="shared" si="113"/>
        <v/>
      </c>
    </row>
    <row r="209" spans="1:67">
      <c r="A209" s="2" t="s">
        <v>486</v>
      </c>
      <c r="B209" s="3" t="s">
        <v>212</v>
      </c>
      <c r="C209" s="3">
        <v>262</v>
      </c>
      <c r="D209" s="3">
        <v>525</v>
      </c>
      <c r="E209" s="3">
        <v>470</v>
      </c>
      <c r="F209" s="3">
        <v>25</v>
      </c>
      <c r="G209" s="3" t="s">
        <v>275</v>
      </c>
      <c r="H209" s="3">
        <v>1</v>
      </c>
      <c r="I209" s="3">
        <v>1</v>
      </c>
      <c r="J209" s="3">
        <v>0</v>
      </c>
      <c r="K209" s="3">
        <v>1</v>
      </c>
      <c r="L209" s="3">
        <v>0</v>
      </c>
      <c r="M209" s="3">
        <v>20000</v>
      </c>
      <c r="N209" s="3">
        <v>22000</v>
      </c>
      <c r="O209" s="3">
        <v>2</v>
      </c>
      <c r="P209" s="3">
        <v>2</v>
      </c>
      <c r="Q209" s="3">
        <v>1080</v>
      </c>
      <c r="R209" s="3">
        <v>200</v>
      </c>
      <c r="S209" s="3">
        <v>950</v>
      </c>
      <c r="T209" s="3">
        <v>160</v>
      </c>
      <c r="U209" s="3">
        <v>850</v>
      </c>
      <c r="V209" s="3">
        <v>380</v>
      </c>
      <c r="W209" s="3">
        <v>600</v>
      </c>
      <c r="X209" s="3">
        <v>30</v>
      </c>
      <c r="Y209" s="3">
        <v>22</v>
      </c>
      <c r="Z209" s="3">
        <v>0</v>
      </c>
      <c r="AA209" s="3">
        <v>1</v>
      </c>
      <c r="AB209" s="3">
        <v>1</v>
      </c>
      <c r="AC209" s="3">
        <v>380</v>
      </c>
      <c r="AE209" s="4">
        <v>33.5</v>
      </c>
      <c r="AF209">
        <v>30.4</v>
      </c>
      <c r="AG209">
        <v>50</v>
      </c>
      <c r="AH209">
        <v>60</v>
      </c>
      <c r="AI209">
        <v>-25</v>
      </c>
      <c r="AJ209" t="s">
        <v>276</v>
      </c>
      <c r="AK209" t="s">
        <v>277</v>
      </c>
      <c r="AL209">
        <v>0</v>
      </c>
      <c r="AN209">
        <v>206</v>
      </c>
      <c r="AO209">
        <v>0</v>
      </c>
      <c r="AP209">
        <f t="shared" si="99"/>
        <v>4</v>
      </c>
      <c r="AR209">
        <v>1</v>
      </c>
      <c r="AS209">
        <v>0</v>
      </c>
      <c r="AT209">
        <v>1</v>
      </c>
      <c r="AU209">
        <v>0</v>
      </c>
      <c r="AW209">
        <v>0</v>
      </c>
      <c r="AY209" t="str">
        <f t="shared" si="100"/>
        <v>1</v>
      </c>
      <c r="BA209" s="13" t="str">
        <f t="shared" si="114"/>
        <v>('SIW500H ST020', 1, 525, 470, 262, 25, 60, -25, 'CONVECÇÃO NATURAL', 'IP65', 'TRANSFORMERLESS', 20000, 22000, 380, 30.4, 33.5, 50, 2, 4, 0),</v>
      </c>
      <c r="BB209" t="str">
        <f t="shared" ref="BB209:BB221" si="115">_xlfn.CONCAT("(",AN209,", 0, ",O209,", ",Q209,", ",R209,", ",S209,", ",T209,", ",U209,", ",V209,", ",W209,", ",SUBSTITUTE(X209,",","."),", ",SUBSTITUTE(Y209,",","."),"), ")</f>
        <v xml:space="preserve">(206, 0, 2, 1080, 200, 950, 160, 850, 380, 600, 30, 22), </v>
      </c>
      <c r="BC209" t="str">
        <f t="shared" si="101"/>
        <v>(206, 'ON-GRID'),</v>
      </c>
      <c r="BD209" t="str">
        <f t="shared" si="102"/>
        <v/>
      </c>
      <c r="BE209" t="str">
        <f t="shared" si="103"/>
        <v>(206, 'GRIDZERO'),</v>
      </c>
      <c r="BF209" t="str">
        <f t="shared" si="104"/>
        <v/>
      </c>
      <c r="BG209" t="str">
        <f t="shared" si="105"/>
        <v>(206, 'WIFI'),</v>
      </c>
      <c r="BH209" t="str">
        <f t="shared" si="106"/>
        <v>(206, 'RS485'),</v>
      </c>
      <c r="BI209" t="str">
        <f t="shared" si="107"/>
        <v/>
      </c>
      <c r="BJ209" t="str">
        <f t="shared" si="108"/>
        <v>(206, 'LED'),</v>
      </c>
      <c r="BK209" t="str">
        <f t="shared" si="109"/>
        <v/>
      </c>
      <c r="BL209" t="str">
        <f t="shared" si="110"/>
        <v/>
      </c>
      <c r="BM209" t="str">
        <f t="shared" si="111"/>
        <v>(206, 'THREE_PHASE_THREE_WIRE'),</v>
      </c>
      <c r="BN209" t="str">
        <f t="shared" si="112"/>
        <v>(206, 'THREE_PHASE_FOUR_WIRE'),</v>
      </c>
      <c r="BO209" t="str">
        <f t="shared" si="113"/>
        <v/>
      </c>
    </row>
    <row r="210" spans="1:67">
      <c r="A210" s="2" t="s">
        <v>487</v>
      </c>
      <c r="B210" s="3" t="s">
        <v>212</v>
      </c>
      <c r="C210" s="3">
        <v>283</v>
      </c>
      <c r="D210" s="3">
        <v>930</v>
      </c>
      <c r="E210" s="3">
        <v>550</v>
      </c>
      <c r="F210" s="3">
        <v>62</v>
      </c>
      <c r="G210" s="3" t="s">
        <v>275</v>
      </c>
      <c r="H210" s="3">
        <v>0</v>
      </c>
      <c r="I210" s="3">
        <v>1</v>
      </c>
      <c r="J210" s="3">
        <v>0</v>
      </c>
      <c r="K210" s="3">
        <v>1</v>
      </c>
      <c r="L210" s="3">
        <v>1</v>
      </c>
      <c r="M210" s="3">
        <v>30000</v>
      </c>
      <c r="N210" s="3">
        <v>30000</v>
      </c>
      <c r="O210" s="3">
        <v>2</v>
      </c>
      <c r="P210" s="3">
        <v>4</v>
      </c>
      <c r="Q210" s="3">
        <v>1100</v>
      </c>
      <c r="R210" s="3">
        <v>200</v>
      </c>
      <c r="S210" s="3">
        <v>1000</v>
      </c>
      <c r="T210" s="3">
        <v>200</v>
      </c>
      <c r="U210" s="3">
        <v>800</v>
      </c>
      <c r="V210" s="3">
        <v>480</v>
      </c>
      <c r="W210" s="3">
        <v>620</v>
      </c>
      <c r="X210" s="3">
        <v>30</v>
      </c>
      <c r="Y210" s="3">
        <v>22</v>
      </c>
      <c r="Z210" s="3">
        <v>0</v>
      </c>
      <c r="AA210" s="3">
        <v>1</v>
      </c>
      <c r="AB210" s="3">
        <v>1</v>
      </c>
      <c r="AC210" s="3">
        <v>380</v>
      </c>
      <c r="AE210" s="4">
        <v>48</v>
      </c>
      <c r="AF210" s="4">
        <v>48</v>
      </c>
      <c r="AG210">
        <v>50</v>
      </c>
      <c r="AH210">
        <v>60</v>
      </c>
      <c r="AI210">
        <v>-25</v>
      </c>
      <c r="AJ210" t="s">
        <v>276</v>
      </c>
      <c r="AK210" t="s">
        <v>277</v>
      </c>
      <c r="AL210">
        <v>0</v>
      </c>
      <c r="AN210">
        <v>207</v>
      </c>
      <c r="AO210">
        <v>0</v>
      </c>
      <c r="AP210">
        <f t="shared" si="99"/>
        <v>8</v>
      </c>
      <c r="AR210">
        <v>1</v>
      </c>
      <c r="AS210">
        <v>0</v>
      </c>
      <c r="AT210">
        <v>1</v>
      </c>
      <c r="AU210">
        <v>0</v>
      </c>
      <c r="AW210">
        <v>0</v>
      </c>
      <c r="AY210" t="str">
        <f t="shared" si="100"/>
        <v>1</v>
      </c>
      <c r="BA210" s="13" t="str">
        <f t="shared" si="114"/>
        <v>('SIW500H ST030', 1, 930, 550, 283, 62, 60, -25, 'CONVECÇÃO NATURAL', 'IP65', 'TRANSFORMERLESS', 30000, 30000, 380, 48, 48, 50, 4, 8, 0),</v>
      </c>
      <c r="BB210" t="str">
        <f t="shared" si="115"/>
        <v xml:space="preserve">(207, 0, 2, 1100, 200, 1000, 200, 800, 480, 620, 30, 22), </v>
      </c>
      <c r="BC210" t="str">
        <f t="shared" si="101"/>
        <v>(207, 'ON-GRID'),</v>
      </c>
      <c r="BD210" t="str">
        <f t="shared" si="102"/>
        <v/>
      </c>
      <c r="BE210" t="str">
        <f t="shared" si="103"/>
        <v>(207, 'GRIDZERO'),</v>
      </c>
      <c r="BF210" t="str">
        <f t="shared" si="104"/>
        <v/>
      </c>
      <c r="BG210" t="str">
        <f t="shared" si="105"/>
        <v/>
      </c>
      <c r="BH210" t="str">
        <f t="shared" si="106"/>
        <v>(207, 'RS485'),</v>
      </c>
      <c r="BI210" t="str">
        <f t="shared" si="107"/>
        <v/>
      </c>
      <c r="BJ210" t="str">
        <f t="shared" si="108"/>
        <v>(207, 'LED'),</v>
      </c>
      <c r="BK210" t="str">
        <f t="shared" si="109"/>
        <v>(207, 'USB'),</v>
      </c>
      <c r="BL210" t="str">
        <f t="shared" si="110"/>
        <v/>
      </c>
      <c r="BM210" t="str">
        <f t="shared" si="111"/>
        <v>(207, 'THREE_PHASE_THREE_WIRE'),</v>
      </c>
      <c r="BN210" t="str">
        <f t="shared" si="112"/>
        <v>(207, 'THREE_PHASE_FOUR_WIRE'),</v>
      </c>
      <c r="BO210" t="str">
        <f t="shared" si="113"/>
        <v/>
      </c>
    </row>
    <row r="211" spans="1:67">
      <c r="A211" s="2" t="s">
        <v>488</v>
      </c>
      <c r="B211" s="3" t="s">
        <v>212</v>
      </c>
      <c r="C211" s="3">
        <v>283</v>
      </c>
      <c r="D211" s="3">
        <v>930</v>
      </c>
      <c r="E211" s="3">
        <v>550</v>
      </c>
      <c r="F211" s="3">
        <v>62</v>
      </c>
      <c r="G211" s="3" t="s">
        <v>275</v>
      </c>
      <c r="H211" s="3">
        <v>0</v>
      </c>
      <c r="I211" s="3">
        <v>1</v>
      </c>
      <c r="J211" s="3">
        <v>0</v>
      </c>
      <c r="K211" s="3">
        <v>1</v>
      </c>
      <c r="L211" s="3">
        <v>1</v>
      </c>
      <c r="M211" s="3">
        <v>36000</v>
      </c>
      <c r="N211" s="3">
        <v>40000</v>
      </c>
      <c r="O211" s="3">
        <v>2</v>
      </c>
      <c r="P211" s="3">
        <v>4</v>
      </c>
      <c r="Q211" s="3">
        <v>1100</v>
      </c>
      <c r="R211" s="3">
        <v>200</v>
      </c>
      <c r="S211" s="3">
        <v>1000</v>
      </c>
      <c r="T211" s="3">
        <v>200</v>
      </c>
      <c r="U211" s="3">
        <v>800</v>
      </c>
      <c r="V211" s="3">
        <v>480</v>
      </c>
      <c r="W211" s="3">
        <v>620</v>
      </c>
      <c r="X211" s="3">
        <v>30</v>
      </c>
      <c r="Y211" s="3">
        <v>22</v>
      </c>
      <c r="Z211" s="3">
        <v>0</v>
      </c>
      <c r="AA211" s="3">
        <v>1</v>
      </c>
      <c r="AB211" s="3">
        <v>1</v>
      </c>
      <c r="AC211" s="3">
        <v>380</v>
      </c>
      <c r="AE211" s="4">
        <v>60.8</v>
      </c>
      <c r="AF211" s="4">
        <v>60.8</v>
      </c>
      <c r="AG211">
        <v>50</v>
      </c>
      <c r="AH211">
        <v>60</v>
      </c>
      <c r="AI211">
        <v>-25</v>
      </c>
      <c r="AJ211" t="s">
        <v>276</v>
      </c>
      <c r="AK211" t="s">
        <v>277</v>
      </c>
      <c r="AL211">
        <v>0</v>
      </c>
      <c r="AN211">
        <v>208</v>
      </c>
      <c r="AO211">
        <v>0</v>
      </c>
      <c r="AP211">
        <f t="shared" si="99"/>
        <v>8</v>
      </c>
      <c r="AR211">
        <v>1</v>
      </c>
      <c r="AS211">
        <v>0</v>
      </c>
      <c r="AT211">
        <v>1</v>
      </c>
      <c r="AU211">
        <v>0</v>
      </c>
      <c r="AW211">
        <v>0</v>
      </c>
      <c r="AY211" t="str">
        <f t="shared" si="100"/>
        <v>1</v>
      </c>
      <c r="BA211" s="13" t="str">
        <f t="shared" si="114"/>
        <v>('SIW500H ST036', 1, 930, 550, 283, 62, 60, -25, 'CONVECÇÃO NATURAL', 'IP65', 'TRANSFORMERLESS', 36000, 40000, 380, 60.8, 60.8, 50, 4, 8, 0),</v>
      </c>
      <c r="BB211" t="str">
        <f t="shared" si="115"/>
        <v xml:space="preserve">(208, 0, 2, 1100, 200, 1000, 200, 800, 480, 620, 30, 22), </v>
      </c>
      <c r="BC211" t="str">
        <f t="shared" si="101"/>
        <v>(208, 'ON-GRID'),</v>
      </c>
      <c r="BD211" t="str">
        <f t="shared" si="102"/>
        <v/>
      </c>
      <c r="BE211" t="str">
        <f t="shared" si="103"/>
        <v>(208, 'GRIDZERO'),</v>
      </c>
      <c r="BF211" t="str">
        <f t="shared" si="104"/>
        <v/>
      </c>
      <c r="BG211" t="str">
        <f t="shared" si="105"/>
        <v/>
      </c>
      <c r="BH211" t="str">
        <f t="shared" si="106"/>
        <v>(208, 'RS485'),</v>
      </c>
      <c r="BI211" t="str">
        <f t="shared" si="107"/>
        <v/>
      </c>
      <c r="BJ211" t="str">
        <f t="shared" si="108"/>
        <v>(208, 'LED'),</v>
      </c>
      <c r="BK211" t="str">
        <f t="shared" si="109"/>
        <v>(208, 'USB'),</v>
      </c>
      <c r="BL211" t="str">
        <f t="shared" si="110"/>
        <v/>
      </c>
      <c r="BM211" t="str">
        <f t="shared" si="111"/>
        <v>(208, 'THREE_PHASE_THREE_WIRE'),</v>
      </c>
      <c r="BN211" t="str">
        <f t="shared" si="112"/>
        <v>(208, 'THREE_PHASE_FOUR_WIRE'),</v>
      </c>
      <c r="BO211" t="str">
        <f t="shared" si="113"/>
        <v/>
      </c>
    </row>
    <row r="212" spans="1:67">
      <c r="A212" s="2" t="s">
        <v>489</v>
      </c>
      <c r="B212" s="3" t="s">
        <v>212</v>
      </c>
      <c r="C212" s="3">
        <v>283</v>
      </c>
      <c r="D212" s="3">
        <v>930</v>
      </c>
      <c r="E212" s="3">
        <v>550</v>
      </c>
      <c r="F212" s="3">
        <v>62</v>
      </c>
      <c r="G212" s="3" t="s">
        <v>275</v>
      </c>
      <c r="H212" s="3">
        <v>0</v>
      </c>
      <c r="I212" s="3">
        <v>1</v>
      </c>
      <c r="J212" s="3">
        <v>0</v>
      </c>
      <c r="K212" s="3">
        <v>1</v>
      </c>
      <c r="L212" s="3">
        <v>1</v>
      </c>
      <c r="M212" s="3">
        <v>42000</v>
      </c>
      <c r="N212" s="3">
        <v>47000</v>
      </c>
      <c r="O212" s="3">
        <v>2</v>
      </c>
      <c r="P212" s="3">
        <v>4</v>
      </c>
      <c r="Q212" s="3">
        <v>1100</v>
      </c>
      <c r="R212" s="3">
        <v>200</v>
      </c>
      <c r="S212" s="3">
        <v>1000</v>
      </c>
      <c r="T212" s="3">
        <v>200</v>
      </c>
      <c r="U212" s="3">
        <v>850</v>
      </c>
      <c r="V212" s="3">
        <v>580</v>
      </c>
      <c r="W212" s="3">
        <v>720</v>
      </c>
      <c r="X212" s="3">
        <v>30</v>
      </c>
      <c r="Y212" s="3">
        <v>22</v>
      </c>
      <c r="Z212" s="3">
        <v>0</v>
      </c>
      <c r="AA212" s="3">
        <v>1</v>
      </c>
      <c r="AB212" s="3">
        <v>1</v>
      </c>
      <c r="AC212" s="3">
        <v>480</v>
      </c>
      <c r="AE212" s="4">
        <v>56.6</v>
      </c>
      <c r="AF212" s="4">
        <v>56.6</v>
      </c>
      <c r="AG212">
        <v>50</v>
      </c>
      <c r="AH212">
        <v>60</v>
      </c>
      <c r="AI212">
        <v>-25</v>
      </c>
      <c r="AJ212" t="s">
        <v>276</v>
      </c>
      <c r="AK212" t="s">
        <v>277</v>
      </c>
      <c r="AL212">
        <v>0</v>
      </c>
      <c r="AN212">
        <v>209</v>
      </c>
      <c r="AO212">
        <v>0</v>
      </c>
      <c r="AP212">
        <f t="shared" si="99"/>
        <v>8</v>
      </c>
      <c r="AR212">
        <v>1</v>
      </c>
      <c r="AS212">
        <v>0</v>
      </c>
      <c r="AT212">
        <v>1</v>
      </c>
      <c r="AU212">
        <v>0</v>
      </c>
      <c r="AW212">
        <v>0</v>
      </c>
      <c r="AY212" t="str">
        <f t="shared" si="100"/>
        <v>1</v>
      </c>
      <c r="BA212" s="13" t="str">
        <f t="shared" si="114"/>
        <v>('SIW500H ST040', 1, 930, 550, 283, 62, 60, -25, 'CONVECÇÃO NATURAL', 'IP65', 'TRANSFORMERLESS', 42000, 47000, 480, 56.6, 56.6, 50, 4, 8, 0),</v>
      </c>
      <c r="BB212" t="str">
        <f t="shared" si="115"/>
        <v xml:space="preserve">(209, 0, 2, 1100, 200, 1000, 200, 850, 580, 720, 30, 22), </v>
      </c>
      <c r="BC212" t="str">
        <f t="shared" si="101"/>
        <v>(209, 'ON-GRID'),</v>
      </c>
      <c r="BD212" t="str">
        <f t="shared" si="102"/>
        <v/>
      </c>
      <c r="BE212" t="str">
        <f t="shared" si="103"/>
        <v>(209, 'GRIDZERO'),</v>
      </c>
      <c r="BF212" t="str">
        <f t="shared" si="104"/>
        <v/>
      </c>
      <c r="BG212" t="str">
        <f t="shared" si="105"/>
        <v/>
      </c>
      <c r="BH212" t="str">
        <f t="shared" si="106"/>
        <v>(209, 'RS485'),</v>
      </c>
      <c r="BI212" t="str">
        <f t="shared" si="107"/>
        <v/>
      </c>
      <c r="BJ212" t="str">
        <f t="shared" si="108"/>
        <v>(209, 'LED'),</v>
      </c>
      <c r="BK212" t="str">
        <f t="shared" si="109"/>
        <v>(209, 'USB'),</v>
      </c>
      <c r="BL212" t="str">
        <f t="shared" si="110"/>
        <v/>
      </c>
      <c r="BM212" t="str">
        <f t="shared" si="111"/>
        <v>(209, 'THREE_PHASE_THREE_WIRE'),</v>
      </c>
      <c r="BN212" t="str">
        <f t="shared" si="112"/>
        <v>(209, 'THREE_PHASE_FOUR_WIRE'),</v>
      </c>
      <c r="BO212" t="str">
        <f t="shared" si="113"/>
        <v/>
      </c>
    </row>
    <row r="213" spans="1:67">
      <c r="A213" s="2" t="s">
        <v>490</v>
      </c>
      <c r="B213" s="3" t="s">
        <v>212</v>
      </c>
      <c r="C213" s="3">
        <v>300</v>
      </c>
      <c r="D213" s="3">
        <v>1075</v>
      </c>
      <c r="E213" s="3">
        <v>555</v>
      </c>
      <c r="F213" s="3">
        <v>74</v>
      </c>
      <c r="G213" s="3" t="s">
        <v>275</v>
      </c>
      <c r="H213" s="3">
        <v>0</v>
      </c>
      <c r="I213" s="3">
        <v>1</v>
      </c>
      <c r="J213" s="3">
        <v>0</v>
      </c>
      <c r="K213" s="3">
        <v>1</v>
      </c>
      <c r="L213" s="3">
        <v>1</v>
      </c>
      <c r="M213" s="3">
        <v>50000</v>
      </c>
      <c r="N213" s="3">
        <v>55000</v>
      </c>
      <c r="O213" s="3">
        <v>2</v>
      </c>
      <c r="P213" s="3">
        <v>6</v>
      </c>
      <c r="Q213" s="3">
        <v>1100</v>
      </c>
      <c r="R213" s="3">
        <v>200</v>
      </c>
      <c r="S213" s="3">
        <v>1000</v>
      </c>
      <c r="T213" s="3">
        <v>200</v>
      </c>
      <c r="U213" s="3">
        <v>800</v>
      </c>
      <c r="V213" s="3">
        <v>520</v>
      </c>
      <c r="W213" s="3">
        <v>600</v>
      </c>
      <c r="X213" s="3">
        <v>30</v>
      </c>
      <c r="Y213" s="3">
        <v>22</v>
      </c>
      <c r="Z213" s="3">
        <v>0</v>
      </c>
      <c r="AA213" s="3">
        <v>1</v>
      </c>
      <c r="AB213" s="3">
        <v>1</v>
      </c>
      <c r="AC213" s="3">
        <v>380</v>
      </c>
      <c r="AE213" s="4">
        <v>83.6</v>
      </c>
      <c r="AF213">
        <v>76</v>
      </c>
      <c r="AG213">
        <v>50</v>
      </c>
      <c r="AH213">
        <v>60</v>
      </c>
      <c r="AI213">
        <v>-25</v>
      </c>
      <c r="AJ213" t="s">
        <v>276</v>
      </c>
      <c r="AK213" t="s">
        <v>277</v>
      </c>
      <c r="AL213">
        <v>0</v>
      </c>
      <c r="AN213">
        <v>210</v>
      </c>
      <c r="AO213">
        <v>0</v>
      </c>
      <c r="AP213">
        <f t="shared" ref="AP213:AP227" si="116">O213*P213</f>
        <v>12</v>
      </c>
      <c r="AR213">
        <v>1</v>
      </c>
      <c r="AS213">
        <v>0</v>
      </c>
      <c r="AT213">
        <v>1</v>
      </c>
      <c r="AU213">
        <v>0</v>
      </c>
      <c r="AW213">
        <v>0</v>
      </c>
      <c r="AY213" t="str">
        <f t="shared" ref="AY213:AY227" si="117">IF(B213="WEG","1",IF(B213="HUAWEI","2",IF(B213="FOX ESS","3",IF(B213="GOODWE","4",IF(B213="PHB","5",IF(B213="ASTRONERGY","6",IF(B213="BYD","7",IF(B213="HUASUN","8",IF(B213="JA SOLAR","9",IF(B213="JINKO","10",IF(B213="LONGI","11",IF(B213="RISEN","12",IF(B213="SUNOVA","13",IF(B213="TALESUN","14",IF(B213="TRINA SOLAR","15","NÃO CADASTRADO")))))))))))))))</f>
        <v>1</v>
      </c>
      <c r="BA213" s="13" t="str">
        <f t="shared" si="114"/>
        <v>('SIW500H ST050', 1, 1075, 555, 300, 74, 60, -25, 'CONVECÇÃO NATURAL', 'IP65', 'TRANSFORMERLESS', 50000, 55000, 380, 76, 83.6, 50, 6, 12, 0),</v>
      </c>
      <c r="BB213" t="str">
        <f t="shared" si="115"/>
        <v xml:space="preserve">(210, 0, 2, 1100, 200, 1000, 200, 800, 520, 600, 30, 22), </v>
      </c>
      <c r="BC213" t="str">
        <f t="shared" si="101"/>
        <v>(210, 'ON-GRID'),</v>
      </c>
      <c r="BD213" t="str">
        <f t="shared" si="102"/>
        <v/>
      </c>
      <c r="BE213" t="str">
        <f t="shared" si="103"/>
        <v>(210, 'GRIDZERO'),</v>
      </c>
      <c r="BF213" t="str">
        <f t="shared" si="104"/>
        <v/>
      </c>
      <c r="BG213" t="str">
        <f t="shared" si="105"/>
        <v/>
      </c>
      <c r="BH213" t="str">
        <f t="shared" si="106"/>
        <v>(210, 'RS485'),</v>
      </c>
      <c r="BI213" t="str">
        <f t="shared" si="107"/>
        <v/>
      </c>
      <c r="BJ213" t="str">
        <f t="shared" si="108"/>
        <v>(210, 'LED'),</v>
      </c>
      <c r="BK213" t="str">
        <f t="shared" si="109"/>
        <v>(210, 'USB'),</v>
      </c>
      <c r="BL213" t="str">
        <f t="shared" si="110"/>
        <v/>
      </c>
      <c r="BM213" t="str">
        <f t="shared" si="111"/>
        <v>(210, 'THREE_PHASE_THREE_WIRE'),</v>
      </c>
      <c r="BN213" t="str">
        <f t="shared" si="112"/>
        <v>(210, 'THREE_PHASE_FOUR_WIRE'),</v>
      </c>
      <c r="BO213" t="str">
        <f t="shared" si="113"/>
        <v/>
      </c>
    </row>
    <row r="214" spans="1:67">
      <c r="A214" s="2" t="s">
        <v>491</v>
      </c>
      <c r="B214" s="3" t="s">
        <v>212</v>
      </c>
      <c r="C214" s="3">
        <v>300</v>
      </c>
      <c r="D214" s="3">
        <v>1075</v>
      </c>
      <c r="E214" s="3">
        <v>555</v>
      </c>
      <c r="F214" s="3">
        <v>74</v>
      </c>
      <c r="G214" s="3" t="s">
        <v>275</v>
      </c>
      <c r="H214" s="3">
        <v>0</v>
      </c>
      <c r="I214" s="3">
        <v>1</v>
      </c>
      <c r="J214" s="3">
        <v>0</v>
      </c>
      <c r="K214" s="3">
        <v>1</v>
      </c>
      <c r="L214" s="3">
        <v>1</v>
      </c>
      <c r="M214" s="3">
        <v>60000</v>
      </c>
      <c r="N214" s="3">
        <v>66000</v>
      </c>
      <c r="O214" s="3">
        <v>2</v>
      </c>
      <c r="P214" s="3">
        <v>6</v>
      </c>
      <c r="Q214" s="3">
        <v>1100</v>
      </c>
      <c r="R214" s="3">
        <v>200</v>
      </c>
      <c r="S214" s="3">
        <v>1000</v>
      </c>
      <c r="T214" s="3">
        <v>200</v>
      </c>
      <c r="U214" s="3">
        <v>800</v>
      </c>
      <c r="V214" s="3">
        <v>520</v>
      </c>
      <c r="W214" s="3">
        <v>600</v>
      </c>
      <c r="X214" s="3">
        <v>30</v>
      </c>
      <c r="Y214" s="3">
        <v>22</v>
      </c>
      <c r="Z214" s="3">
        <v>0</v>
      </c>
      <c r="AA214" s="3">
        <v>1</v>
      </c>
      <c r="AB214" s="3">
        <v>1</v>
      </c>
      <c r="AC214" s="3">
        <v>380</v>
      </c>
      <c r="AE214" s="4">
        <v>100</v>
      </c>
      <c r="AF214">
        <v>91.2</v>
      </c>
      <c r="AG214">
        <v>50</v>
      </c>
      <c r="AH214">
        <v>60</v>
      </c>
      <c r="AI214">
        <v>-25</v>
      </c>
      <c r="AJ214" t="s">
        <v>276</v>
      </c>
      <c r="AK214" t="s">
        <v>277</v>
      </c>
      <c r="AL214">
        <v>0</v>
      </c>
      <c r="AN214">
        <v>211</v>
      </c>
      <c r="AO214">
        <v>0</v>
      </c>
      <c r="AP214">
        <f t="shared" si="116"/>
        <v>12</v>
      </c>
      <c r="AR214">
        <v>1</v>
      </c>
      <c r="AS214">
        <v>0</v>
      </c>
      <c r="AT214">
        <v>1</v>
      </c>
      <c r="AU214">
        <v>0</v>
      </c>
      <c r="AW214">
        <v>0</v>
      </c>
      <c r="AY214" t="str">
        <f t="shared" si="117"/>
        <v>1</v>
      </c>
      <c r="BA214" s="13" t="str">
        <f t="shared" si="114"/>
        <v>('SIW500H ST060', 1, 1075, 555, 300, 74, 60, -25, 'CONVECÇÃO NATURAL', 'IP65', 'TRANSFORMERLESS', 60000, 66000, 380, 91.2, 100, 50, 6, 12, 0),</v>
      </c>
      <c r="BB214" t="str">
        <f t="shared" si="115"/>
        <v xml:space="preserve">(211, 0, 2, 1100, 200, 1000, 200, 800, 520, 600, 30, 22), </v>
      </c>
      <c r="BC214" t="str">
        <f t="shared" si="101"/>
        <v>(211, 'ON-GRID'),</v>
      </c>
      <c r="BD214" t="str">
        <f t="shared" si="102"/>
        <v/>
      </c>
      <c r="BE214" t="str">
        <f t="shared" si="103"/>
        <v>(211, 'GRIDZERO'),</v>
      </c>
      <c r="BF214" t="str">
        <f t="shared" si="104"/>
        <v/>
      </c>
      <c r="BG214" t="str">
        <f t="shared" si="105"/>
        <v/>
      </c>
      <c r="BH214" t="str">
        <f t="shared" si="106"/>
        <v>(211, 'RS485'),</v>
      </c>
      <c r="BI214" t="str">
        <f t="shared" si="107"/>
        <v/>
      </c>
      <c r="BJ214" t="str">
        <f t="shared" si="108"/>
        <v>(211, 'LED'),</v>
      </c>
      <c r="BK214" t="str">
        <f t="shared" si="109"/>
        <v>(211, 'USB'),</v>
      </c>
      <c r="BL214" t="str">
        <f t="shared" si="110"/>
        <v/>
      </c>
      <c r="BM214" t="str">
        <f t="shared" si="111"/>
        <v>(211, 'THREE_PHASE_THREE_WIRE'),</v>
      </c>
      <c r="BN214" t="str">
        <f t="shared" si="112"/>
        <v>(211, 'THREE_PHASE_FOUR_WIRE'),</v>
      </c>
      <c r="BO214" t="str">
        <f t="shared" si="113"/>
        <v/>
      </c>
    </row>
    <row r="215" spans="1:67">
      <c r="A215" s="2" t="s">
        <v>492</v>
      </c>
      <c r="B215" s="3" t="s">
        <v>212</v>
      </c>
      <c r="C215" s="3">
        <v>365</v>
      </c>
      <c r="D215" s="3">
        <v>1035</v>
      </c>
      <c r="E215" s="3">
        <v>700</v>
      </c>
      <c r="F215" s="3">
        <v>90</v>
      </c>
      <c r="G215" s="3" t="s">
        <v>275</v>
      </c>
      <c r="H215" s="3">
        <v>0</v>
      </c>
      <c r="I215" s="3">
        <v>1</v>
      </c>
      <c r="J215" s="3">
        <v>0</v>
      </c>
      <c r="K215" s="3">
        <v>1</v>
      </c>
      <c r="L215" s="3">
        <v>1</v>
      </c>
      <c r="M215" s="3">
        <v>100000</v>
      </c>
      <c r="N215" s="3">
        <v>110000</v>
      </c>
      <c r="O215" s="3">
        <v>2</v>
      </c>
      <c r="P215" s="3">
        <v>10</v>
      </c>
      <c r="Q215" s="3">
        <v>1100</v>
      </c>
      <c r="R215" s="3">
        <v>200</v>
      </c>
      <c r="S215" s="3">
        <v>1000</v>
      </c>
      <c r="T215" s="3">
        <v>200</v>
      </c>
      <c r="U215" s="3">
        <v>800</v>
      </c>
      <c r="V215" s="3">
        <v>540</v>
      </c>
      <c r="W215" s="3">
        <v>570</v>
      </c>
      <c r="X215" s="3">
        <v>40</v>
      </c>
      <c r="Y215" s="3">
        <v>26</v>
      </c>
      <c r="Z215" s="3">
        <v>0</v>
      </c>
      <c r="AA215" s="3">
        <v>1</v>
      </c>
      <c r="AB215" s="3">
        <v>1</v>
      </c>
      <c r="AC215" s="3">
        <v>380</v>
      </c>
      <c r="AE215" s="4">
        <v>168.8</v>
      </c>
      <c r="AF215">
        <v>152</v>
      </c>
      <c r="AG215">
        <v>50</v>
      </c>
      <c r="AH215">
        <v>60</v>
      </c>
      <c r="AI215">
        <v>-25</v>
      </c>
      <c r="AJ215" t="s">
        <v>307</v>
      </c>
      <c r="AK215" t="s">
        <v>277</v>
      </c>
      <c r="AL215">
        <v>0</v>
      </c>
      <c r="AN215">
        <v>212</v>
      </c>
      <c r="AO215">
        <v>0</v>
      </c>
      <c r="AP215">
        <f t="shared" si="116"/>
        <v>20</v>
      </c>
      <c r="AR215">
        <v>1</v>
      </c>
      <c r="AS215">
        <v>0</v>
      </c>
      <c r="AT215">
        <v>1</v>
      </c>
      <c r="AU215">
        <v>0</v>
      </c>
      <c r="AW215">
        <v>0</v>
      </c>
      <c r="AY215" t="str">
        <f t="shared" si="117"/>
        <v>1</v>
      </c>
      <c r="BA215" s="13" t="str">
        <f t="shared" si="114"/>
        <v>('SIW500H ST100', 1, 1035, 700, 365, 90, 60, -25, 'CONVECÇÃO NATURAL', 'IP66', 'TRANSFORMERLESS', 100000, 110000, 380, 152, 168.8, 50, 10, 20, 0),</v>
      </c>
      <c r="BB215" t="str">
        <f t="shared" si="115"/>
        <v xml:space="preserve">(212, 0, 2, 1100, 200, 1000, 200, 800, 540, 570, 40, 26), </v>
      </c>
      <c r="BC215" t="str">
        <f t="shared" si="101"/>
        <v>(212, 'ON-GRID'),</v>
      </c>
      <c r="BD215" t="str">
        <f t="shared" si="102"/>
        <v/>
      </c>
      <c r="BE215" t="str">
        <f t="shared" si="103"/>
        <v>(212, 'GRIDZERO'),</v>
      </c>
      <c r="BF215" t="str">
        <f t="shared" si="104"/>
        <v/>
      </c>
      <c r="BG215" t="str">
        <f t="shared" si="105"/>
        <v/>
      </c>
      <c r="BH215" t="str">
        <f t="shared" si="106"/>
        <v>(212, 'RS485'),</v>
      </c>
      <c r="BI215" t="str">
        <f t="shared" si="107"/>
        <v/>
      </c>
      <c r="BJ215" t="str">
        <f t="shared" si="108"/>
        <v>(212, 'LED'),</v>
      </c>
      <c r="BK215" t="str">
        <f t="shared" si="109"/>
        <v>(212, 'USB'),</v>
      </c>
      <c r="BL215" t="str">
        <f t="shared" si="110"/>
        <v/>
      </c>
      <c r="BM215" t="str">
        <f t="shared" si="111"/>
        <v>(212, 'THREE_PHASE_THREE_WIRE'),</v>
      </c>
      <c r="BN215" t="str">
        <f t="shared" si="112"/>
        <v>(212, 'THREE_PHASE_FOUR_WIRE'),</v>
      </c>
      <c r="BO215" t="str">
        <f t="shared" si="113"/>
        <v/>
      </c>
    </row>
    <row r="216" spans="1:67">
      <c r="A216" s="2" t="s">
        <v>493</v>
      </c>
      <c r="B216" s="3" t="s">
        <v>212</v>
      </c>
      <c r="C216" s="3">
        <v>262</v>
      </c>
      <c r="D216" s="3">
        <v>525</v>
      </c>
      <c r="E216" s="3">
        <v>470</v>
      </c>
      <c r="F216" s="3">
        <v>25</v>
      </c>
      <c r="G216" s="3" t="s">
        <v>275</v>
      </c>
      <c r="H216" s="3">
        <v>1</v>
      </c>
      <c r="I216" s="3">
        <v>1</v>
      </c>
      <c r="J216" s="3">
        <v>0</v>
      </c>
      <c r="K216" s="3">
        <v>1</v>
      </c>
      <c r="L216" s="3">
        <v>0</v>
      </c>
      <c r="M216" s="3">
        <v>12000</v>
      </c>
      <c r="N216" s="3">
        <v>13200</v>
      </c>
      <c r="O216" s="3">
        <v>2</v>
      </c>
      <c r="P216" s="3">
        <v>2</v>
      </c>
      <c r="Q216" s="3">
        <v>1080</v>
      </c>
      <c r="R216" s="3">
        <v>200</v>
      </c>
      <c r="S216" s="3">
        <v>950</v>
      </c>
      <c r="T216" s="3">
        <v>160</v>
      </c>
      <c r="U216" s="3">
        <v>850</v>
      </c>
      <c r="V216" s="3">
        <v>380</v>
      </c>
      <c r="W216" s="3">
        <v>600</v>
      </c>
      <c r="X216" s="3">
        <v>30</v>
      </c>
      <c r="Y216" s="3">
        <v>22</v>
      </c>
      <c r="Z216" s="3">
        <v>0</v>
      </c>
      <c r="AA216" s="3">
        <v>1</v>
      </c>
      <c r="AB216" s="3">
        <v>1</v>
      </c>
      <c r="AC216" s="3">
        <v>380</v>
      </c>
      <c r="AE216" s="4">
        <v>20</v>
      </c>
      <c r="AF216">
        <v>18.2</v>
      </c>
      <c r="AG216">
        <v>50</v>
      </c>
      <c r="AH216">
        <v>60</v>
      </c>
      <c r="AI216">
        <v>-25</v>
      </c>
      <c r="AJ216" t="s">
        <v>276</v>
      </c>
      <c r="AK216" t="s">
        <v>277</v>
      </c>
      <c r="AL216">
        <v>1</v>
      </c>
      <c r="AN216">
        <v>213</v>
      </c>
      <c r="AO216">
        <v>0</v>
      </c>
      <c r="AP216">
        <f t="shared" si="116"/>
        <v>4</v>
      </c>
      <c r="AR216">
        <v>1</v>
      </c>
      <c r="AS216">
        <v>0</v>
      </c>
      <c r="AT216">
        <v>1</v>
      </c>
      <c r="AU216">
        <v>0</v>
      </c>
      <c r="AW216">
        <v>0</v>
      </c>
      <c r="AY216" t="str">
        <f t="shared" si="117"/>
        <v>1</v>
      </c>
      <c r="BA216" s="13" t="str">
        <f t="shared" si="114"/>
        <v>('SIW500H ST012 M2', 1, 525, 470, 262, 25, 60, -25, 'CONVECÇÃO NATURAL', 'IP65', 'TRANSFORMERLESS', 12000, 13200, 380, 18.2, 20, 50, 2, 4, 1),</v>
      </c>
      <c r="BB216" t="str">
        <f t="shared" si="115"/>
        <v xml:space="preserve">(213, 0, 2, 1080, 200, 950, 160, 850, 380, 600, 30, 22), </v>
      </c>
      <c r="BC216" t="str">
        <f t="shared" si="101"/>
        <v>(213, 'ON-GRID'),</v>
      </c>
      <c r="BD216" t="str">
        <f t="shared" si="102"/>
        <v/>
      </c>
      <c r="BE216" t="str">
        <f t="shared" si="103"/>
        <v>(213, 'GRIDZERO'),</v>
      </c>
      <c r="BF216" t="str">
        <f t="shared" si="104"/>
        <v/>
      </c>
      <c r="BG216" t="str">
        <f t="shared" si="105"/>
        <v>(213, 'WIFI'),</v>
      </c>
      <c r="BH216" t="str">
        <f t="shared" si="106"/>
        <v>(213, 'RS485'),</v>
      </c>
      <c r="BI216" t="str">
        <f t="shared" si="107"/>
        <v/>
      </c>
      <c r="BJ216" t="str">
        <f t="shared" si="108"/>
        <v>(213, 'LED'),</v>
      </c>
      <c r="BK216" t="str">
        <f t="shared" si="109"/>
        <v/>
      </c>
      <c r="BL216" t="str">
        <f t="shared" si="110"/>
        <v/>
      </c>
      <c r="BM216" t="str">
        <f t="shared" si="111"/>
        <v>(213, 'THREE_PHASE_THREE_WIRE'),</v>
      </c>
      <c r="BN216" t="str">
        <f t="shared" si="112"/>
        <v>(213, 'THREE_PHASE_FOUR_WIRE'),</v>
      </c>
      <c r="BO216" t="str">
        <f t="shared" si="113"/>
        <v/>
      </c>
    </row>
    <row r="217" spans="1:67">
      <c r="A217" s="2" t="s">
        <v>494</v>
      </c>
      <c r="B217" s="3" t="s">
        <v>212</v>
      </c>
      <c r="C217" s="3">
        <v>262</v>
      </c>
      <c r="D217" s="3">
        <v>525</v>
      </c>
      <c r="E217" s="3">
        <v>470</v>
      </c>
      <c r="F217" s="3">
        <v>25</v>
      </c>
      <c r="G217" s="3" t="s">
        <v>275</v>
      </c>
      <c r="H217" s="3">
        <v>1</v>
      </c>
      <c r="I217" s="3">
        <v>1</v>
      </c>
      <c r="J217" s="3">
        <v>0</v>
      </c>
      <c r="K217" s="3">
        <v>1</v>
      </c>
      <c r="L217" s="3">
        <v>0</v>
      </c>
      <c r="M217" s="3">
        <v>15000</v>
      </c>
      <c r="N217" s="3">
        <v>16500</v>
      </c>
      <c r="O217" s="3">
        <v>2</v>
      </c>
      <c r="P217" s="3">
        <v>2</v>
      </c>
      <c r="Q217" s="3">
        <v>1080</v>
      </c>
      <c r="R217" s="3">
        <v>200</v>
      </c>
      <c r="S217" s="3">
        <v>950</v>
      </c>
      <c r="T217" s="3">
        <v>160</v>
      </c>
      <c r="U217" s="3">
        <v>850</v>
      </c>
      <c r="V217" s="3">
        <v>380</v>
      </c>
      <c r="W217" s="3">
        <v>600</v>
      </c>
      <c r="X217" s="3">
        <v>30</v>
      </c>
      <c r="Y217" s="3">
        <v>22</v>
      </c>
      <c r="Z217" s="3">
        <v>0</v>
      </c>
      <c r="AA217" s="3">
        <v>1</v>
      </c>
      <c r="AB217" s="3">
        <v>1</v>
      </c>
      <c r="AC217" s="3">
        <v>380</v>
      </c>
      <c r="AE217" s="4">
        <v>25.5</v>
      </c>
      <c r="AF217">
        <v>22.8</v>
      </c>
      <c r="AG217">
        <v>50</v>
      </c>
      <c r="AH217">
        <v>60</v>
      </c>
      <c r="AI217">
        <v>-25</v>
      </c>
      <c r="AJ217" t="s">
        <v>276</v>
      </c>
      <c r="AK217" t="s">
        <v>277</v>
      </c>
      <c r="AL217">
        <v>1</v>
      </c>
      <c r="AN217">
        <v>214</v>
      </c>
      <c r="AO217">
        <v>0</v>
      </c>
      <c r="AP217">
        <f t="shared" si="116"/>
        <v>4</v>
      </c>
      <c r="AR217">
        <v>1</v>
      </c>
      <c r="AS217">
        <v>0</v>
      </c>
      <c r="AT217">
        <v>1</v>
      </c>
      <c r="AU217">
        <v>0</v>
      </c>
      <c r="AW217">
        <v>0</v>
      </c>
      <c r="AY217" t="str">
        <f t="shared" si="117"/>
        <v>1</v>
      </c>
      <c r="BA217" s="13" t="str">
        <f t="shared" si="114"/>
        <v>('SIW500H ST015 M2', 1, 525, 470, 262, 25, 60, -25, 'CONVECÇÃO NATURAL', 'IP65', 'TRANSFORMERLESS', 15000, 16500, 380, 22.8, 25.5, 50, 2, 4, 1),</v>
      </c>
      <c r="BB217" t="str">
        <f t="shared" si="115"/>
        <v xml:space="preserve">(214, 0, 2, 1080, 200, 950, 160, 850, 380, 600, 30, 22), </v>
      </c>
      <c r="BC217" t="str">
        <f t="shared" si="101"/>
        <v>(214, 'ON-GRID'),</v>
      </c>
      <c r="BD217" t="str">
        <f t="shared" si="102"/>
        <v/>
      </c>
      <c r="BE217" t="str">
        <f t="shared" si="103"/>
        <v>(214, 'GRIDZERO'),</v>
      </c>
      <c r="BF217" t="str">
        <f t="shared" si="104"/>
        <v/>
      </c>
      <c r="BG217" t="str">
        <f t="shared" si="105"/>
        <v>(214, 'WIFI'),</v>
      </c>
      <c r="BH217" t="str">
        <f t="shared" si="106"/>
        <v>(214, 'RS485'),</v>
      </c>
      <c r="BI217" t="str">
        <f t="shared" si="107"/>
        <v/>
      </c>
      <c r="BJ217" t="str">
        <f t="shared" si="108"/>
        <v>(214, 'LED'),</v>
      </c>
      <c r="BK217" t="str">
        <f t="shared" si="109"/>
        <v/>
      </c>
      <c r="BL217" t="str">
        <f t="shared" si="110"/>
        <v/>
      </c>
      <c r="BM217" t="str">
        <f t="shared" si="111"/>
        <v>(214, 'THREE_PHASE_THREE_WIRE'),</v>
      </c>
      <c r="BN217" t="str">
        <f t="shared" si="112"/>
        <v>(214, 'THREE_PHASE_FOUR_WIRE'),</v>
      </c>
      <c r="BO217" t="str">
        <f t="shared" si="113"/>
        <v/>
      </c>
    </row>
    <row r="218" spans="1:67">
      <c r="A218" s="2" t="s">
        <v>495</v>
      </c>
      <c r="B218" s="3" t="s">
        <v>212</v>
      </c>
      <c r="C218" s="3">
        <v>262</v>
      </c>
      <c r="D218" s="3">
        <v>525</v>
      </c>
      <c r="E218" s="3">
        <v>470</v>
      </c>
      <c r="F218" s="3">
        <v>25</v>
      </c>
      <c r="G218" s="3" t="s">
        <v>275</v>
      </c>
      <c r="H218" s="3">
        <v>1</v>
      </c>
      <c r="I218" s="3">
        <v>1</v>
      </c>
      <c r="J218" s="3">
        <v>0</v>
      </c>
      <c r="K218" s="3">
        <v>1</v>
      </c>
      <c r="L218" s="3">
        <v>0</v>
      </c>
      <c r="M218" s="3">
        <v>20000</v>
      </c>
      <c r="N218" s="3">
        <v>22000</v>
      </c>
      <c r="O218" s="3">
        <v>2</v>
      </c>
      <c r="P218" s="3">
        <v>2</v>
      </c>
      <c r="Q218" s="3">
        <v>1080</v>
      </c>
      <c r="R218" s="3">
        <v>200</v>
      </c>
      <c r="S218" s="3">
        <v>950</v>
      </c>
      <c r="T218" s="3">
        <v>160</v>
      </c>
      <c r="U218" s="3">
        <v>850</v>
      </c>
      <c r="V218" s="3">
        <v>480</v>
      </c>
      <c r="W218" s="3">
        <v>600</v>
      </c>
      <c r="X218" s="3">
        <v>30</v>
      </c>
      <c r="Y218" s="3">
        <v>22</v>
      </c>
      <c r="Z218" s="3">
        <v>0</v>
      </c>
      <c r="AA218" s="3">
        <v>1</v>
      </c>
      <c r="AB218" s="3">
        <v>1</v>
      </c>
      <c r="AC218" s="3">
        <v>380</v>
      </c>
      <c r="AE218" s="4">
        <v>33.5</v>
      </c>
      <c r="AF218">
        <v>30.4</v>
      </c>
      <c r="AG218">
        <v>50</v>
      </c>
      <c r="AH218">
        <v>60</v>
      </c>
      <c r="AI218">
        <v>-25</v>
      </c>
      <c r="AJ218" t="s">
        <v>276</v>
      </c>
      <c r="AK218" t="s">
        <v>277</v>
      </c>
      <c r="AL218">
        <v>1</v>
      </c>
      <c r="AN218">
        <v>215</v>
      </c>
      <c r="AO218">
        <v>0</v>
      </c>
      <c r="AP218">
        <f t="shared" si="116"/>
        <v>4</v>
      </c>
      <c r="AR218">
        <v>1</v>
      </c>
      <c r="AS218">
        <v>0</v>
      </c>
      <c r="AT218">
        <v>1</v>
      </c>
      <c r="AU218">
        <v>0</v>
      </c>
      <c r="AW218">
        <v>0</v>
      </c>
      <c r="AY218" t="str">
        <f t="shared" si="117"/>
        <v>1</v>
      </c>
      <c r="BA218" s="13" t="str">
        <f t="shared" si="114"/>
        <v>('SIW500H ST020 M2', 1, 525, 470, 262, 25, 60, -25, 'CONVECÇÃO NATURAL', 'IP65', 'TRANSFORMERLESS', 20000, 22000, 380, 30.4, 33.5, 50, 2, 4, 1),</v>
      </c>
      <c r="BB218" t="str">
        <f t="shared" si="115"/>
        <v xml:space="preserve">(215, 0, 2, 1080, 200, 950, 160, 850, 480, 600, 30, 22), </v>
      </c>
      <c r="BC218" t="str">
        <f t="shared" si="101"/>
        <v>(215, 'ON-GRID'),</v>
      </c>
      <c r="BD218" t="str">
        <f t="shared" si="102"/>
        <v/>
      </c>
      <c r="BE218" t="str">
        <f t="shared" si="103"/>
        <v>(215, 'GRIDZERO'),</v>
      </c>
      <c r="BF218" t="str">
        <f t="shared" si="104"/>
        <v/>
      </c>
      <c r="BG218" t="str">
        <f t="shared" si="105"/>
        <v>(215, 'WIFI'),</v>
      </c>
      <c r="BH218" t="str">
        <f t="shared" si="106"/>
        <v>(215, 'RS485'),</v>
      </c>
      <c r="BI218" t="str">
        <f t="shared" si="107"/>
        <v/>
      </c>
      <c r="BJ218" t="str">
        <f t="shared" si="108"/>
        <v>(215, 'LED'),</v>
      </c>
      <c r="BK218" t="str">
        <f t="shared" si="109"/>
        <v/>
      </c>
      <c r="BL218" t="str">
        <f t="shared" si="110"/>
        <v/>
      </c>
      <c r="BM218" t="str">
        <f t="shared" si="111"/>
        <v>(215, 'THREE_PHASE_THREE_WIRE'),</v>
      </c>
      <c r="BN218" t="str">
        <f t="shared" si="112"/>
        <v>(215, 'THREE_PHASE_FOUR_WIRE'),</v>
      </c>
      <c r="BO218" t="str">
        <f t="shared" si="113"/>
        <v/>
      </c>
    </row>
    <row r="219" spans="1:67">
      <c r="A219" s="2" t="s">
        <v>496</v>
      </c>
      <c r="B219" s="3" t="s">
        <v>212</v>
      </c>
      <c r="C219" s="3">
        <v>270</v>
      </c>
      <c r="D219" s="3">
        <v>640</v>
      </c>
      <c r="E219" s="3">
        <v>530</v>
      </c>
      <c r="F219" s="3">
        <v>43</v>
      </c>
      <c r="G219" s="3" t="s">
        <v>275</v>
      </c>
      <c r="H219" s="3">
        <v>1</v>
      </c>
      <c r="I219" s="3">
        <v>1</v>
      </c>
      <c r="J219" s="3">
        <v>0</v>
      </c>
      <c r="K219" s="3">
        <v>1</v>
      </c>
      <c r="L219" s="3">
        <v>0</v>
      </c>
      <c r="M219" s="3">
        <v>30000</v>
      </c>
      <c r="N219" s="3">
        <v>33000</v>
      </c>
      <c r="O219" s="3">
        <v>2</v>
      </c>
      <c r="P219" s="3">
        <v>4</v>
      </c>
      <c r="Q219" s="3">
        <v>1100</v>
      </c>
      <c r="R219" s="3">
        <v>200</v>
      </c>
      <c r="S219" s="3">
        <v>1000</v>
      </c>
      <c r="T219" s="3">
        <v>200</v>
      </c>
      <c r="U219" s="3">
        <v>800</v>
      </c>
      <c r="V219" s="3">
        <v>500</v>
      </c>
      <c r="W219" s="3">
        <v>600</v>
      </c>
      <c r="X219" s="3">
        <v>40</v>
      </c>
      <c r="Y219" s="3">
        <v>26</v>
      </c>
      <c r="Z219" s="3">
        <v>0</v>
      </c>
      <c r="AA219" s="3">
        <v>0</v>
      </c>
      <c r="AB219" s="3">
        <v>1</v>
      </c>
      <c r="AC219" s="3">
        <v>380</v>
      </c>
      <c r="AE219" s="4">
        <v>50.4</v>
      </c>
      <c r="AF219">
        <v>45.6</v>
      </c>
      <c r="AG219">
        <v>50</v>
      </c>
      <c r="AH219">
        <v>60</v>
      </c>
      <c r="AI219">
        <v>-25</v>
      </c>
      <c r="AJ219" t="s">
        <v>307</v>
      </c>
      <c r="AK219" t="s">
        <v>277</v>
      </c>
      <c r="AL219">
        <v>1</v>
      </c>
      <c r="AN219">
        <v>216</v>
      </c>
      <c r="AO219">
        <v>0</v>
      </c>
      <c r="AP219">
        <f t="shared" si="116"/>
        <v>8</v>
      </c>
      <c r="AR219">
        <v>1</v>
      </c>
      <c r="AS219">
        <v>0</v>
      </c>
      <c r="AT219">
        <v>1</v>
      </c>
      <c r="AU219">
        <v>0</v>
      </c>
      <c r="AW219">
        <v>0</v>
      </c>
      <c r="AY219" t="str">
        <f t="shared" si="117"/>
        <v>1</v>
      </c>
      <c r="BA219" s="13" t="str">
        <f t="shared" si="114"/>
        <v>('SIW500H ST030 M3', 1, 640, 530, 270, 43, 60, -25, 'CONVECÇÃO NATURAL', 'IP66', 'TRANSFORMERLESS', 30000, 33000, 380, 45.6, 50.4, 50, 4, 8, 1),</v>
      </c>
      <c r="BB219" t="str">
        <f t="shared" si="115"/>
        <v xml:space="preserve">(216, 0, 2, 1100, 200, 1000, 200, 800, 500, 600, 40, 26), </v>
      </c>
      <c r="BC219" t="str">
        <f t="shared" si="101"/>
        <v>(216, 'ON-GRID'),</v>
      </c>
      <c r="BD219" t="str">
        <f t="shared" si="102"/>
        <v/>
      </c>
      <c r="BE219" t="str">
        <f t="shared" si="103"/>
        <v>(216, 'GRIDZERO'),</v>
      </c>
      <c r="BF219" t="str">
        <f t="shared" si="104"/>
        <v/>
      </c>
      <c r="BG219" t="str">
        <f t="shared" si="105"/>
        <v>(216, 'WIFI'),</v>
      </c>
      <c r="BH219" t="str">
        <f t="shared" si="106"/>
        <v>(216, 'RS485'),</v>
      </c>
      <c r="BI219" t="str">
        <f t="shared" si="107"/>
        <v/>
      </c>
      <c r="BJ219" t="str">
        <f t="shared" si="108"/>
        <v>(216, 'LED'),</v>
      </c>
      <c r="BK219" t="str">
        <f t="shared" si="109"/>
        <v/>
      </c>
      <c r="BL219" t="str">
        <f t="shared" si="110"/>
        <v/>
      </c>
      <c r="BM219" t="str">
        <f t="shared" si="111"/>
        <v/>
      </c>
      <c r="BN219" t="str">
        <f t="shared" si="112"/>
        <v>(216, 'THREE_PHASE_FOUR_WIRE'),</v>
      </c>
      <c r="BO219" t="str">
        <f t="shared" si="113"/>
        <v/>
      </c>
    </row>
    <row r="220" spans="1:67">
      <c r="A220" s="2" t="s">
        <v>17</v>
      </c>
      <c r="B220" s="3" t="s">
        <v>212</v>
      </c>
      <c r="C220" s="3">
        <v>270</v>
      </c>
      <c r="D220" s="3">
        <v>640</v>
      </c>
      <c r="E220" s="3">
        <v>530</v>
      </c>
      <c r="F220" s="3">
        <v>43</v>
      </c>
      <c r="G220" s="3" t="s">
        <v>275</v>
      </c>
      <c r="H220" s="3">
        <v>1</v>
      </c>
      <c r="I220" s="3">
        <v>1</v>
      </c>
      <c r="J220" s="3">
        <v>0</v>
      </c>
      <c r="K220" s="3">
        <v>1</v>
      </c>
      <c r="L220" s="3">
        <v>0</v>
      </c>
      <c r="M220" s="3">
        <v>36000</v>
      </c>
      <c r="N220" s="3">
        <v>40000</v>
      </c>
      <c r="O220" s="3">
        <v>2</v>
      </c>
      <c r="P220" s="3">
        <v>4</v>
      </c>
      <c r="Q220" s="3">
        <v>1100</v>
      </c>
      <c r="R220" s="3">
        <v>200</v>
      </c>
      <c r="S220" s="3">
        <v>1000</v>
      </c>
      <c r="T220" s="3">
        <v>200</v>
      </c>
      <c r="U220" s="3">
        <v>800</v>
      </c>
      <c r="V220" s="3">
        <v>520</v>
      </c>
      <c r="W220" s="3">
        <v>600</v>
      </c>
      <c r="X220" s="3">
        <v>40</v>
      </c>
      <c r="Y220" s="3">
        <v>26</v>
      </c>
      <c r="Z220" s="3">
        <v>0</v>
      </c>
      <c r="AA220" s="3">
        <v>0</v>
      </c>
      <c r="AB220" s="3">
        <v>1</v>
      </c>
      <c r="AC220" s="3">
        <v>380</v>
      </c>
      <c r="AE220" s="4">
        <v>61.1</v>
      </c>
      <c r="AF220">
        <v>54.7</v>
      </c>
      <c r="AG220">
        <v>50</v>
      </c>
      <c r="AH220">
        <v>60</v>
      </c>
      <c r="AI220">
        <v>-25</v>
      </c>
      <c r="AJ220" t="s">
        <v>307</v>
      </c>
      <c r="AK220" t="s">
        <v>277</v>
      </c>
      <c r="AL220">
        <v>1</v>
      </c>
      <c r="AN220">
        <v>217</v>
      </c>
      <c r="AO220">
        <v>0</v>
      </c>
      <c r="AP220">
        <f t="shared" si="116"/>
        <v>8</v>
      </c>
      <c r="AR220">
        <v>1</v>
      </c>
      <c r="AS220">
        <v>0</v>
      </c>
      <c r="AT220">
        <v>1</v>
      </c>
      <c r="AU220">
        <v>0</v>
      </c>
      <c r="AW220">
        <v>0</v>
      </c>
      <c r="AY220" t="str">
        <f t="shared" si="117"/>
        <v>1</v>
      </c>
      <c r="BA220" s="13" t="str">
        <f t="shared" si="114"/>
        <v>('SIW500H ST036 M3', 1, 640, 530, 270, 43, 60, -25, 'CONVECÇÃO NATURAL', 'IP66', 'TRANSFORMERLESS', 36000, 40000, 380, 54.7, 61.1, 50, 4, 8, 1),</v>
      </c>
      <c r="BB220" t="str">
        <f t="shared" si="115"/>
        <v xml:space="preserve">(217, 0, 2, 1100, 200, 1000, 200, 800, 520, 600, 40, 26), </v>
      </c>
      <c r="BC220" t="str">
        <f t="shared" si="101"/>
        <v>(217, 'ON-GRID'),</v>
      </c>
      <c r="BD220" t="str">
        <f t="shared" si="102"/>
        <v/>
      </c>
      <c r="BE220" t="str">
        <f t="shared" si="103"/>
        <v>(217, 'GRIDZERO'),</v>
      </c>
      <c r="BF220" t="str">
        <f t="shared" si="104"/>
        <v/>
      </c>
      <c r="BG220" t="str">
        <f t="shared" si="105"/>
        <v>(217, 'WIFI'),</v>
      </c>
      <c r="BH220" t="str">
        <f t="shared" si="106"/>
        <v>(217, 'RS485'),</v>
      </c>
      <c r="BI220" t="str">
        <f t="shared" si="107"/>
        <v/>
      </c>
      <c r="BJ220" t="str">
        <f t="shared" si="108"/>
        <v>(217, 'LED'),</v>
      </c>
      <c r="BK220" t="str">
        <f t="shared" si="109"/>
        <v/>
      </c>
      <c r="BL220" t="str">
        <f t="shared" si="110"/>
        <v/>
      </c>
      <c r="BM220" t="str">
        <f t="shared" si="111"/>
        <v/>
      </c>
      <c r="BN220" t="str">
        <f t="shared" si="112"/>
        <v>(217, 'THREE_PHASE_FOUR_WIRE'),</v>
      </c>
      <c r="BO220" t="str">
        <f t="shared" si="113"/>
        <v/>
      </c>
    </row>
    <row r="221" spans="1:67">
      <c r="A221" s="2" t="s">
        <v>18</v>
      </c>
      <c r="B221" s="3" t="s">
        <v>212</v>
      </c>
      <c r="C221" s="3">
        <v>270</v>
      </c>
      <c r="D221" s="3">
        <v>640</v>
      </c>
      <c r="E221" s="3">
        <v>530</v>
      </c>
      <c r="F221" s="3">
        <v>43</v>
      </c>
      <c r="G221" s="3" t="s">
        <v>275</v>
      </c>
      <c r="H221" s="3">
        <v>1</v>
      </c>
      <c r="I221" s="3">
        <v>1</v>
      </c>
      <c r="J221" s="3">
        <v>0</v>
      </c>
      <c r="K221" s="3">
        <v>1</v>
      </c>
      <c r="L221" s="3">
        <v>0</v>
      </c>
      <c r="M221" s="3">
        <v>40000</v>
      </c>
      <c r="N221" s="3">
        <v>44000</v>
      </c>
      <c r="O221" s="3">
        <v>2</v>
      </c>
      <c r="P221" s="3">
        <v>4</v>
      </c>
      <c r="Q221" s="3">
        <v>1100</v>
      </c>
      <c r="R221" s="3">
        <v>200</v>
      </c>
      <c r="S221" s="3">
        <v>1000</v>
      </c>
      <c r="T221" s="3">
        <v>200</v>
      </c>
      <c r="U221" s="3">
        <v>800</v>
      </c>
      <c r="V221" s="3">
        <v>540</v>
      </c>
      <c r="W221" s="3">
        <v>600</v>
      </c>
      <c r="X221" s="3">
        <v>40</v>
      </c>
      <c r="Y221" s="3">
        <v>26</v>
      </c>
      <c r="Z221" s="3">
        <v>0</v>
      </c>
      <c r="AA221" s="3">
        <v>0</v>
      </c>
      <c r="AB221" s="3">
        <v>1</v>
      </c>
      <c r="AC221" s="3">
        <v>380</v>
      </c>
      <c r="AE221" s="4">
        <v>67.2</v>
      </c>
      <c r="AF221">
        <v>60.8</v>
      </c>
      <c r="AG221">
        <v>50</v>
      </c>
      <c r="AH221">
        <v>60</v>
      </c>
      <c r="AI221">
        <v>-25</v>
      </c>
      <c r="AJ221" t="s">
        <v>307</v>
      </c>
      <c r="AK221" t="s">
        <v>277</v>
      </c>
      <c r="AL221">
        <v>1</v>
      </c>
      <c r="AN221">
        <v>218</v>
      </c>
      <c r="AO221">
        <v>0</v>
      </c>
      <c r="AP221">
        <f t="shared" si="116"/>
        <v>8</v>
      </c>
      <c r="AR221">
        <v>1</v>
      </c>
      <c r="AS221">
        <v>0</v>
      </c>
      <c r="AT221">
        <v>1</v>
      </c>
      <c r="AU221">
        <v>0</v>
      </c>
      <c r="AW221">
        <v>0</v>
      </c>
      <c r="AY221" t="str">
        <f t="shared" si="117"/>
        <v>1</v>
      </c>
      <c r="BA221" s="13" t="str">
        <f t="shared" si="114"/>
        <v>('SIW500H ST040 M3', 1, 640, 530, 270, 43, 60, -25, 'CONVECÇÃO NATURAL', 'IP66', 'TRANSFORMERLESS', 40000, 44000, 380, 60.8, 67.2, 50, 4, 8, 1),</v>
      </c>
      <c r="BB221" t="str">
        <f t="shared" si="115"/>
        <v xml:space="preserve">(218, 0, 2, 1100, 200, 1000, 200, 800, 540, 600, 40, 26), </v>
      </c>
      <c r="BC221" t="str">
        <f t="shared" si="101"/>
        <v>(218, 'ON-GRID'),</v>
      </c>
      <c r="BD221" t="str">
        <f t="shared" si="102"/>
        <v/>
      </c>
      <c r="BE221" t="str">
        <f t="shared" si="103"/>
        <v>(218, 'GRIDZERO'),</v>
      </c>
      <c r="BF221" t="str">
        <f t="shared" si="104"/>
        <v/>
      </c>
      <c r="BG221" t="str">
        <f t="shared" si="105"/>
        <v>(218, 'WIFI'),</v>
      </c>
      <c r="BH221" t="str">
        <f t="shared" si="106"/>
        <v>(218, 'RS485'),</v>
      </c>
      <c r="BI221" t="str">
        <f t="shared" si="107"/>
        <v/>
      </c>
      <c r="BJ221" t="str">
        <f t="shared" si="108"/>
        <v>(218, 'LED'),</v>
      </c>
      <c r="BK221" t="str">
        <f t="shared" si="109"/>
        <v/>
      </c>
      <c r="BL221" t="str">
        <f t="shared" si="110"/>
        <v/>
      </c>
      <c r="BM221" t="str">
        <f t="shared" si="111"/>
        <v/>
      </c>
      <c r="BN221" t="str">
        <f t="shared" si="112"/>
        <v>(218, 'THREE_PHASE_FOUR_WIRE'),</v>
      </c>
      <c r="BO221" t="str">
        <f t="shared" si="113"/>
        <v/>
      </c>
    </row>
    <row r="222" spans="1:67">
      <c r="A222" s="2" t="s">
        <v>19</v>
      </c>
      <c r="B222" s="3" t="s">
        <v>212</v>
      </c>
      <c r="C222" s="3">
        <v>270</v>
      </c>
      <c r="D222" s="3">
        <v>640</v>
      </c>
      <c r="E222" s="3">
        <v>530</v>
      </c>
      <c r="F222" s="3">
        <v>43</v>
      </c>
      <c r="G222" s="3" t="s">
        <v>275</v>
      </c>
      <c r="H222" s="3">
        <v>1</v>
      </c>
      <c r="I222" s="3">
        <v>1</v>
      </c>
      <c r="J222" s="3">
        <v>0</v>
      </c>
      <c r="K222" s="3">
        <v>1</v>
      </c>
      <c r="L222" s="3">
        <v>0</v>
      </c>
      <c r="M222" s="3">
        <v>20000</v>
      </c>
      <c r="N222" s="3">
        <v>22000</v>
      </c>
      <c r="O222" s="3">
        <v>2</v>
      </c>
      <c r="P222" s="3">
        <v>4</v>
      </c>
      <c r="Q222" s="3">
        <v>800</v>
      </c>
      <c r="R222" s="3">
        <v>200</v>
      </c>
      <c r="S222" s="3">
        <v>750</v>
      </c>
      <c r="T222" s="3">
        <v>200</v>
      </c>
      <c r="U222" s="3">
        <v>550</v>
      </c>
      <c r="V222" s="3">
        <v>300</v>
      </c>
      <c r="W222" s="3">
        <v>350</v>
      </c>
      <c r="X222" s="3">
        <v>40</v>
      </c>
      <c r="Y222" s="3">
        <v>26</v>
      </c>
      <c r="Z222" s="3">
        <v>0</v>
      </c>
      <c r="AA222" s="3">
        <v>0</v>
      </c>
      <c r="AB222" s="3">
        <v>1</v>
      </c>
      <c r="AC222" s="3">
        <v>220</v>
      </c>
      <c r="AE222" s="4">
        <v>58</v>
      </c>
      <c r="AF222">
        <v>52.5</v>
      </c>
      <c r="AG222">
        <v>50</v>
      </c>
      <c r="AH222">
        <v>60</v>
      </c>
      <c r="AI222">
        <v>-25</v>
      </c>
      <c r="AJ222" t="s">
        <v>307</v>
      </c>
      <c r="AK222" t="s">
        <v>277</v>
      </c>
      <c r="AL222">
        <v>1</v>
      </c>
      <c r="AN222">
        <v>219</v>
      </c>
      <c r="AO222">
        <v>0</v>
      </c>
      <c r="AP222">
        <f t="shared" si="116"/>
        <v>8</v>
      </c>
      <c r="AR222">
        <v>1</v>
      </c>
      <c r="AS222">
        <v>0</v>
      </c>
      <c r="AT222">
        <v>1</v>
      </c>
      <c r="AU222">
        <v>0</v>
      </c>
      <c r="AW222">
        <v>0</v>
      </c>
      <c r="AY222" t="str">
        <f t="shared" si="117"/>
        <v>1</v>
      </c>
      <c r="BA222" s="13" t="str">
        <f t="shared" ref="BA222:BA227" si="118">_xlfn.CONCAT("('",A222,"', ",AY222,", ",SUBSTITUTE(D222,",","."),", ",SUBSTITUTE(E222,",","."),", ",SUBSTITUTE(C222,",","."),", ",SUBSTITUTE(F222,",","."),", ",AH222,", ",AI222,", '",G222,"', '",AJ222,"', '",AK222,"', ",M222,", ",N222,", ",AC222,", ",SUBSTITUTE(AF222,",","."),", ",SUBSTITUTE(AE222,",","."),", ",AG222,", ",P222,", ",AP222,", ",AL222,"),")</f>
        <v>('SIW500H SK020', 1, 640, 530, 270, 43, 60, -25, 'CONVECÇÃO NATURAL', 'IP66', 'TRANSFORMERLESS', 20000, 22000, 220, 52.5, 58, 50, 4, 8, 1),</v>
      </c>
      <c r="BB222" t="str">
        <f t="shared" ref="BB222:BB229" si="119">_xlfn.CONCAT("(",AN222,", 0, ",O222,", ",Q222,", ",R222,", ",S222,", ",T222,", ",U222,", ",V222,", ",W222,", ",SUBSTITUTE(X222,",","."),", ",SUBSTITUTE(Y222,",","."),"), ")</f>
        <v xml:space="preserve">(219, 0, 2, 800, 200, 750, 200, 550, 300, 350, 40, 26), </v>
      </c>
      <c r="BC222" t="str">
        <f t="shared" si="101"/>
        <v>(219, 'ON-GRID'),</v>
      </c>
      <c r="BD222" t="str">
        <f t="shared" si="102"/>
        <v/>
      </c>
      <c r="BE222" t="str">
        <f t="shared" si="103"/>
        <v>(219, 'GRIDZERO'),</v>
      </c>
      <c r="BF222" t="str">
        <f t="shared" si="104"/>
        <v/>
      </c>
      <c r="BG222" t="str">
        <f t="shared" si="105"/>
        <v>(219, 'WIFI'),</v>
      </c>
      <c r="BH222" t="str">
        <f t="shared" si="106"/>
        <v>(219, 'RS485'),</v>
      </c>
      <c r="BI222" t="str">
        <f t="shared" si="107"/>
        <v/>
      </c>
      <c r="BJ222" t="str">
        <f t="shared" si="108"/>
        <v>(219, 'LED'),</v>
      </c>
      <c r="BK222" t="str">
        <f t="shared" si="109"/>
        <v/>
      </c>
      <c r="BL222" t="str">
        <f t="shared" si="110"/>
        <v/>
      </c>
      <c r="BM222" t="str">
        <f t="shared" si="111"/>
        <v/>
      </c>
      <c r="BN222" t="str">
        <f t="shared" si="112"/>
        <v>(219, 'THREE_PHASE_FOUR_WIRE'),</v>
      </c>
      <c r="BO222" t="str">
        <f t="shared" si="113"/>
        <v/>
      </c>
    </row>
    <row r="223" spans="1:67">
      <c r="A223" s="2" t="s">
        <v>497</v>
      </c>
      <c r="B223" s="3" t="s">
        <v>212</v>
      </c>
      <c r="C223" s="3">
        <v>228</v>
      </c>
      <c r="D223" s="3">
        <v>460</v>
      </c>
      <c r="E223" s="3">
        <v>546</v>
      </c>
      <c r="F223" s="3">
        <v>21</v>
      </c>
      <c r="G223" s="3" t="s">
        <v>316</v>
      </c>
      <c r="H223" s="3">
        <v>1</v>
      </c>
      <c r="I223" s="3">
        <v>1</v>
      </c>
      <c r="J223" s="3">
        <v>0</v>
      </c>
      <c r="K223" s="3">
        <v>1</v>
      </c>
      <c r="L223" s="3">
        <v>0</v>
      </c>
      <c r="M223" s="3">
        <v>12000</v>
      </c>
      <c r="N223" s="3">
        <v>13200</v>
      </c>
      <c r="O223" s="3">
        <v>2</v>
      </c>
      <c r="P223" s="3">
        <v>4</v>
      </c>
      <c r="Q223" s="3">
        <v>1100</v>
      </c>
      <c r="R223" s="3">
        <v>200</v>
      </c>
      <c r="S223" s="3">
        <v>1000</v>
      </c>
      <c r="T223" s="3">
        <v>200</v>
      </c>
      <c r="U223" s="3">
        <v>800</v>
      </c>
      <c r="V223" s="3">
        <v>370</v>
      </c>
      <c r="W223" s="3">
        <v>600</v>
      </c>
      <c r="X223" s="3">
        <v>40</v>
      </c>
      <c r="Y223" s="3">
        <v>30</v>
      </c>
      <c r="Z223" s="3">
        <v>0</v>
      </c>
      <c r="AA223" s="3">
        <v>0</v>
      </c>
      <c r="AB223" s="3">
        <v>1</v>
      </c>
      <c r="AC223" s="3">
        <v>380</v>
      </c>
      <c r="AE223" s="4">
        <v>20.2</v>
      </c>
      <c r="AF223">
        <v>18.2</v>
      </c>
      <c r="AG223">
        <v>50</v>
      </c>
      <c r="AH223">
        <v>60</v>
      </c>
      <c r="AI223">
        <v>-25</v>
      </c>
      <c r="AJ223" t="s">
        <v>307</v>
      </c>
      <c r="AK223" t="s">
        <v>277</v>
      </c>
      <c r="AL223">
        <v>1</v>
      </c>
      <c r="AN223">
        <v>220</v>
      </c>
      <c r="AO223">
        <v>0</v>
      </c>
      <c r="AP223">
        <f t="shared" si="116"/>
        <v>8</v>
      </c>
      <c r="AR223">
        <v>1</v>
      </c>
      <c r="AS223">
        <v>0</v>
      </c>
      <c r="AT223">
        <v>0</v>
      </c>
      <c r="AU223">
        <v>1</v>
      </c>
      <c r="AW223">
        <v>1</v>
      </c>
      <c r="AY223" t="str">
        <f t="shared" si="117"/>
        <v>1</v>
      </c>
      <c r="BA223" s="13" t="str">
        <f t="shared" si="118"/>
        <v>('SIW500H T012 W00', 1, 460, 546, 228, 21, 60, -25, 'COOLER', 'IP66', 'TRANSFORMERLESS', 12000, 13200, 380, 18.2, 20.2, 50, 4, 8, 1),</v>
      </c>
      <c r="BB223" t="str">
        <f t="shared" si="119"/>
        <v xml:space="preserve">(220, 0, 2, 1100, 200, 1000, 200, 800, 370, 600, 40, 30), </v>
      </c>
      <c r="BC223" t="str">
        <f t="shared" si="101"/>
        <v>(220, 'ON-GRID'),</v>
      </c>
      <c r="BD223" t="str">
        <f t="shared" si="102"/>
        <v/>
      </c>
      <c r="BE223" t="str">
        <f t="shared" si="103"/>
        <v/>
      </c>
      <c r="BF223" t="str">
        <f t="shared" si="104"/>
        <v>(220, 'HYBRID'),</v>
      </c>
      <c r="BG223" t="str">
        <f t="shared" si="105"/>
        <v>(220, 'WIFI'),</v>
      </c>
      <c r="BH223" t="str">
        <f t="shared" si="106"/>
        <v>(220, 'RS485'),</v>
      </c>
      <c r="BI223" t="str">
        <f t="shared" si="107"/>
        <v/>
      </c>
      <c r="BJ223" t="str">
        <f t="shared" si="108"/>
        <v>(220, 'LED'),</v>
      </c>
      <c r="BK223" t="str">
        <f t="shared" si="109"/>
        <v/>
      </c>
      <c r="BL223" t="str">
        <f t="shared" si="110"/>
        <v/>
      </c>
      <c r="BM223" t="str">
        <f t="shared" si="111"/>
        <v/>
      </c>
      <c r="BN223" t="str">
        <f t="shared" si="112"/>
        <v>(220, 'THREE_PHASE_FOUR_WIRE'),</v>
      </c>
      <c r="BO223" t="str">
        <f t="shared" si="113"/>
        <v/>
      </c>
    </row>
    <row r="224" spans="1:67">
      <c r="A224" s="2" t="s">
        <v>498</v>
      </c>
      <c r="B224" s="3" t="s">
        <v>212</v>
      </c>
      <c r="C224" s="3">
        <v>228</v>
      </c>
      <c r="D224" s="3">
        <v>460</v>
      </c>
      <c r="E224" s="3">
        <v>546</v>
      </c>
      <c r="F224" s="3">
        <v>21</v>
      </c>
      <c r="G224" s="3" t="s">
        <v>316</v>
      </c>
      <c r="H224" s="3">
        <v>1</v>
      </c>
      <c r="I224" s="3">
        <v>1</v>
      </c>
      <c r="J224" s="3">
        <v>0</v>
      </c>
      <c r="K224" s="3">
        <v>1</v>
      </c>
      <c r="L224" s="3">
        <v>0</v>
      </c>
      <c r="M224" s="3">
        <v>15000</v>
      </c>
      <c r="N224" s="3">
        <v>16500</v>
      </c>
      <c r="O224" s="3">
        <v>2</v>
      </c>
      <c r="P224" s="3">
        <v>4</v>
      </c>
      <c r="Q224" s="3">
        <v>1100</v>
      </c>
      <c r="R224" s="3">
        <v>200</v>
      </c>
      <c r="S224" s="3">
        <v>1000</v>
      </c>
      <c r="T224" s="3">
        <v>200</v>
      </c>
      <c r="U224" s="3">
        <v>800</v>
      </c>
      <c r="V224" s="3">
        <v>410</v>
      </c>
      <c r="W224" s="3">
        <v>600</v>
      </c>
      <c r="X224" s="3">
        <v>40</v>
      </c>
      <c r="Y224" s="3">
        <v>30</v>
      </c>
      <c r="Z224" s="3">
        <v>0</v>
      </c>
      <c r="AA224" s="3">
        <v>0</v>
      </c>
      <c r="AB224" s="3">
        <v>1</v>
      </c>
      <c r="AC224" s="3">
        <v>380</v>
      </c>
      <c r="AE224" s="4">
        <v>25.2</v>
      </c>
      <c r="AF224">
        <v>22.8</v>
      </c>
      <c r="AG224">
        <v>50</v>
      </c>
      <c r="AH224">
        <v>60</v>
      </c>
      <c r="AI224">
        <v>-25</v>
      </c>
      <c r="AJ224" t="s">
        <v>307</v>
      </c>
      <c r="AK224" t="s">
        <v>277</v>
      </c>
      <c r="AL224">
        <v>1</v>
      </c>
      <c r="AN224">
        <v>221</v>
      </c>
      <c r="AO224">
        <v>0</v>
      </c>
      <c r="AP224">
        <f t="shared" si="116"/>
        <v>8</v>
      </c>
      <c r="AR224">
        <v>1</v>
      </c>
      <c r="AS224">
        <v>0</v>
      </c>
      <c r="AT224">
        <v>0</v>
      </c>
      <c r="AU224">
        <v>1</v>
      </c>
      <c r="AW224">
        <v>1</v>
      </c>
      <c r="AY224" t="str">
        <f t="shared" si="117"/>
        <v>1</v>
      </c>
      <c r="BA224" s="13" t="str">
        <f t="shared" si="118"/>
        <v>('SIW500H T015 W00', 1, 460, 546, 228, 21, 60, -25, 'COOLER', 'IP66', 'TRANSFORMERLESS', 15000, 16500, 380, 22.8, 25.2, 50, 4, 8, 1),</v>
      </c>
      <c r="BB224" t="str">
        <f t="shared" si="119"/>
        <v xml:space="preserve">(221, 0, 2, 1100, 200, 1000, 200, 800, 410, 600, 40, 30), </v>
      </c>
      <c r="BC224" t="str">
        <f t="shared" si="101"/>
        <v>(221, 'ON-GRID'),</v>
      </c>
      <c r="BD224" t="str">
        <f t="shared" si="102"/>
        <v/>
      </c>
      <c r="BE224" t="str">
        <f t="shared" si="103"/>
        <v/>
      </c>
      <c r="BF224" t="str">
        <f t="shared" si="104"/>
        <v>(221, 'HYBRID'),</v>
      </c>
      <c r="BG224" t="str">
        <f t="shared" si="105"/>
        <v>(221, 'WIFI'),</v>
      </c>
      <c r="BH224" t="str">
        <f t="shared" si="106"/>
        <v>(221, 'RS485'),</v>
      </c>
      <c r="BI224" t="str">
        <f t="shared" si="107"/>
        <v/>
      </c>
      <c r="BJ224" t="str">
        <f t="shared" si="108"/>
        <v>(221, 'LED'),</v>
      </c>
      <c r="BK224" t="str">
        <f t="shared" si="109"/>
        <v/>
      </c>
      <c r="BL224" t="str">
        <f t="shared" si="110"/>
        <v/>
      </c>
      <c r="BM224" t="str">
        <f t="shared" si="111"/>
        <v/>
      </c>
      <c r="BN224" t="str">
        <f t="shared" si="112"/>
        <v>(221, 'THREE_PHASE_FOUR_WIRE'),</v>
      </c>
      <c r="BO224" t="str">
        <f t="shared" si="113"/>
        <v/>
      </c>
    </row>
    <row r="225" spans="1:67">
      <c r="A225" s="2" t="s">
        <v>499</v>
      </c>
      <c r="B225" s="3" t="s">
        <v>212</v>
      </c>
      <c r="C225" s="3">
        <v>228</v>
      </c>
      <c r="D225" s="3">
        <v>460</v>
      </c>
      <c r="E225" s="3">
        <v>546</v>
      </c>
      <c r="F225" s="3">
        <v>21</v>
      </c>
      <c r="G225" s="3" t="s">
        <v>316</v>
      </c>
      <c r="H225" s="3">
        <v>1</v>
      </c>
      <c r="I225" s="3">
        <v>1</v>
      </c>
      <c r="J225" s="3">
        <v>0</v>
      </c>
      <c r="K225" s="3">
        <v>1</v>
      </c>
      <c r="L225" s="3">
        <v>0</v>
      </c>
      <c r="M225" s="3">
        <v>20000</v>
      </c>
      <c r="N225" s="3">
        <v>22000</v>
      </c>
      <c r="O225" s="3">
        <v>2</v>
      </c>
      <c r="P225" s="3">
        <v>4</v>
      </c>
      <c r="Q225" s="3">
        <v>1100</v>
      </c>
      <c r="R225" s="3">
        <v>200</v>
      </c>
      <c r="S225" s="3">
        <v>1000</v>
      </c>
      <c r="T225" s="3">
        <v>200</v>
      </c>
      <c r="U225" s="3">
        <v>800</v>
      </c>
      <c r="V225" s="3">
        <v>480</v>
      </c>
      <c r="W225" s="3">
        <v>600</v>
      </c>
      <c r="X225" s="3">
        <v>40</v>
      </c>
      <c r="Y225" s="3">
        <v>30</v>
      </c>
      <c r="Z225" s="3">
        <v>0</v>
      </c>
      <c r="AA225" s="3">
        <v>0</v>
      </c>
      <c r="AB225" s="3">
        <v>1</v>
      </c>
      <c r="AC225" s="3">
        <v>380</v>
      </c>
      <c r="AE225" s="4">
        <v>33.6</v>
      </c>
      <c r="AF225">
        <v>30.4</v>
      </c>
      <c r="AG225">
        <v>50</v>
      </c>
      <c r="AH225">
        <v>60</v>
      </c>
      <c r="AI225">
        <v>-25</v>
      </c>
      <c r="AJ225" t="s">
        <v>307</v>
      </c>
      <c r="AK225" t="s">
        <v>277</v>
      </c>
      <c r="AL225">
        <v>1</v>
      </c>
      <c r="AN225">
        <v>222</v>
      </c>
      <c r="AO225">
        <v>0</v>
      </c>
      <c r="AP225">
        <f t="shared" si="116"/>
        <v>8</v>
      </c>
      <c r="AR225">
        <v>1</v>
      </c>
      <c r="AS225">
        <v>0</v>
      </c>
      <c r="AT225">
        <v>0</v>
      </c>
      <c r="AU225">
        <v>1</v>
      </c>
      <c r="AW225">
        <v>1</v>
      </c>
      <c r="AY225" t="str">
        <f t="shared" si="117"/>
        <v>1</v>
      </c>
      <c r="BA225" s="13" t="str">
        <f t="shared" si="118"/>
        <v>('SIW500H T020 W00', 1, 460, 546, 228, 21, 60, -25, 'COOLER', 'IP66', 'TRANSFORMERLESS', 20000, 22000, 380, 30.4, 33.6, 50, 4, 8, 1),</v>
      </c>
      <c r="BB225" t="str">
        <f t="shared" si="119"/>
        <v xml:space="preserve">(222, 0, 2, 1100, 200, 1000, 200, 800, 480, 600, 40, 30), </v>
      </c>
      <c r="BC225" t="str">
        <f t="shared" si="101"/>
        <v>(222, 'ON-GRID'),</v>
      </c>
      <c r="BD225" t="str">
        <f t="shared" si="102"/>
        <v/>
      </c>
      <c r="BE225" t="str">
        <f t="shared" si="103"/>
        <v/>
      </c>
      <c r="BF225" t="str">
        <f t="shared" si="104"/>
        <v>(222, 'HYBRID'),</v>
      </c>
      <c r="BG225" t="str">
        <f t="shared" si="105"/>
        <v>(222, 'WIFI'),</v>
      </c>
      <c r="BH225" t="str">
        <f t="shared" si="106"/>
        <v>(222, 'RS485'),</v>
      </c>
      <c r="BI225" t="str">
        <f t="shared" si="107"/>
        <v/>
      </c>
      <c r="BJ225" t="str">
        <f t="shared" si="108"/>
        <v>(222, 'LED'),</v>
      </c>
      <c r="BK225" t="str">
        <f t="shared" si="109"/>
        <v/>
      </c>
      <c r="BL225" t="str">
        <f t="shared" si="110"/>
        <v/>
      </c>
      <c r="BM225" t="str">
        <f t="shared" si="111"/>
        <v/>
      </c>
      <c r="BN225" t="str">
        <f t="shared" si="112"/>
        <v>(222, 'THREE_PHASE_FOUR_WIRE'),</v>
      </c>
      <c r="BO225" t="str">
        <f t="shared" si="113"/>
        <v/>
      </c>
    </row>
    <row r="226" spans="1:67">
      <c r="A226" s="2" t="s">
        <v>16</v>
      </c>
      <c r="B226" s="3" t="s">
        <v>212</v>
      </c>
      <c r="C226" s="3">
        <v>228</v>
      </c>
      <c r="D226" s="3">
        <v>460</v>
      </c>
      <c r="E226" s="3">
        <v>546</v>
      </c>
      <c r="F226" s="3">
        <v>21</v>
      </c>
      <c r="G226" s="3" t="s">
        <v>316</v>
      </c>
      <c r="H226" s="3">
        <v>1</v>
      </c>
      <c r="I226" s="3">
        <v>1</v>
      </c>
      <c r="J226" s="3">
        <v>0</v>
      </c>
      <c r="K226" s="3">
        <v>1</v>
      </c>
      <c r="L226" s="3">
        <v>0</v>
      </c>
      <c r="M226" s="3">
        <v>25000</v>
      </c>
      <c r="N226" s="3">
        <v>27500</v>
      </c>
      <c r="O226" s="3">
        <v>2</v>
      </c>
      <c r="P226" s="3">
        <v>4</v>
      </c>
      <c r="Q226" s="3">
        <v>1100</v>
      </c>
      <c r="R226" s="3">
        <v>200</v>
      </c>
      <c r="S226" s="3">
        <v>1000</v>
      </c>
      <c r="T226" s="3">
        <v>200</v>
      </c>
      <c r="U226" s="3">
        <v>800</v>
      </c>
      <c r="V226" s="3">
        <v>530</v>
      </c>
      <c r="W226" s="3">
        <v>600</v>
      </c>
      <c r="X226" s="3">
        <v>40</v>
      </c>
      <c r="Y226" s="3">
        <v>30</v>
      </c>
      <c r="Z226" s="3">
        <v>0</v>
      </c>
      <c r="AA226" s="3">
        <v>0</v>
      </c>
      <c r="AB226" s="3">
        <v>1</v>
      </c>
      <c r="AC226" s="3">
        <v>380</v>
      </c>
      <c r="AE226" s="4">
        <v>42</v>
      </c>
      <c r="AF226">
        <v>38</v>
      </c>
      <c r="AG226">
        <v>50</v>
      </c>
      <c r="AH226">
        <v>60</v>
      </c>
      <c r="AI226">
        <v>-25</v>
      </c>
      <c r="AJ226" t="s">
        <v>307</v>
      </c>
      <c r="AK226" t="s">
        <v>277</v>
      </c>
      <c r="AL226">
        <v>1</v>
      </c>
      <c r="AN226">
        <v>223</v>
      </c>
      <c r="AO226">
        <v>0</v>
      </c>
      <c r="AP226">
        <f t="shared" si="116"/>
        <v>8</v>
      </c>
      <c r="AR226">
        <v>1</v>
      </c>
      <c r="AS226">
        <v>0</v>
      </c>
      <c r="AT226">
        <v>0</v>
      </c>
      <c r="AU226">
        <v>1</v>
      </c>
      <c r="AW226">
        <v>1</v>
      </c>
      <c r="AY226" t="str">
        <f t="shared" si="117"/>
        <v>1</v>
      </c>
      <c r="BA226" s="13" t="str">
        <f t="shared" si="118"/>
        <v>('SIW500H T025 W00', 1, 460, 546, 228, 21, 60, -25, 'COOLER', 'IP66', 'TRANSFORMERLESS', 25000, 27500, 380, 38, 42, 50, 4, 8, 1),</v>
      </c>
      <c r="BB226" t="str">
        <f t="shared" si="119"/>
        <v xml:space="preserve">(223, 0, 2, 1100, 200, 1000, 200, 800, 530, 600, 40, 30), </v>
      </c>
      <c r="BC226" t="str">
        <f t="shared" si="101"/>
        <v>(223, 'ON-GRID'),</v>
      </c>
      <c r="BD226" t="str">
        <f t="shared" si="102"/>
        <v/>
      </c>
      <c r="BE226" t="str">
        <f t="shared" si="103"/>
        <v/>
      </c>
      <c r="BF226" t="str">
        <f t="shared" si="104"/>
        <v>(223, 'HYBRID'),</v>
      </c>
      <c r="BG226" t="str">
        <f t="shared" si="105"/>
        <v>(223, 'WIFI'),</v>
      </c>
      <c r="BH226" t="str">
        <f t="shared" si="106"/>
        <v>(223, 'RS485'),</v>
      </c>
      <c r="BI226" t="str">
        <f t="shared" si="107"/>
        <v/>
      </c>
      <c r="BJ226" t="str">
        <f t="shared" si="108"/>
        <v>(223, 'LED'),</v>
      </c>
      <c r="BK226" t="str">
        <f t="shared" si="109"/>
        <v/>
      </c>
      <c r="BL226" t="str">
        <f t="shared" si="110"/>
        <v/>
      </c>
      <c r="BM226" t="str">
        <f t="shared" si="111"/>
        <v/>
      </c>
      <c r="BN226" t="str">
        <f t="shared" si="112"/>
        <v>(223, 'THREE_PHASE_FOUR_WIRE'),</v>
      </c>
      <c r="BO226" t="str">
        <f t="shared" si="113"/>
        <v/>
      </c>
    </row>
    <row r="227" spans="1:67">
      <c r="A227" s="2" t="s">
        <v>500</v>
      </c>
      <c r="B227" s="3" t="s">
        <v>212</v>
      </c>
      <c r="C227" s="3">
        <v>270</v>
      </c>
      <c r="D227" s="3">
        <v>930</v>
      </c>
      <c r="E227" s="3">
        <v>600</v>
      </c>
      <c r="F227" s="3">
        <v>62</v>
      </c>
      <c r="G227" s="3" t="s">
        <v>275</v>
      </c>
      <c r="H227" s="3">
        <v>1</v>
      </c>
      <c r="I227" s="3">
        <v>1</v>
      </c>
      <c r="J227" s="3">
        <v>0</v>
      </c>
      <c r="K227" s="3">
        <v>1</v>
      </c>
      <c r="L227" s="3">
        <v>1</v>
      </c>
      <c r="M227" s="3">
        <v>60000</v>
      </c>
      <c r="N227" s="3">
        <v>66000</v>
      </c>
      <c r="O227" s="3">
        <v>2</v>
      </c>
      <c r="P227" s="3">
        <v>4</v>
      </c>
      <c r="Q227" s="3">
        <v>1500</v>
      </c>
      <c r="R227" s="3">
        <v>650</v>
      </c>
      <c r="S227" s="3">
        <v>1450</v>
      </c>
      <c r="T227" s="3">
        <v>600</v>
      </c>
      <c r="U227" s="3">
        <v>1300</v>
      </c>
      <c r="V227" s="3">
        <v>880</v>
      </c>
      <c r="W227" s="3">
        <v>1080</v>
      </c>
      <c r="X227" s="3">
        <v>30</v>
      </c>
      <c r="Y227" s="3">
        <v>22</v>
      </c>
      <c r="Z227" s="3">
        <v>0</v>
      </c>
      <c r="AA227" s="3">
        <v>1</v>
      </c>
      <c r="AB227" s="3">
        <v>0</v>
      </c>
      <c r="AC227" s="3">
        <v>800</v>
      </c>
      <c r="AE227" s="4">
        <v>48</v>
      </c>
      <c r="AF227">
        <v>43.3</v>
      </c>
      <c r="AG227">
        <v>50</v>
      </c>
      <c r="AH227">
        <v>60</v>
      </c>
      <c r="AI227">
        <v>-25</v>
      </c>
      <c r="AJ227" t="s">
        <v>276</v>
      </c>
      <c r="AK227" t="s">
        <v>277</v>
      </c>
      <c r="AL227">
        <v>0</v>
      </c>
      <c r="AN227">
        <v>224</v>
      </c>
      <c r="AO227">
        <v>0</v>
      </c>
      <c r="AP227">
        <f t="shared" si="116"/>
        <v>8</v>
      </c>
      <c r="AR227">
        <v>1</v>
      </c>
      <c r="AS227">
        <v>0</v>
      </c>
      <c r="AT227">
        <v>1</v>
      </c>
      <c r="AU227">
        <v>0</v>
      </c>
      <c r="AW227">
        <v>0</v>
      </c>
      <c r="AY227" t="str">
        <f t="shared" si="117"/>
        <v>1</v>
      </c>
      <c r="BA227" s="13" t="str">
        <f t="shared" si="118"/>
        <v>('SIW500H ST060 HV', 1, 930, 600, 270, 62, 60, -25, 'CONVECÇÃO NATURAL', 'IP65', 'TRANSFORMERLESS', 60000, 66000, 800, 43.3, 48, 50, 4, 8, 0),</v>
      </c>
      <c r="BB227" t="str">
        <f t="shared" si="119"/>
        <v xml:space="preserve">(224, 0, 2, 1500, 650, 1450, 600, 1300, 880, 1080, 30, 22), </v>
      </c>
      <c r="BC227" t="str">
        <f t="shared" si="101"/>
        <v>(224, 'ON-GRID'),</v>
      </c>
      <c r="BD227" t="str">
        <f t="shared" si="102"/>
        <v/>
      </c>
      <c r="BE227" t="str">
        <f t="shared" si="103"/>
        <v>(224, 'GRIDZERO'),</v>
      </c>
      <c r="BF227" t="str">
        <f t="shared" si="104"/>
        <v/>
      </c>
      <c r="BG227" t="str">
        <f t="shared" si="105"/>
        <v>(224, 'WIFI'),</v>
      </c>
      <c r="BH227" t="str">
        <f t="shared" si="106"/>
        <v>(224, 'RS485'),</v>
      </c>
      <c r="BI227" t="str">
        <f t="shared" si="107"/>
        <v/>
      </c>
      <c r="BJ227" t="str">
        <f t="shared" si="108"/>
        <v>(224, 'LED'),</v>
      </c>
      <c r="BK227" t="str">
        <f t="shared" si="109"/>
        <v>(224, 'USB'),</v>
      </c>
      <c r="BL227" t="str">
        <f t="shared" si="110"/>
        <v/>
      </c>
      <c r="BM227" t="str">
        <f t="shared" si="111"/>
        <v>(224, 'THREE_PHASE_THREE_WIRE'),</v>
      </c>
      <c r="BN227" t="str">
        <f t="shared" si="112"/>
        <v/>
      </c>
      <c r="BO227" t="str">
        <f t="shared" si="113"/>
        <v/>
      </c>
    </row>
    <row r="228" spans="1:67">
      <c r="A228" s="2" t="s">
        <v>501</v>
      </c>
      <c r="B228" s="3" t="s">
        <v>212</v>
      </c>
      <c r="C228" s="3">
        <v>310</v>
      </c>
      <c r="D228" s="3">
        <v>1075</v>
      </c>
      <c r="E228" s="3">
        <v>605</v>
      </c>
      <c r="F228" s="3">
        <v>76</v>
      </c>
      <c r="G228" s="3" t="s">
        <v>275</v>
      </c>
      <c r="H228" s="3">
        <v>1</v>
      </c>
      <c r="I228" s="3">
        <v>1</v>
      </c>
      <c r="J228" s="3">
        <v>0</v>
      </c>
      <c r="K228" s="3">
        <v>1</v>
      </c>
      <c r="L228" s="3">
        <v>1</v>
      </c>
      <c r="M228" s="3">
        <v>100000</v>
      </c>
      <c r="N228" s="3">
        <v>105000</v>
      </c>
      <c r="O228" s="3">
        <v>2</v>
      </c>
      <c r="P228" s="3">
        <v>6</v>
      </c>
      <c r="Q228" s="3">
        <v>1500</v>
      </c>
      <c r="R228" s="3">
        <v>650</v>
      </c>
      <c r="S228" s="3">
        <v>1450</v>
      </c>
      <c r="T228" s="3">
        <v>650</v>
      </c>
      <c r="U228" s="3">
        <v>1300</v>
      </c>
      <c r="V228" s="3">
        <v>880</v>
      </c>
      <c r="W228" s="3">
        <v>1080</v>
      </c>
      <c r="X228" s="3">
        <v>33</v>
      </c>
      <c r="Y228" s="3">
        <v>22</v>
      </c>
      <c r="Z228" s="3">
        <v>0</v>
      </c>
      <c r="AA228" s="3">
        <v>1</v>
      </c>
      <c r="AB228" s="3">
        <v>0</v>
      </c>
      <c r="AC228" s="3">
        <v>800</v>
      </c>
      <c r="AE228" s="4">
        <v>80.2</v>
      </c>
      <c r="AF228">
        <v>72.2</v>
      </c>
      <c r="AG228">
        <v>50</v>
      </c>
      <c r="AH228">
        <v>60</v>
      </c>
      <c r="AI228">
        <v>-25</v>
      </c>
      <c r="AJ228" t="s">
        <v>307</v>
      </c>
      <c r="AK228" t="s">
        <v>277</v>
      </c>
      <c r="AL228">
        <v>1</v>
      </c>
      <c r="AN228">
        <v>225</v>
      </c>
      <c r="AO228">
        <v>0</v>
      </c>
      <c r="AP228">
        <f t="shared" ref="AP228:AP229" si="120">O228*P228</f>
        <v>12</v>
      </c>
      <c r="AR228">
        <v>1</v>
      </c>
      <c r="AS228">
        <v>0</v>
      </c>
      <c r="AT228">
        <v>1</v>
      </c>
      <c r="AU228">
        <v>0</v>
      </c>
      <c r="AW228">
        <v>0</v>
      </c>
      <c r="AY228" t="str">
        <f t="shared" ref="AY228:AY230" si="121">IF(B228="WEG","1",IF(B228="HUAWEI","2",IF(B228="FOX ESS","3",IF(B228="GOODWE","4",IF(B228="PHB","5",IF(B228="ASTRONERGY","6",IF(B228="BYD","7",IF(B228="HUASUN","8",IF(B228="JA SOLAR","9",IF(B228="JINKO","10",IF(B228="LONGI","11",IF(B228="RISEN","12",IF(B228="SUNOVA","13",IF(B228="TALESUN","14",IF(B228="TRINA SOLAR","15","NÃO CADASTRADO")))))))))))))))</f>
        <v>1</v>
      </c>
      <c r="BA228" s="13" t="str">
        <f t="shared" ref="BA228:BA230" si="122">_xlfn.CONCAT("('",A228,"', ",AY228,", ",SUBSTITUTE(D228,",","."),", ",SUBSTITUTE(E228,",","."),", ",SUBSTITUTE(C228,",","."),", ",SUBSTITUTE(F228,",","."),", ",AH228,", ",AI228,", '",G228,"', '",AJ228,"', '",AK228,"', ",M228,", ",N228,", ",AC228,", ",SUBSTITUTE(AF228,",","."),", ",SUBSTITUTE(AE228,",","."),", ",AG228,", ",P228,", ",AP228,", ",AL228,"),")</f>
        <v>('SIW500H ST100 HV', 1, 1075, 605, 310, 76, 60, -25, 'CONVECÇÃO NATURAL', 'IP66', 'TRANSFORMERLESS', 100000, 105000, 800, 72.2, 80.2, 50, 6, 12, 1),</v>
      </c>
      <c r="BB228" t="str">
        <f t="shared" si="119"/>
        <v xml:space="preserve">(225, 0, 2, 1500, 650, 1450, 650, 1300, 880, 1080, 33, 22), </v>
      </c>
      <c r="BC228" t="str">
        <f t="shared" si="101"/>
        <v>(225, 'ON-GRID'),</v>
      </c>
      <c r="BD228" t="str">
        <f t="shared" si="102"/>
        <v/>
      </c>
      <c r="BE228" t="str">
        <f t="shared" si="103"/>
        <v>(225, 'GRIDZERO'),</v>
      </c>
      <c r="BF228" t="str">
        <f t="shared" si="104"/>
        <v/>
      </c>
      <c r="BG228" t="str">
        <f t="shared" si="105"/>
        <v>(225, 'WIFI'),</v>
      </c>
      <c r="BH228" t="str">
        <f t="shared" si="106"/>
        <v>(225, 'RS485'),</v>
      </c>
      <c r="BI228" t="str">
        <f t="shared" si="107"/>
        <v/>
      </c>
      <c r="BJ228" t="str">
        <f t="shared" si="108"/>
        <v>(225, 'LED'),</v>
      </c>
      <c r="BK228" t="str">
        <f t="shared" si="109"/>
        <v>(225, 'USB'),</v>
      </c>
      <c r="BL228" t="str">
        <f t="shared" si="110"/>
        <v/>
      </c>
      <c r="BM228" t="str">
        <f t="shared" si="111"/>
        <v>(225, 'THREE_PHASE_THREE_WIRE'),</v>
      </c>
      <c r="BN228" t="str">
        <f t="shared" si="112"/>
        <v/>
      </c>
      <c r="BO228" t="str">
        <f t="shared" si="113"/>
        <v/>
      </c>
    </row>
    <row r="229" spans="1:67">
      <c r="A229" s="2" t="s">
        <v>502</v>
      </c>
      <c r="B229" s="3" t="s">
        <v>212</v>
      </c>
      <c r="C229" s="3">
        <v>365</v>
      </c>
      <c r="D229" s="3">
        <v>1035</v>
      </c>
      <c r="E229" s="3">
        <v>700</v>
      </c>
      <c r="F229" s="3">
        <v>86</v>
      </c>
      <c r="G229" s="3" t="s">
        <v>316</v>
      </c>
      <c r="H229" s="3">
        <v>1</v>
      </c>
      <c r="I229" s="3">
        <v>1</v>
      </c>
      <c r="J229" s="3">
        <v>0</v>
      </c>
      <c r="K229" s="3">
        <v>1</v>
      </c>
      <c r="L229" s="3">
        <v>1</v>
      </c>
      <c r="M229" s="3">
        <v>200000</v>
      </c>
      <c r="N229" s="3">
        <v>215000</v>
      </c>
      <c r="O229" s="3">
        <v>2</v>
      </c>
      <c r="P229" s="3">
        <v>9</v>
      </c>
      <c r="Q229" s="3">
        <v>1500</v>
      </c>
      <c r="R229" s="3">
        <v>550</v>
      </c>
      <c r="S229" s="3">
        <v>1500</v>
      </c>
      <c r="T229" s="3">
        <v>500</v>
      </c>
      <c r="U229" s="3">
        <v>1500</v>
      </c>
      <c r="V229" s="3">
        <v>500</v>
      </c>
      <c r="W229" s="3">
        <v>1080</v>
      </c>
      <c r="X229" s="3">
        <v>50</v>
      </c>
      <c r="Y229" s="3">
        <v>30</v>
      </c>
      <c r="Z229" s="3">
        <v>0</v>
      </c>
      <c r="AA229" s="3">
        <v>1</v>
      </c>
      <c r="AB229" s="3">
        <v>0</v>
      </c>
      <c r="AC229" s="3">
        <v>800</v>
      </c>
      <c r="AE229" s="4">
        <v>155.19999999999999</v>
      </c>
      <c r="AF229">
        <v>144.4</v>
      </c>
      <c r="AG229">
        <v>50</v>
      </c>
      <c r="AH229">
        <v>60</v>
      </c>
      <c r="AI229">
        <v>-25</v>
      </c>
      <c r="AJ229" t="s">
        <v>307</v>
      </c>
      <c r="AK229" t="s">
        <v>277</v>
      </c>
      <c r="AL229">
        <v>1</v>
      </c>
      <c r="AN229">
        <v>226</v>
      </c>
      <c r="AO229">
        <v>0</v>
      </c>
      <c r="AP229">
        <f t="shared" si="120"/>
        <v>18</v>
      </c>
      <c r="AR229">
        <v>1</v>
      </c>
      <c r="AS229">
        <v>0</v>
      </c>
      <c r="AT229">
        <v>1</v>
      </c>
      <c r="AU229">
        <v>0</v>
      </c>
      <c r="AW229">
        <v>0</v>
      </c>
      <c r="AY229" t="str">
        <f t="shared" si="121"/>
        <v>1</v>
      </c>
      <c r="BA229" s="13" t="str">
        <f t="shared" si="122"/>
        <v>('SIW500H ST200 H0', 1, 1035, 700, 365, 86, 60, -25, 'COOLER', 'IP66', 'TRANSFORMERLESS', 200000, 215000, 800, 144.4, 155.2, 50, 9, 18, 1),</v>
      </c>
      <c r="BB229" t="str">
        <f t="shared" si="119"/>
        <v xml:space="preserve">(226, 0, 2, 1500, 550, 1500, 500, 1500, 500, 1080, 50, 30), </v>
      </c>
      <c r="BC229" t="str">
        <f t="shared" si="101"/>
        <v>(226, 'ON-GRID'),</v>
      </c>
      <c r="BD229" t="str">
        <f t="shared" si="102"/>
        <v/>
      </c>
      <c r="BE229" t="str">
        <f t="shared" si="103"/>
        <v>(226, 'GRIDZERO'),</v>
      </c>
      <c r="BF229" t="str">
        <f t="shared" si="104"/>
        <v/>
      </c>
      <c r="BG229" t="str">
        <f t="shared" si="105"/>
        <v>(226, 'WIFI'),</v>
      </c>
      <c r="BH229" t="str">
        <f t="shared" si="106"/>
        <v>(226, 'RS485'),</v>
      </c>
      <c r="BI229" t="str">
        <f t="shared" si="107"/>
        <v/>
      </c>
      <c r="BJ229" t="str">
        <f t="shared" si="108"/>
        <v>(226, 'LED'),</v>
      </c>
      <c r="BK229" t="str">
        <f t="shared" si="109"/>
        <v>(226, 'USB'),</v>
      </c>
      <c r="BL229" t="str">
        <f t="shared" si="110"/>
        <v/>
      </c>
      <c r="BM229" t="str">
        <f t="shared" si="111"/>
        <v>(226, 'THREE_PHASE_THREE_WIRE'),</v>
      </c>
      <c r="BN229" t="str">
        <f t="shared" si="112"/>
        <v/>
      </c>
      <c r="BO229" t="str">
        <f t="shared" si="113"/>
        <v/>
      </c>
    </row>
    <row r="230" spans="1:67">
      <c r="A230" s="2" t="s">
        <v>503</v>
      </c>
      <c r="B230" s="3" t="s">
        <v>212</v>
      </c>
      <c r="C230" s="3">
        <v>365</v>
      </c>
      <c r="D230" s="3">
        <v>1035</v>
      </c>
      <c r="E230" s="3">
        <v>700</v>
      </c>
      <c r="F230" s="3">
        <v>86</v>
      </c>
      <c r="G230" s="3" t="s">
        <v>316</v>
      </c>
      <c r="H230" s="3">
        <v>1</v>
      </c>
      <c r="I230" s="3">
        <v>1</v>
      </c>
      <c r="J230" s="3">
        <v>0</v>
      </c>
      <c r="K230" s="3">
        <v>1</v>
      </c>
      <c r="L230" s="3">
        <v>1</v>
      </c>
      <c r="M230" s="3">
        <v>250000</v>
      </c>
      <c r="N230" s="3">
        <v>215000</v>
      </c>
      <c r="O230" s="3">
        <v>4</v>
      </c>
      <c r="P230" s="3">
        <v>1</v>
      </c>
      <c r="Q230" s="3">
        <v>1500</v>
      </c>
      <c r="R230" s="3">
        <v>550</v>
      </c>
      <c r="S230" s="3">
        <v>1500</v>
      </c>
      <c r="T230" s="3">
        <v>500</v>
      </c>
      <c r="U230" s="3">
        <v>1500</v>
      </c>
      <c r="V230" s="3">
        <v>500</v>
      </c>
      <c r="W230" s="3">
        <v>1080</v>
      </c>
      <c r="X230" s="3">
        <f>32.5*4</f>
        <v>130</v>
      </c>
      <c r="Y230" s="3">
        <v>100</v>
      </c>
      <c r="Z230" s="3">
        <v>0</v>
      </c>
      <c r="AA230" s="3">
        <v>1</v>
      </c>
      <c r="AB230" s="3">
        <v>0</v>
      </c>
      <c r="AC230" s="3">
        <v>800</v>
      </c>
      <c r="AE230" s="4">
        <v>155.19999999999999</v>
      </c>
      <c r="AF230">
        <v>133.5</v>
      </c>
      <c r="AG230">
        <v>50</v>
      </c>
      <c r="AH230">
        <v>60</v>
      </c>
      <c r="AI230">
        <v>-25</v>
      </c>
      <c r="AJ230" t="s">
        <v>307</v>
      </c>
      <c r="AK230" t="s">
        <v>277</v>
      </c>
      <c r="AL230">
        <v>1</v>
      </c>
      <c r="AN230">
        <v>227</v>
      </c>
      <c r="AO230">
        <v>2</v>
      </c>
      <c r="AP230">
        <v>14</v>
      </c>
      <c r="AR230">
        <v>1</v>
      </c>
      <c r="AS230">
        <v>0</v>
      </c>
      <c r="AT230">
        <v>1</v>
      </c>
      <c r="AU230">
        <v>0</v>
      </c>
      <c r="AW230">
        <v>0</v>
      </c>
      <c r="AY230" t="str">
        <f t="shared" si="121"/>
        <v>1</v>
      </c>
      <c r="BA230" s="13" t="str">
        <f t="shared" si="122"/>
        <v>('SIW500H ST200 H3', 1, 1035, 700, 365, 86, 60, -25, 'COOLER', 'IP66', 'TRANSFORMERLESS', 250000, 215000, 800, 133.5, 155.2, 50, 1, 14, 1),</v>
      </c>
      <c r="BB230" t="str">
        <f t="shared" ref="BB230:BB231" si="123">_xlfn.CONCAT("(",AN230,", ",AO230,", ",O230,", ",Q230,", ",R230,", ",S230,", ",T230,", ",U230,", ",V230,", ",W230,", ",SUBSTITUTE(X230,",","."),", ",SUBSTITUTE(Y230,",","."),"), ")</f>
        <v xml:space="preserve">(227, 2, 4, 1500, 550, 1500, 500, 1500, 500, 1080, 130, 100), </v>
      </c>
      <c r="BC230" t="str">
        <f t="shared" si="101"/>
        <v>(227, 'ON-GRID'),</v>
      </c>
      <c r="BD230" t="str">
        <f t="shared" si="102"/>
        <v/>
      </c>
      <c r="BE230" t="str">
        <f t="shared" si="103"/>
        <v>(227, 'GRIDZERO'),</v>
      </c>
      <c r="BF230" t="str">
        <f t="shared" si="104"/>
        <v/>
      </c>
      <c r="BG230" t="str">
        <f t="shared" si="105"/>
        <v>(227, 'WIFI'),</v>
      </c>
      <c r="BH230" t="str">
        <f t="shared" si="106"/>
        <v>(227, 'RS485'),</v>
      </c>
      <c r="BI230" t="str">
        <f t="shared" si="107"/>
        <v/>
      </c>
      <c r="BJ230" t="str">
        <f t="shared" si="108"/>
        <v>(227, 'LED'),</v>
      </c>
      <c r="BK230" t="str">
        <f t="shared" si="109"/>
        <v>(227, 'USB'),</v>
      </c>
      <c r="BL230" t="str">
        <f t="shared" si="110"/>
        <v/>
      </c>
      <c r="BM230" t="str">
        <f t="shared" si="111"/>
        <v>(227, 'THREE_PHASE_THREE_WIRE'),</v>
      </c>
      <c r="BN230" t="str">
        <f t="shared" si="112"/>
        <v/>
      </c>
      <c r="BO230" t="str">
        <f t="shared" si="113"/>
        <v/>
      </c>
    </row>
    <row r="231" spans="1:67">
      <c r="O231" s="3">
        <v>5</v>
      </c>
      <c r="P231" s="3">
        <v>2</v>
      </c>
      <c r="Q231" s="3">
        <v>1500</v>
      </c>
      <c r="R231" s="3">
        <v>550</v>
      </c>
      <c r="S231" s="3">
        <v>1500</v>
      </c>
      <c r="T231" s="3">
        <v>500</v>
      </c>
      <c r="U231" s="3">
        <v>-1</v>
      </c>
      <c r="V231" s="3">
        <v>-1</v>
      </c>
      <c r="W231" s="3">
        <v>1080</v>
      </c>
      <c r="X231" s="3">
        <f>32.5*5</f>
        <v>162.5</v>
      </c>
      <c r="Y231" s="3">
        <v>100</v>
      </c>
      <c r="AN231">
        <v>227</v>
      </c>
      <c r="AO231">
        <v>15</v>
      </c>
      <c r="BA231" s="13"/>
      <c r="BB231" t="str">
        <f t="shared" si="123"/>
        <v xml:space="preserve">(227, 15, 5, 1500, 550, 1500, 500, -1, -1, 1080, 162.5, 100), </v>
      </c>
      <c r="BC231" t="str">
        <f t="shared" si="101"/>
        <v/>
      </c>
      <c r="BD231" t="str">
        <f t="shared" si="102"/>
        <v/>
      </c>
      <c r="BE231" t="str">
        <f t="shared" si="103"/>
        <v/>
      </c>
      <c r="BF231" t="str">
        <f t="shared" si="104"/>
        <v/>
      </c>
      <c r="BG231" t="str">
        <f t="shared" si="105"/>
        <v/>
      </c>
      <c r="BH231" t="str">
        <f t="shared" si="106"/>
        <v/>
      </c>
      <c r="BI231" t="str">
        <f t="shared" si="107"/>
        <v/>
      </c>
      <c r="BJ231" t="str">
        <f t="shared" si="108"/>
        <v/>
      </c>
      <c r="BK231" t="str">
        <f t="shared" si="109"/>
        <v/>
      </c>
      <c r="BL231" t="str">
        <f t="shared" si="110"/>
        <v/>
      </c>
      <c r="BM231" t="str">
        <f t="shared" si="111"/>
        <v/>
      </c>
      <c r="BN231" t="str">
        <f t="shared" si="112"/>
        <v/>
      </c>
      <c r="BO231" t="str">
        <f t="shared" si="113"/>
        <v/>
      </c>
    </row>
    <row r="232" spans="1:67">
      <c r="A232" s="2" t="s">
        <v>504</v>
      </c>
      <c r="B232" s="3" t="s">
        <v>212</v>
      </c>
      <c r="C232" s="3">
        <v>318</v>
      </c>
      <c r="D232" s="3">
        <v>583</v>
      </c>
      <c r="E232" s="3">
        <v>620</v>
      </c>
      <c r="F232" s="3">
        <v>50</v>
      </c>
      <c r="G232" s="3" t="s">
        <v>275</v>
      </c>
      <c r="H232" s="3">
        <v>0</v>
      </c>
      <c r="I232" s="3">
        <v>1</v>
      </c>
      <c r="J232" s="3">
        <v>1</v>
      </c>
      <c r="K232" s="3">
        <v>1</v>
      </c>
      <c r="L232" s="3">
        <v>0</v>
      </c>
      <c r="M232" s="3">
        <v>20000</v>
      </c>
      <c r="N232" s="3">
        <v>20000</v>
      </c>
      <c r="O232" s="3">
        <v>2</v>
      </c>
      <c r="P232" s="3">
        <v>2</v>
      </c>
      <c r="Q232" s="3">
        <v>1000</v>
      </c>
      <c r="R232" s="3">
        <v>450</v>
      </c>
      <c r="S232" s="3">
        <v>1000</v>
      </c>
      <c r="T232" s="3">
        <v>480</v>
      </c>
      <c r="U232" s="3">
        <v>800</v>
      </c>
      <c r="V232" s="3">
        <v>480</v>
      </c>
      <c r="W232" s="3">
        <v>670</v>
      </c>
      <c r="X232" s="3">
        <v>22</v>
      </c>
      <c r="Y232" s="3">
        <v>22</v>
      </c>
      <c r="Z232" s="3">
        <v>0</v>
      </c>
      <c r="AA232" s="3">
        <v>0</v>
      </c>
      <c r="AB232" s="3">
        <v>1</v>
      </c>
      <c r="AC232" s="3">
        <v>380</v>
      </c>
      <c r="AE232" s="4">
        <v>33.4</v>
      </c>
      <c r="AF232">
        <v>30.4</v>
      </c>
      <c r="AG232">
        <v>0</v>
      </c>
      <c r="AH232">
        <v>60</v>
      </c>
      <c r="AI232">
        <v>-10</v>
      </c>
      <c r="AJ232" t="s">
        <v>307</v>
      </c>
      <c r="AK232" t="s">
        <v>277</v>
      </c>
      <c r="AL232">
        <v>1</v>
      </c>
      <c r="AN232">
        <v>228</v>
      </c>
      <c r="AO232">
        <v>0</v>
      </c>
      <c r="AP232">
        <f>O232*P232</f>
        <v>4</v>
      </c>
      <c r="AR232">
        <v>1</v>
      </c>
      <c r="AS232">
        <v>0</v>
      </c>
      <c r="AT232">
        <v>0</v>
      </c>
      <c r="AU232">
        <v>0</v>
      </c>
      <c r="AW232">
        <v>0</v>
      </c>
      <c r="AY232" t="str">
        <f>IF(B232="WEG","1",IF(B232="HUAWEI","2",IF(B232="FOX ESS","3",IF(B232="GOODWE","4",IF(B232="PHB","5",IF(B232="ASTRONERGY","6",IF(B232="BYD","7",IF(B232="HUASUN","8",IF(B232="JA SOLAR","9",IF(B232="JINKO","10",IF(B232="LONGI","11",IF(B232="RISEN","12",IF(B232="SUNOVA","13",IF(B232="TALESUN","14",IF(B232="TRINA SOLAR","15","NÃO CADASTRADO")))))))))))))))</f>
        <v>1</v>
      </c>
      <c r="BA232" s="13" t="str">
        <f>_xlfn.CONCAT("('",A232,"', ",AY232,", ",SUBSTITUTE(D232,",","."),", ",SUBSTITUTE(E232,",","."),", ",SUBSTITUTE(C232,",","."),", ",SUBSTITUTE(F232,",","."),", ",AH232,", ",AI232,", '",G232,"', '",AJ232,"', '",AK232,"', ",M232,", ",N232,", ",AC232,", ",SUBSTITUTE(AF232,",","."),", ",SUBSTITUTE(AE232,",","."),", ",AG232,", ",P232,", ",AP232,", ",AL232,"),")</f>
        <v>('SIW600 T020-44', 1, 583, 620, 318, 50, 60, -10, 'CONVECÇÃO NATURAL', 'IP66', 'TRANSFORMERLESS', 20000, 20000, 380, 30.4, 33.4, 0, 2, 4, 1),</v>
      </c>
      <c r="BB232" t="str">
        <f>_xlfn.CONCAT("(",AN232,", 0, ",O232,", ",Q232,", ",R232,", ",S232,", ",T232,", ",U232,", ",V232,", ",W232,", ",SUBSTITUTE(X232,",","."),", ",SUBSTITUTE(Y232,",","."),"), ")</f>
        <v xml:space="preserve">(228, 0, 2, 1000, 450, 1000, 480, 800, 480, 670, 22, 22), </v>
      </c>
      <c r="BC232" t="str">
        <f t="shared" si="101"/>
        <v>(228, 'ON-GRID'),</v>
      </c>
      <c r="BD232" t="str">
        <f t="shared" si="102"/>
        <v/>
      </c>
      <c r="BE232" t="str">
        <f t="shared" si="103"/>
        <v/>
      </c>
      <c r="BF232" t="str">
        <f t="shared" si="104"/>
        <v/>
      </c>
      <c r="BG232" t="str">
        <f t="shared" si="105"/>
        <v/>
      </c>
      <c r="BH232" t="str">
        <f t="shared" si="106"/>
        <v>(228, 'RS485'),</v>
      </c>
      <c r="BI232" t="str">
        <f t="shared" si="107"/>
        <v>(228, 'DISPLAY'),</v>
      </c>
      <c r="BJ232" t="str">
        <f t="shared" si="108"/>
        <v>(228, 'LED'),</v>
      </c>
      <c r="BK232" t="str">
        <f t="shared" si="109"/>
        <v/>
      </c>
      <c r="BL232" t="str">
        <f t="shared" si="110"/>
        <v/>
      </c>
      <c r="BM232" t="str">
        <f t="shared" si="111"/>
        <v/>
      </c>
      <c r="BN232" t="str">
        <f t="shared" si="112"/>
        <v>(228, 'THREE_PHASE_FOUR_WIRE'),</v>
      </c>
      <c r="BO232" t="str">
        <f t="shared" si="113"/>
        <v/>
      </c>
    </row>
    <row r="233" spans="1:67">
      <c r="A233" s="2" t="s">
        <v>14</v>
      </c>
      <c r="B233" s="3" t="s">
        <v>212</v>
      </c>
      <c r="C233" s="3">
        <v>315.5</v>
      </c>
      <c r="D233" s="3">
        <v>485</v>
      </c>
      <c r="E233" s="3">
        <v>490</v>
      </c>
      <c r="F233" s="3">
        <v>30</v>
      </c>
      <c r="G233" s="3" t="s">
        <v>316</v>
      </c>
      <c r="H233" s="3">
        <v>0</v>
      </c>
      <c r="I233" s="3">
        <v>1</v>
      </c>
      <c r="J233" s="3">
        <v>1</v>
      </c>
      <c r="K233" s="3">
        <v>1</v>
      </c>
      <c r="L233" s="3">
        <v>0</v>
      </c>
      <c r="M233" s="3">
        <v>18000</v>
      </c>
      <c r="N233" s="3">
        <v>18000</v>
      </c>
      <c r="O233" s="3">
        <v>2</v>
      </c>
      <c r="P233" s="3">
        <v>2</v>
      </c>
      <c r="Q233" s="3">
        <v>1100</v>
      </c>
      <c r="R233" s="3">
        <v>480</v>
      </c>
      <c r="S233" s="3">
        <v>950</v>
      </c>
      <c r="T233" s="3">
        <v>250</v>
      </c>
      <c r="U233" s="3">
        <v>850</v>
      </c>
      <c r="V233" s="3">
        <v>480</v>
      </c>
      <c r="W233" s="3">
        <v>600</v>
      </c>
      <c r="X233" s="3">
        <v>40</v>
      </c>
      <c r="Y233" s="3">
        <v>30</v>
      </c>
      <c r="Z233" s="3">
        <v>0</v>
      </c>
      <c r="AA233" s="3">
        <v>0</v>
      </c>
      <c r="AB233" s="3">
        <v>1</v>
      </c>
      <c r="AC233" s="3">
        <v>380</v>
      </c>
      <c r="AE233" s="4">
        <v>28</v>
      </c>
      <c r="AF233">
        <v>28</v>
      </c>
      <c r="AG233">
        <v>0</v>
      </c>
      <c r="AH233">
        <v>50</v>
      </c>
      <c r="AI233">
        <v>-10</v>
      </c>
      <c r="AJ233" t="s">
        <v>307</v>
      </c>
      <c r="AK233" t="s">
        <v>277</v>
      </c>
      <c r="AL233">
        <v>1</v>
      </c>
      <c r="AN233">
        <v>229</v>
      </c>
      <c r="AO233">
        <v>0</v>
      </c>
      <c r="AP233">
        <f>O233*P233</f>
        <v>4</v>
      </c>
      <c r="AR233">
        <v>1</v>
      </c>
      <c r="AS233">
        <v>0</v>
      </c>
      <c r="AT233">
        <v>0</v>
      </c>
      <c r="AU233">
        <v>0</v>
      </c>
      <c r="AW233">
        <v>0</v>
      </c>
      <c r="AY233" t="str">
        <f>IF(B233="WEG","1",IF(B233="HUAWEI","2",IF(B233="FOX ESS","3",IF(B233="GOODWE","4",IF(B233="PHB","5",IF(B233="ASTRONERGY","6",IF(B233="BYD","7",IF(B233="HUASUN","8",IF(B233="JA SOLAR","9",IF(B233="JINKO","10",IF(B233="LONGI","11",IF(B233="RISEN","12",IF(B233="SUNOVA","13",IF(B233="TALESUN","14",IF(B233="TRINA SOLAR","15","NÃO CADASTRADO")))))))))))))))</f>
        <v>1</v>
      </c>
      <c r="BA233" s="13" t="str">
        <f>_xlfn.CONCAT("('",A233,"', ",AY233,", ",SUBSTITUTE(D233,",","."),", ",SUBSTITUTE(E233,",","."),", ",SUBSTITUTE(C233,",","."),", ",SUBSTITUTE(F233,",","."),", ",AH233,", ",AI233,", '",G233,"', '",AJ233,"', '",AK233,"', ",M233,", ",N233,", ",AC233,", ",SUBSTITUTE(AF233,",","."),", ",SUBSTITUTE(AE233,",","."),", ",AG233,", ",P233,", ",AP233,", ",AL233,"),")</f>
        <v>('SIW610 T018 W0', 1, 485, 490, 315.5, 30, 50, -10, 'COOLER', 'IP66', 'TRANSFORMERLESS', 18000, 18000, 380, 28, 28, 0, 2, 4, 1),</v>
      </c>
      <c r="BB233" t="str">
        <f>_xlfn.CONCAT("(",AN233,", 0, ",O233,", ",Q233,", ",R233,", ",S233,", ",T233,", ",U233,", ",V233,", ",W233,", ",SUBSTITUTE(X233,",","."),", ",SUBSTITUTE(Y233,",","."),"), ")</f>
        <v xml:space="preserve">(229, 0, 2, 1100, 480, 950, 250, 850, 480, 600, 40, 30), </v>
      </c>
      <c r="BC233" t="str">
        <f t="shared" si="101"/>
        <v>(229, 'ON-GRID'),</v>
      </c>
      <c r="BD233" t="str">
        <f t="shared" si="102"/>
        <v/>
      </c>
      <c r="BE233" t="str">
        <f t="shared" si="103"/>
        <v/>
      </c>
      <c r="BF233" t="str">
        <f t="shared" si="104"/>
        <v/>
      </c>
      <c r="BG233" t="str">
        <f t="shared" si="105"/>
        <v/>
      </c>
      <c r="BH233" t="str">
        <f t="shared" si="106"/>
        <v>(229, 'RS485'),</v>
      </c>
      <c r="BI233" t="str">
        <f t="shared" si="107"/>
        <v>(229, 'DISPLAY'),</v>
      </c>
      <c r="BJ233" t="str">
        <f t="shared" si="108"/>
        <v>(229, 'LED'),</v>
      </c>
      <c r="BK233" t="str">
        <f t="shared" si="109"/>
        <v/>
      </c>
      <c r="BL233" t="str">
        <f t="shared" si="110"/>
        <v/>
      </c>
      <c r="BM233" t="str">
        <f t="shared" si="111"/>
        <v/>
      </c>
      <c r="BN233" t="str">
        <f t="shared" si="112"/>
        <v>(229, 'THREE_PHASE_FOUR_WIRE'),</v>
      </c>
      <c r="BO233" t="str">
        <f t="shared" si="113"/>
        <v/>
      </c>
    </row>
    <row r="234" spans="1:67">
      <c r="A234" s="2" t="s">
        <v>15</v>
      </c>
      <c r="B234" s="3" t="s">
        <v>212</v>
      </c>
      <c r="C234" s="3">
        <v>360</v>
      </c>
      <c r="D234" s="3">
        <v>840</v>
      </c>
      <c r="E234" s="3">
        <v>680</v>
      </c>
      <c r="F234" s="3">
        <v>90</v>
      </c>
      <c r="G234" s="3" t="s">
        <v>316</v>
      </c>
      <c r="H234" s="3">
        <v>0</v>
      </c>
      <c r="I234" s="3">
        <v>1</v>
      </c>
      <c r="J234" s="3">
        <v>1</v>
      </c>
      <c r="K234" s="3">
        <v>1</v>
      </c>
      <c r="L234" s="3">
        <v>0</v>
      </c>
      <c r="M234" s="3">
        <v>75000</v>
      </c>
      <c r="N234" s="3">
        <v>75000</v>
      </c>
      <c r="O234" s="3">
        <v>2</v>
      </c>
      <c r="P234" s="3">
        <v>6</v>
      </c>
      <c r="Q234" s="3">
        <v>1100</v>
      </c>
      <c r="R234" s="3">
        <v>480</v>
      </c>
      <c r="S234" s="3">
        <v>950</v>
      </c>
      <c r="T234" s="3">
        <v>250</v>
      </c>
      <c r="U234" s="3">
        <v>850</v>
      </c>
      <c r="V234" s="3">
        <v>480</v>
      </c>
      <c r="W234" s="3">
        <v>670</v>
      </c>
      <c r="X234" s="3">
        <v>40</v>
      </c>
      <c r="Y234" s="3">
        <v>30</v>
      </c>
      <c r="Z234" s="3">
        <v>0</v>
      </c>
      <c r="AA234" s="3">
        <v>0</v>
      </c>
      <c r="AB234" s="3">
        <v>1</v>
      </c>
      <c r="AC234" s="3">
        <v>380</v>
      </c>
      <c r="AE234" s="4">
        <v>114</v>
      </c>
      <c r="AF234">
        <v>114</v>
      </c>
      <c r="AG234">
        <v>0</v>
      </c>
      <c r="AH234">
        <v>60</v>
      </c>
      <c r="AI234">
        <v>-10</v>
      </c>
      <c r="AJ234" t="s">
        <v>307</v>
      </c>
      <c r="AK234" t="s">
        <v>277</v>
      </c>
      <c r="AL234">
        <v>1</v>
      </c>
      <c r="AN234">
        <v>230</v>
      </c>
      <c r="AO234">
        <v>0</v>
      </c>
      <c r="AP234">
        <f>O234*P234</f>
        <v>12</v>
      </c>
      <c r="AR234">
        <v>1</v>
      </c>
      <c r="AS234">
        <v>0</v>
      </c>
      <c r="AT234">
        <v>0</v>
      </c>
      <c r="AU234">
        <v>0</v>
      </c>
      <c r="AW234">
        <v>0</v>
      </c>
      <c r="AY234" t="str">
        <f>IF(B234="WEG","1",IF(B234="HUAWEI","2",IF(B234="FOX ESS","3",IF(B234="GOODWE","4",IF(B234="PHB","5",IF(B234="ASTRONERGY","6",IF(B234="BYD","7",IF(B234="HUASUN","8",IF(B234="JA SOLAR","9",IF(B234="JINKO","10",IF(B234="LONGI","11",IF(B234="RISEN","12",IF(B234="SUNOVA","13",IF(B234="TALESUN","14",IF(B234="TRINA SOLAR","15","NÃO CADASTRADO")))))))))))))))</f>
        <v>1</v>
      </c>
      <c r="BA234" s="13" t="str">
        <f>_xlfn.CONCAT("('",A234,"', ",AY234,", ",SUBSTITUTE(D234,",","."),", ",SUBSTITUTE(E234,",","."),", ",SUBSTITUTE(C234,",","."),", ",SUBSTITUTE(F234,",","."),", ",AH234,", ",AI234,", '",G234,"', '",AJ234,"', '",AK234,"', ",M234,", ",N234,", ",AC234,", ",SUBSTITUTE(AF234,",","."),", ",SUBSTITUTE(AE234,",","."),", ",AG234,", ",P234,", ",AP234,", ",AL234,"),")</f>
        <v>('SIW610 T075 W0', 1, 840, 680, 360, 90, 60, -10, 'COOLER', 'IP66', 'TRANSFORMERLESS', 75000, 75000, 380, 114, 114, 0, 6, 12, 1),</v>
      </c>
      <c r="BB234" t="str">
        <f>_xlfn.CONCAT("(",AN234,", 0, ",O234,", ",Q234,", ",R234,", ",S234,", ",T234,", ",U234,", ",V234,", ",W234,", ",SUBSTITUTE(X234,",","."),", ",SUBSTITUTE(Y234,",","."),"), ")</f>
        <v xml:space="preserve">(230, 0, 2, 1100, 480, 950, 250, 850, 480, 670, 40, 30), </v>
      </c>
      <c r="BC234" t="str">
        <f t="shared" si="101"/>
        <v>(230, 'ON-GRID'),</v>
      </c>
      <c r="BD234" t="str">
        <f t="shared" si="102"/>
        <v/>
      </c>
      <c r="BE234" t="str">
        <f t="shared" si="103"/>
        <v/>
      </c>
      <c r="BF234" t="str">
        <f t="shared" si="104"/>
        <v/>
      </c>
      <c r="BG234" t="str">
        <f t="shared" si="105"/>
        <v/>
      </c>
      <c r="BH234" t="str">
        <f t="shared" si="106"/>
        <v>(230, 'RS485'),</v>
      </c>
      <c r="BI234" t="str">
        <f t="shared" si="107"/>
        <v>(230, 'DISPLAY'),</v>
      </c>
      <c r="BJ234" t="str">
        <f t="shared" si="108"/>
        <v>(230, 'LED'),</v>
      </c>
      <c r="BK234" t="str">
        <f t="shared" si="109"/>
        <v/>
      </c>
      <c r="BL234" t="str">
        <f t="shared" si="110"/>
        <v/>
      </c>
      <c r="BM234" t="str">
        <f t="shared" si="111"/>
        <v/>
      </c>
      <c r="BN234" t="str">
        <f t="shared" si="112"/>
        <v>(230, 'THREE_PHASE_FOUR_WIRE'),</v>
      </c>
      <c r="BO234" t="str">
        <f t="shared" si="113"/>
        <v/>
      </c>
    </row>
    <row r="235" spans="1:67">
      <c r="A235" s="2" t="s">
        <v>13</v>
      </c>
      <c r="B235" s="3" t="s">
        <v>212</v>
      </c>
      <c r="C235" s="3">
        <v>156</v>
      </c>
      <c r="D235" s="3">
        <v>365</v>
      </c>
      <c r="E235" s="3">
        <v>375</v>
      </c>
      <c r="F235" s="3">
        <v>12</v>
      </c>
      <c r="G235" s="3" t="s">
        <v>275</v>
      </c>
      <c r="H235" s="3">
        <v>1</v>
      </c>
      <c r="I235" s="3">
        <v>1</v>
      </c>
      <c r="J235" s="3">
        <v>0</v>
      </c>
      <c r="K235" s="3">
        <v>1</v>
      </c>
      <c r="L235" s="3">
        <v>0</v>
      </c>
      <c r="M235" s="3">
        <v>3000</v>
      </c>
      <c r="N235" s="3">
        <v>3300</v>
      </c>
      <c r="O235" s="3">
        <v>1</v>
      </c>
      <c r="P235" s="3">
        <v>2</v>
      </c>
      <c r="Q235" s="3">
        <v>600</v>
      </c>
      <c r="R235" s="3">
        <v>100</v>
      </c>
      <c r="S235" s="3">
        <v>560</v>
      </c>
      <c r="T235" s="3">
        <v>90</v>
      </c>
      <c r="U235" s="3">
        <v>560</v>
      </c>
      <c r="V235" s="3">
        <v>90</v>
      </c>
      <c r="W235" s="3">
        <v>360</v>
      </c>
      <c r="X235" s="3">
        <v>18</v>
      </c>
      <c r="Y235" s="3">
        <v>13.5</v>
      </c>
      <c r="Z235" s="3">
        <v>1</v>
      </c>
      <c r="AA235" s="3">
        <v>0</v>
      </c>
      <c r="AB235" s="3">
        <v>0</v>
      </c>
      <c r="AC235" s="3">
        <v>220</v>
      </c>
      <c r="AE235" s="4">
        <v>15</v>
      </c>
      <c r="AF235">
        <v>15</v>
      </c>
      <c r="AG235">
        <v>100</v>
      </c>
      <c r="AH235">
        <v>60</v>
      </c>
      <c r="AI235">
        <v>-25</v>
      </c>
      <c r="AJ235" t="s">
        <v>276</v>
      </c>
      <c r="AK235" t="s">
        <v>277</v>
      </c>
      <c r="AL235">
        <v>1</v>
      </c>
      <c r="AO235">
        <v>0</v>
      </c>
      <c r="AP235">
        <f>O235*P235</f>
        <v>2</v>
      </c>
      <c r="AR235">
        <v>1</v>
      </c>
      <c r="AS235">
        <v>0</v>
      </c>
      <c r="AT235">
        <v>0</v>
      </c>
      <c r="AU235">
        <v>1</v>
      </c>
      <c r="AW235">
        <v>0</v>
      </c>
      <c r="AY235" t="str">
        <f>IF(B235="WEG","1",IF(B235="HUAWEI","2",IF(B235="FOX ESS","3",IF(B235="GOODWE","4",IF(B235="PHB","5",IF(B235="ASTRONERGY","6",IF(B235="BYD","7",IF(B235="HUASUN","8",IF(B235="JA SOLAR","9",IF(B235="JINKO","10",IF(B235="LONGI","11",IF(B235="RISEN","12",IF(B235="SUNOVA","13",IF(B235="TALESUN","14",IF(B235="TRINA SOLAR","15","NÃO CADASTRADO")))))))))))))))</f>
        <v>1</v>
      </c>
      <c r="BA235" s="13" t="str">
        <f>_xlfn.CONCAT("('",A235,"', ",AY235,", ",SUBSTITUTE(D235,",","."),", ",SUBSTITUTE(E235,",","."),", ",SUBSTITUTE(C235,",","."),", ",SUBSTITUTE(F235,",","."),", ",AH235,", ",AI235,", '",G235,"', '",AJ235,"', '",AK235,"', ",M235,", ",N235,", ",AC235,", ",SUBSTITUTE(AF235,",","."),", ",SUBSTITUTE(AE235,",","."),", ",AG235,", ",P235,", ",AP235,", ",AL235,"),")</f>
        <v>('SIW300H M030 W00', 1, 365, 375, 156, 12, 60, -25, 'CONVECÇÃO NATURAL', 'IP65', 'TRANSFORMERLESS', 3000, 3300, 220, 15, 15, 100, 2, 2, 1),</v>
      </c>
      <c r="BB235" t="str">
        <f>_xlfn.CONCAT("(",AN235,", 0, ",O235,", ",Q235,", ",R235,", ",S235,", ",T235,", ",U235,", ",V235,", ",W235,", ",SUBSTITUTE(X235,",","."),", ",SUBSTITUTE(Y235,",","."),"), ")</f>
        <v xml:space="preserve">(, 0, 1, 600, 100, 560, 90, 560, 90, 360, 18, 13.5), </v>
      </c>
      <c r="BC235" t="str">
        <f t="shared" si="101"/>
        <v>(, 'ON-GRID'),</v>
      </c>
      <c r="BD235" t="str">
        <f t="shared" si="102"/>
        <v/>
      </c>
      <c r="BE235" t="str">
        <f t="shared" si="103"/>
        <v/>
      </c>
      <c r="BF235" t="str">
        <f t="shared" si="104"/>
        <v>(, 'HYBRID'),</v>
      </c>
      <c r="BG235" t="str">
        <f t="shared" si="105"/>
        <v>(, 'WIFI'),</v>
      </c>
      <c r="BH235" t="str">
        <f t="shared" si="106"/>
        <v>(, 'RS485'),</v>
      </c>
      <c r="BI235" t="str">
        <f t="shared" si="107"/>
        <v/>
      </c>
      <c r="BJ235" t="str">
        <f t="shared" si="108"/>
        <v>(, 'LED'),</v>
      </c>
      <c r="BK235" t="str">
        <f t="shared" si="109"/>
        <v/>
      </c>
      <c r="BL235" t="str">
        <f t="shared" si="110"/>
        <v/>
      </c>
      <c r="BM235" t="str">
        <f t="shared" si="111"/>
        <v/>
      </c>
      <c r="BN235" t="str">
        <f t="shared" si="112"/>
        <v/>
      </c>
      <c r="BO235" t="str">
        <f t="shared" si="113"/>
        <v>(, 'SINGLE_PHASE'),</v>
      </c>
    </row>
  </sheetData>
  <autoFilter ref="A2:AE235" xr:uid="{00000000-0009-0000-0000-000004000000}"/>
  <mergeCells count="6">
    <mergeCell ref="Z1:AE1"/>
    <mergeCell ref="A1:B1"/>
    <mergeCell ref="C1:F1"/>
    <mergeCell ref="H1:L1"/>
    <mergeCell ref="M1:N1"/>
    <mergeCell ref="O1:Y1"/>
  </mergeCells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67</vt:i4>
      </vt:variant>
    </vt:vector>
  </HeadingPairs>
  <TitlesOfParts>
    <vt:vector size="72" baseType="lpstr">
      <vt:lpstr>Compare Inversores</vt:lpstr>
      <vt:lpstr>Formulas</vt:lpstr>
      <vt:lpstr>Inicio</vt:lpstr>
      <vt:lpstr>Dados dos Modulos</vt:lpstr>
      <vt:lpstr>Dados dos Inversores</vt:lpstr>
      <vt:lpstr>inv_3Fios</vt:lpstr>
      <vt:lpstr>inv_4Fios</vt:lpstr>
      <vt:lpstr>inv_Altura</vt:lpstr>
      <vt:lpstr>inv_Comprimento</vt:lpstr>
      <vt:lpstr>inv_CorrCAMax</vt:lpstr>
      <vt:lpstr>inv_CorrCurtoMPPT</vt:lpstr>
      <vt:lpstr>inv_CorrMaxMPPT</vt:lpstr>
      <vt:lpstr>inv_Dados</vt:lpstr>
      <vt:lpstr>inv_Display</vt:lpstr>
      <vt:lpstr>inv_Fabricante</vt:lpstr>
      <vt:lpstr>inv_Largura</vt:lpstr>
      <vt:lpstr>inv_Led</vt:lpstr>
      <vt:lpstr>inv_mod</vt:lpstr>
      <vt:lpstr>inv_Modelo</vt:lpstr>
      <vt:lpstr>inv_MonoBi</vt:lpstr>
      <vt:lpstr>inv_Peso</vt:lpstr>
      <vt:lpstr>inv_PotMax</vt:lpstr>
      <vt:lpstr>inv_potnom</vt:lpstr>
      <vt:lpstr>inv_potnom50</vt:lpstr>
      <vt:lpstr>inv_PotNominal</vt:lpstr>
      <vt:lpstr>inv_QuantMPPT</vt:lpstr>
      <vt:lpstr>inv_QuantStrMPPT</vt:lpstr>
      <vt:lpstr>inv_RS485</vt:lpstr>
      <vt:lpstr>inv_TenFLMaxMPPT</vt:lpstr>
      <vt:lpstr>inv_TenFLMinMPPT</vt:lpstr>
      <vt:lpstr>inv_TenNomCAMax</vt:lpstr>
      <vt:lpstr>inv_TenNomCAMin</vt:lpstr>
      <vt:lpstr>inv_TenNomMPPT</vt:lpstr>
      <vt:lpstr>inv_TenOpMaxMPPT</vt:lpstr>
      <vt:lpstr>inv_TenOpMinMPPT</vt:lpstr>
      <vt:lpstr>inv_TenPartMaxMPPT</vt:lpstr>
      <vt:lpstr>inv_TenPartMinMPPT</vt:lpstr>
      <vt:lpstr>inv_USB</vt:lpstr>
      <vt:lpstr>inv_Ventilacao</vt:lpstr>
      <vt:lpstr>inv_Wifi</vt:lpstr>
      <vt:lpstr>Ipmax_max</vt:lpstr>
      <vt:lpstr>Ipmax_STC</vt:lpstr>
      <vt:lpstr>Isc_coef</vt:lpstr>
      <vt:lpstr>Isc_max</vt:lpstr>
      <vt:lpstr>Isc_STC</vt:lpstr>
      <vt:lpstr>mod_Altura</vt:lpstr>
      <vt:lpstr>mod_CoefCor</vt:lpstr>
      <vt:lpstr>mod_CoefPot</vt:lpstr>
      <vt:lpstr>mod_CofTen</vt:lpstr>
      <vt:lpstr>mod_Comprimento</vt:lpstr>
      <vt:lpstr>mod_Dados</vt:lpstr>
      <vt:lpstr>mod_EstruturaCristalina</vt:lpstr>
      <vt:lpstr>mod_Fabricante</vt:lpstr>
      <vt:lpstr>mod_Face</vt:lpstr>
      <vt:lpstr>mod_Ipmax</vt:lpstr>
      <vt:lpstr>mod_Isc</vt:lpstr>
      <vt:lpstr>mod_Largura</vt:lpstr>
      <vt:lpstr>mod_mod</vt:lpstr>
      <vt:lpstr>mod_Modelo</vt:lpstr>
      <vt:lpstr>mod_Peso</vt:lpstr>
      <vt:lpstr>mod_PotenciaNominal</vt:lpstr>
      <vt:lpstr>mod_Voc</vt:lpstr>
      <vt:lpstr>mod_Vpmax</vt:lpstr>
      <vt:lpstr>PN_coef</vt:lpstr>
      <vt:lpstr>pot_Modulo</vt:lpstr>
      <vt:lpstr>Voc_coef</vt:lpstr>
      <vt:lpstr>Voc_max</vt:lpstr>
      <vt:lpstr>Voc_min</vt:lpstr>
      <vt:lpstr>Voc_STC</vt:lpstr>
      <vt:lpstr>Vpmax_max</vt:lpstr>
      <vt:lpstr>Vpmax_min</vt:lpstr>
      <vt:lpstr>Vpmax_STC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Sakuma</dc:creator>
  <cp:lastModifiedBy>Pedro Akio Sakuma</cp:lastModifiedBy>
  <dcterms:created xsi:type="dcterms:W3CDTF">2023-01-31T14:15:00Z</dcterms:created>
  <dcterms:modified xsi:type="dcterms:W3CDTF">2025-05-29T14:57:43Z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060DFFF3D00C415B9C7CFA363105BBE7_13</vt:lpwstr>
  </property>
  <property fmtid="{D5CDD505-2E9C-101B-9397-08002B2CF9AE}" pid="3" name="KSOProductBuildVer">
    <vt:lpwstr>1046-12.2.0.20795</vt:lpwstr>
  </property>
</Properties>
</file>