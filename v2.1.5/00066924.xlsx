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EstaPastaDeTrabalho"/>
  <bookViews>
    <workbookView windowWidth="19635" windowHeight="7500"/>
  </bookViews>
  <sheets>
    <sheet name="Inicio" sheetId="4" r:id="rId1"/>
    <sheet name="Dados Técnicos de Módulos" sheetId="1" state="hidden" r:id="rId2"/>
    <sheet name="Dados Técnicos de Inversores" sheetId="2" r:id="rId3"/>
  </sheets>
  <definedNames>
    <definedName name="_xlnm._FilterDatabase" localSheetId="1" hidden="1">'Dados Técnicos de Módulos'!$A$1:$P$192</definedName>
    <definedName name="_xlnm._FilterDatabase" localSheetId="2" hidden="1">'Dados Técnicos de Inversores'!$A$2:$AE$147</definedName>
    <definedName name="_xlnm.Print_Area" localSheetId="0">Inicio!$B$2:$L$31</definedName>
    <definedName name="inv_3Fios">'Dados Técnicos de Inversores'!$AA$3:$AA$1048576</definedName>
    <definedName name="inv_4Fios">'Dados Técnicos de Inversores'!$AB$3:$AB$1048576</definedName>
    <definedName name="inv_Altura">'Dados Técnicos de Inversores'!$E$2:$E$1048576</definedName>
    <definedName name="inv_Comprimento">'Dados Técnicos de Inversores'!$C$3:$C$1048576</definedName>
    <definedName name="inv_CorrCAMax">'Dados Técnicos de Inversores'!$AE$3:$AE$1048576</definedName>
    <definedName name="inv_CorrCurtoMPPT">'Dados Técnicos de Inversores'!$X$3:$X$1048576</definedName>
    <definedName name="inv_CorrMaxMPPT">'Dados Técnicos de Inversores'!$Y$3:$Y$1048576</definedName>
    <definedName name="inv_Dados">'Dados Técnicos de Inversores'!$A$3:$AE$1048576</definedName>
    <definedName name="inv_Display">'Dados Técnicos de Inversores'!$J$3:$J$1048576</definedName>
    <definedName name="inv_Fabricante">'Dados Técnicos de Inversores'!$B$3:$B$1048576</definedName>
    <definedName name="inv_Largura">'Dados Técnicos de Inversores'!$D$3:$D$1048576</definedName>
    <definedName name="inv_Led">'Dados Técnicos de Inversores'!$K$3:$K$1048576</definedName>
    <definedName name="inv_Modelo">'Dados Técnicos de Inversores'!$A$3:$A$1048576</definedName>
    <definedName name="inv_MonoBi">'Dados Técnicos de Inversores'!$Z$3:$Z$1048576</definedName>
    <definedName name="inv_Peso">'Dados Técnicos de Inversores'!$F$2:$F$1048576</definedName>
    <definedName name="inv_PotMax">'Dados Técnicos de Inversores'!$N$3:$N$1048576</definedName>
    <definedName name="inv_PotNominal">'Dados Técnicos de Inversores'!$M$3:$M$1048576</definedName>
    <definedName name="inv_QuantMPPT">'Dados Técnicos de Inversores'!$O$3:$O$1048576</definedName>
    <definedName name="inv_QuantStrMPPT">'Dados Técnicos de Inversores'!$Q$3:$Q$1048576</definedName>
    <definedName name="inv_RS485">'Dados Técnicos de Inversores'!$I$3:$I$1048576</definedName>
    <definedName name="inv_TenFLMaxMPPT">'Dados Técnicos de Inversores'!$U$3:$U$1048576</definedName>
    <definedName name="inv_TenFLMinMPPT">'Dados Técnicos de Inversores'!$V$3:$V$1048576</definedName>
    <definedName name="inv_TenNomCAMax">'Dados Técnicos de Inversores'!$AC$3:$AC$1048576</definedName>
    <definedName name="inv_TenNomCAMin">'Dados Técnicos de Inversores'!$AD$3:$AD$1048576</definedName>
    <definedName name="inv_TenNomMPPT">'Dados Técnicos de Inversores'!$W$3:$W$1048576</definedName>
    <definedName name="inv_TenOpMaxMPPT">'Dados Técnicos de Inversores'!$T$3:$T$1048576</definedName>
    <definedName name="inv_TenOpMinMPPT">'Dados Técnicos de Inversores'!$T$3:$T$1048576</definedName>
    <definedName name="inv_TenPartMaxMPPT">'Dados Técnicos de Inversores'!$R$3:$R$1048576</definedName>
    <definedName name="inv_TenPartMinMPPT">'Dados Técnicos de Inversores'!$S$3:$S$1048576</definedName>
    <definedName name="inv_USB">'Dados Técnicos de Inversores'!$L$3:$L$1048576</definedName>
    <definedName name="inv_Ventilacao">'Dados Técnicos de Inversores'!$G$3:$G$1048576</definedName>
    <definedName name="inv_Wifi">'Dados Técnicos de Inversores'!$H$3:$H$1048576</definedName>
    <definedName name="mod_Altura">'Dados Técnicos de Módulos'!$G$6:$G$1048576</definedName>
    <definedName name="mod_CoefCor">'Dados Técnicos de Módulos'!$P$6:$P$1048576</definedName>
    <definedName name="mod_CoefPot">'Dados Técnicos de Módulos'!$N$6:$N$1048576</definedName>
    <definedName name="mod_CofTen">'Dados Técnicos de Módulos'!$O$6:$O$1048576</definedName>
    <definedName name="mod_Comprimento">'Dados Técnicos de Módulos'!$E$6:$E$1048576</definedName>
    <definedName name="mod_Dados">'Dados Técnicos de Módulos'!$A$6:$P$1048576</definedName>
    <definedName name="mod_EstruturaCristalina">'Dados Técnicos de Módulos'!$D$6:$D$1048576</definedName>
    <definedName name="mod_Fabricante">'Dados Técnicos de Módulos'!$B$6:$B$1048576</definedName>
    <definedName name="mod_Face">'Dados Técnicos de Módulos'!$C$6:$C$1048576</definedName>
    <definedName name="mod_Ipmax">'Dados Técnicos de Módulos'!$M$6:$M$1048576</definedName>
    <definedName name="mod_Isc">'Dados Técnicos de Módulos'!$L$6:$L$1048576</definedName>
    <definedName name="mod_Largura">'Dados Técnicos de Módulos'!$F$6:$F$1048576</definedName>
    <definedName name="mod_Modelo">'Dados Técnicos de Módulos'!$A$6:$A$1048576</definedName>
    <definedName name="mod_Peso">'Dados Técnicos de Módulos'!$H$6:$H$1048576</definedName>
    <definedName name="mod_PotenciaNominal">'Dados Técnicos de Módulos'!$I$6:$I$1048576</definedName>
    <definedName name="mod_Voc">'Dados Técnicos de Módulos'!$J$6:$J$1048576</definedName>
    <definedName name="mod_Vpmax">'Dados Técnicos de Módulos'!$K$6:$K$1048576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<sst xmlns="http://schemas.openxmlformats.org/spreadsheetml/2006/main" count="2375" uniqueCount="432">
  <si>
    <t>TABELA DE MÁXIMA EFICIÊNCIA DE INVERSORES</t>
  </si>
  <si>
    <t>FR-CQ-005 / 002</t>
  </si>
  <si>
    <t>DATA: 27/08/2024</t>
  </si>
  <si>
    <t>Dados de entrada</t>
  </si>
  <si>
    <t>Módulo</t>
  </si>
  <si>
    <t>Inversor</t>
  </si>
  <si>
    <t>WPV 550 HMM3</t>
  </si>
  <si>
    <t>Modelo</t>
  </si>
  <si>
    <t>SUN2000-36KTL-M3</t>
  </si>
  <si>
    <t>Potência máxima (VA)</t>
  </si>
  <si>
    <t>Quantidade de módulos</t>
  </si>
  <si>
    <t>Tensão de circuito aberto mínima</t>
  </si>
  <si>
    <t>Tensão mínima de entrada</t>
  </si>
  <si>
    <t>Temp. Mínima</t>
  </si>
  <si>
    <t>Tensão de circuito aberto máxima</t>
  </si>
  <si>
    <t>Tensão máxima de entrada</t>
  </si>
  <si>
    <t>Temp. Máxima</t>
  </si>
  <si>
    <t>Tensão em máxima potência mínima</t>
  </si>
  <si>
    <t>Tensão mínima de operação</t>
  </si>
  <si>
    <t>Quant. Max séries por MPPT</t>
  </si>
  <si>
    <t>Tensão em máxima potência máxima</t>
  </si>
  <si>
    <t>Tensão máxima de operação</t>
  </si>
  <si>
    <t>Quant. mínima de módulos</t>
  </si>
  <si>
    <t>Corrente de curto-circuito máxima</t>
  </si>
  <si>
    <t>Tensão mínima em FL (220-230Vac)</t>
  </si>
  <si>
    <t>Quant. máxima de módulos</t>
  </si>
  <si>
    <t>Corrente em máxima potência máxima</t>
  </si>
  <si>
    <t>Tensão máxima em FL (220-230Vac)</t>
  </si>
  <si>
    <t>Quant. mínima em FL</t>
  </si>
  <si>
    <t>Tensão de circuito aberto (STC)</t>
  </si>
  <si>
    <t>Corrente de curto-circuito por MPPT</t>
  </si>
  <si>
    <t>Quant. máxima em FL</t>
  </si>
  <si>
    <t>Tensão em máxima potência (STC)</t>
  </si>
  <si>
    <t>Corrente max. Operação por MPPT</t>
  </si>
  <si>
    <t>Corrente de curto-circuito (STC)</t>
  </si>
  <si>
    <t>Quant. Entradas por MPPT</t>
  </si>
  <si>
    <t>DIVIDIR EM QUANTAS STRINGS:</t>
  </si>
  <si>
    <t>Corrente em máxima potência (STC)</t>
  </si>
  <si>
    <t>Quant. MPPT</t>
  </si>
  <si>
    <t>Quantidade de Módulos suporta no inversor</t>
  </si>
  <si>
    <t>Coef. Temp Voc</t>
  </si>
  <si>
    <t>COMPRIMENTO (m)</t>
  </si>
  <si>
    <t>Quantidade de Módulos do projeto:</t>
  </si>
  <si>
    <t>Coef. Temp Isc</t>
  </si>
  <si>
    <t>LARGURA  (m)</t>
  </si>
  <si>
    <t>Coef. Temp PN</t>
  </si>
  <si>
    <t>ALTURA  (m)</t>
  </si>
  <si>
    <t>PERFIL (6m)</t>
  </si>
  <si>
    <t>GRAMPO FINAL</t>
  </si>
  <si>
    <t>GRAMPO INTERMEDIÁRIO</t>
  </si>
  <si>
    <t>PERFIL (30Cm)</t>
  </si>
  <si>
    <t>MANTA (M)</t>
  </si>
  <si>
    <t>PU 40</t>
  </si>
  <si>
    <t xml:space="preserve">PARAFUSO BROCANTE </t>
  </si>
  <si>
    <t>Fabricante</t>
  </si>
  <si>
    <t>Face</t>
  </si>
  <si>
    <t>Estrutura Cristalina</t>
  </si>
  <si>
    <t>Comprimento (mm)</t>
  </si>
  <si>
    <t>Largura (mm)</t>
  </si>
  <si>
    <t>Altura (mm)</t>
  </si>
  <si>
    <t>Peso (kg)</t>
  </si>
  <si>
    <t>Potência Nominal (Wp)</t>
  </si>
  <si>
    <t>Voc (V)</t>
  </si>
  <si>
    <t>Vpmax (V)</t>
  </si>
  <si>
    <t>Isc (A)</t>
  </si>
  <si>
    <t>Ipmax (A)</t>
  </si>
  <si>
    <t>Coef. Temp. Potência Nominal (%/°C)</t>
  </si>
  <si>
    <t>Coef. Temp. Tensão de Circuito Aberto (%/°C)</t>
  </si>
  <si>
    <t>Coef. Temp. Corrente de Curto-Circuito (%/°C)</t>
  </si>
  <si>
    <t>CHSM6612P-330</t>
  </si>
  <si>
    <t>ASTRONERGY</t>
  </si>
  <si>
    <t>MONOFACIAL</t>
  </si>
  <si>
    <t>POLICRISTALINO</t>
  </si>
  <si>
    <t>CHSM6612P-335</t>
  </si>
  <si>
    <t>CHSM6612P-340</t>
  </si>
  <si>
    <t>CHSM6612P-345</t>
  </si>
  <si>
    <t>CHSM72M-HC-405</t>
  </si>
  <si>
    <t>MONOCRISTALINO</t>
  </si>
  <si>
    <t>CHSM72M-HC-410</t>
  </si>
  <si>
    <t>CHSM72M-HC-415</t>
  </si>
  <si>
    <t>CHSM72M-HC-420</t>
  </si>
  <si>
    <t>CHSM72M-HC-525</t>
  </si>
  <si>
    <t>CHSM72M-HC-530</t>
  </si>
  <si>
    <t>CHSM72M-HC-535</t>
  </si>
  <si>
    <t>CHSM72M-HC-540</t>
  </si>
  <si>
    <t>CHSM72M-HC-545</t>
  </si>
  <si>
    <t>BYD335PIK-36</t>
  </si>
  <si>
    <t>BYD</t>
  </si>
  <si>
    <t>BYD340PIK-36</t>
  </si>
  <si>
    <t>BYD345PIK-36</t>
  </si>
  <si>
    <t>BYD350PIK-36</t>
  </si>
  <si>
    <t>BYD325-P6K-36-5B</t>
  </si>
  <si>
    <t>BYD330-P6K-36-5B</t>
  </si>
  <si>
    <t>BYD335-P6K-36-5B</t>
  </si>
  <si>
    <t>BYD340-P6K-36-5B</t>
  </si>
  <si>
    <t>BYD 520 MLK-36</t>
  </si>
  <si>
    <t>BYD 525 MLK-36</t>
  </si>
  <si>
    <t>BYD 530 MLK-36</t>
  </si>
  <si>
    <t>BYD 535 MLK-36</t>
  </si>
  <si>
    <t>BYD 540 MLK-36</t>
  </si>
  <si>
    <t>BYD 545 MLK-36</t>
  </si>
  <si>
    <t>BYD 550 MLK-36</t>
  </si>
  <si>
    <t>JAM72S30-530/MR</t>
  </si>
  <si>
    <t>JA SOLAR</t>
  </si>
  <si>
    <t>JAM72S30-535/MR</t>
  </si>
  <si>
    <t>JAM72S30-540/MR</t>
  </si>
  <si>
    <t>JAM72S30-545/MR</t>
  </si>
  <si>
    <t>JAM72S30-550/MR</t>
  </si>
  <si>
    <t>JAM72S30-555/MR</t>
  </si>
  <si>
    <t>JAM66D42-560/MB</t>
  </si>
  <si>
    <t>JAM66D42-565/MB</t>
  </si>
  <si>
    <t>JAM66D42-570/MB</t>
  </si>
  <si>
    <t>JAM66D42-575/MB</t>
  </si>
  <si>
    <t>JAM66D42-580/MB</t>
  </si>
  <si>
    <t>JAM66D42-585/MB</t>
  </si>
  <si>
    <t>JAM72D42-605/LB</t>
  </si>
  <si>
    <t>JAM72D42-610/LB</t>
  </si>
  <si>
    <t>JAM72D42-615/LB</t>
  </si>
  <si>
    <t>JAM72D42-620/LB</t>
  </si>
  <si>
    <t>JAM72D42-625/LB</t>
  </si>
  <si>
    <t>JAM72D42-630/LB</t>
  </si>
  <si>
    <t>JKM320PP-72</t>
  </si>
  <si>
    <t>JINKO</t>
  </si>
  <si>
    <t>JKM325PP-72</t>
  </si>
  <si>
    <t>JKM330PP-72</t>
  </si>
  <si>
    <t>JKM335PP-72</t>
  </si>
  <si>
    <t>JKM340PP-72</t>
  </si>
  <si>
    <t>JKM550M-72HL4</t>
  </si>
  <si>
    <t>JKM550M-72HL4-V</t>
  </si>
  <si>
    <t>JKM555M-72HL4</t>
  </si>
  <si>
    <t>JKM555M-72HL4-V</t>
  </si>
  <si>
    <t>JKM560M-72HL4</t>
  </si>
  <si>
    <t>JKM560M-72HL4-V</t>
  </si>
  <si>
    <t>JKM565M-72HL4</t>
  </si>
  <si>
    <t>JKM565M-72HL4-V</t>
  </si>
  <si>
    <t>JKM570M-72HL4</t>
  </si>
  <si>
    <t>JKM570M-72HL4-V</t>
  </si>
  <si>
    <t>LR5-72HPH-525M</t>
  </si>
  <si>
    <t>LONGI</t>
  </si>
  <si>
    <t>LR5-72HPH-530M</t>
  </si>
  <si>
    <t>LR5-72HPH-535M</t>
  </si>
  <si>
    <t>LR5-72HPH-540M</t>
  </si>
  <si>
    <t>LR5-72HPH-545M</t>
  </si>
  <si>
    <t>LR5-72HPH-550M</t>
  </si>
  <si>
    <t>LR5-72HPH-555M</t>
  </si>
  <si>
    <t>LR5-72HPH-560M</t>
  </si>
  <si>
    <t>RSM144-6-330P</t>
  </si>
  <si>
    <t>RISEN</t>
  </si>
  <si>
    <t>RSM144-6-335P</t>
  </si>
  <si>
    <t>RSM144-6-340P</t>
  </si>
  <si>
    <t>RSM144-6-345P</t>
  </si>
  <si>
    <t>RSM144-7-430M</t>
  </si>
  <si>
    <t>RSM144-7-435M</t>
  </si>
  <si>
    <t>RSM144-7-440M</t>
  </si>
  <si>
    <t>RSM144-7-445M</t>
  </si>
  <si>
    <t>RSM144-7-450M</t>
  </si>
  <si>
    <t>RSM156-6-425M</t>
  </si>
  <si>
    <t>RSM156-6-430M</t>
  </si>
  <si>
    <t>RSM156-6-435M</t>
  </si>
  <si>
    <t>RSM156-6-440M</t>
  </si>
  <si>
    <t>RSM156-6-445M</t>
  </si>
  <si>
    <t>RSM120-8-585BMGD</t>
  </si>
  <si>
    <t>RSM120-8-590BMGD</t>
  </si>
  <si>
    <t>RSM120-8-595BMGD</t>
  </si>
  <si>
    <t>RSM120-8-600BMGD</t>
  </si>
  <si>
    <t>RSM120-8-605BMGD</t>
  </si>
  <si>
    <t>RSM120-8-640BMGD</t>
  </si>
  <si>
    <t>RSM120-8-645BMGD</t>
  </si>
  <si>
    <t>RSM120-8-650BMGD</t>
  </si>
  <si>
    <t>RSM120-8-655BMGD</t>
  </si>
  <si>
    <t>RSM120-8-660BMGD</t>
  </si>
  <si>
    <t>RSM120-8-665BMGD</t>
  </si>
  <si>
    <t>SS-535-72MDH</t>
  </si>
  <si>
    <t>SUNOVA</t>
  </si>
  <si>
    <t>SS-540-72MDH</t>
  </si>
  <si>
    <t>SS-545-72MDH</t>
  </si>
  <si>
    <t>SS-550-72MDH</t>
  </si>
  <si>
    <t>SS-555-72MDH</t>
  </si>
  <si>
    <t>TP7F72M(H)-530</t>
  </si>
  <si>
    <t>TALESUN</t>
  </si>
  <si>
    <t>TP7F72M(H)-535</t>
  </si>
  <si>
    <t>TP7F72M(H)-540</t>
  </si>
  <si>
    <t>TP7F72M(H)-545</t>
  </si>
  <si>
    <t>TP7F72M(H)-550</t>
  </si>
  <si>
    <t>TSM-340PE15H</t>
  </si>
  <si>
    <t>TRINA SOLAR</t>
  </si>
  <si>
    <t>TSM-345PE15H</t>
  </si>
  <si>
    <t>TSM-350PE15H</t>
  </si>
  <si>
    <t>TSM-355PE15H</t>
  </si>
  <si>
    <t>TSM-390DE15M(II)</t>
  </si>
  <si>
    <t>TSM-395DE15M(II)</t>
  </si>
  <si>
    <t>TSM-400DE15M(II)</t>
  </si>
  <si>
    <t>TSM-405DE15M(II)</t>
  </si>
  <si>
    <t>TSM-410DE15M(II)</t>
  </si>
  <si>
    <t>TSM-415DE15M(II)</t>
  </si>
  <si>
    <t>TSM-390DE09</t>
  </si>
  <si>
    <t>TSM-395DE09</t>
  </si>
  <si>
    <t>TSM-400DE09</t>
  </si>
  <si>
    <t>TSM-405DE09</t>
  </si>
  <si>
    <t>TSM-430DE17M.TO(II)</t>
  </si>
  <si>
    <t>TSM-435DE17M.TO(II)</t>
  </si>
  <si>
    <t>TSM-440DE17M.TO(II)</t>
  </si>
  <si>
    <t>TSM-445DE17M.TO(II)</t>
  </si>
  <si>
    <t>TSM-450DE17M.TO(II)</t>
  </si>
  <si>
    <t>TSM-485DE18</t>
  </si>
  <si>
    <t>TSM-490DE18</t>
  </si>
  <si>
    <t>TSM-495DE18</t>
  </si>
  <si>
    <t>TSM-500DE18</t>
  </si>
  <si>
    <t>TSM-505DE18</t>
  </si>
  <si>
    <t>TSM-510DE18</t>
  </si>
  <si>
    <t>TSM-525DEG19C.20</t>
  </si>
  <si>
    <t>BIFACIAL</t>
  </si>
  <si>
    <t>TSM-530DEG19C.20</t>
  </si>
  <si>
    <t>TSM-535DEG19C.20</t>
  </si>
  <si>
    <t>TSM-540DEG19C.20</t>
  </si>
  <si>
    <t>TSM-545DEG19C.20</t>
  </si>
  <si>
    <t>TSM-550DEG19C.20</t>
  </si>
  <si>
    <t>TSM-585DEG20C.20</t>
  </si>
  <si>
    <t>TSM-590DEG20C.20</t>
  </si>
  <si>
    <t>TSM-595DEG20C.20</t>
  </si>
  <si>
    <t>TSM-600DEG20C.20</t>
  </si>
  <si>
    <t>TSM-605DEG20C.20</t>
  </si>
  <si>
    <t>TSM-670NEG21C.20</t>
  </si>
  <si>
    <t>TSM-675NEG21C.20</t>
  </si>
  <si>
    <t>TSM-680NEG21C.20</t>
  </si>
  <si>
    <t>TSM-685NEG21C.20</t>
  </si>
  <si>
    <t>TSM-690NEG21C.20</t>
  </si>
  <si>
    <t>TSM-695NEG21C.20</t>
  </si>
  <si>
    <t>WEG</t>
  </si>
  <si>
    <t>WPV 555 HMM3</t>
  </si>
  <si>
    <t>ZXM7-NPLD144-555/M</t>
  </si>
  <si>
    <t>ZNSHINE SOLAR</t>
  </si>
  <si>
    <t>ZXM7-NPLD144-560/M</t>
  </si>
  <si>
    <t>ZXM7-NPLD144-565/M</t>
  </si>
  <si>
    <t>ZXM7-NPLD144-570/M</t>
  </si>
  <si>
    <t>ZXM7-NPLD144-575/M</t>
  </si>
  <si>
    <t>INVERSORES</t>
  </si>
  <si>
    <t>Dimensões</t>
  </si>
  <si>
    <t>Comunicação</t>
  </si>
  <si>
    <t>Potência</t>
  </si>
  <si>
    <t>MPPT</t>
  </si>
  <si>
    <t>CA</t>
  </si>
  <si>
    <t>Ventilação</t>
  </si>
  <si>
    <t>Wifi</t>
  </si>
  <si>
    <t>RS485</t>
  </si>
  <si>
    <t>Display</t>
  </si>
  <si>
    <t>Led</t>
  </si>
  <si>
    <t>USB</t>
  </si>
  <si>
    <t>Potência Nominal (W)</t>
  </si>
  <si>
    <t>Entradas por MPPT</t>
  </si>
  <si>
    <t>Quantidade de MPPT</t>
  </si>
  <si>
    <t>Tensão máxima de partida do MPPT (Vcc)</t>
  </si>
  <si>
    <t>Tensão mínima de partida do MPPT (Vcc)</t>
  </si>
  <si>
    <t>Tensão máxima de operação do MPPT (Vcc)</t>
  </si>
  <si>
    <t>Tensão mínima de operação do MPPT (Vcc)</t>
  </si>
  <si>
    <t>Tensão máxima FL (220Vac) do MPPT (Vcc)</t>
  </si>
  <si>
    <t>Tensão mínima FL (220Vac) do MPPT (Vcc)</t>
  </si>
  <si>
    <t>Tensão Nominal de operação do MPPT (Vcc)</t>
  </si>
  <si>
    <t>Corrente de Curto circuito do MPPT (Acc)</t>
  </si>
  <si>
    <t>Corrente máxima de operação do MPPT (Acc)</t>
  </si>
  <si>
    <t>Monofásico / Bifásico</t>
  </si>
  <si>
    <t>Trifásico 3 fios</t>
  </si>
  <si>
    <t>Trifásico 4 fios</t>
  </si>
  <si>
    <t>Tensão nominal máxima de saída (Vac)</t>
  </si>
  <si>
    <t>Tensão nominal mínima de saída (Vac)</t>
  </si>
  <si>
    <t>Corrente máxima de saída (Aac)</t>
  </si>
  <si>
    <t>F3000</t>
  </si>
  <si>
    <t>FOX ESS</t>
  </si>
  <si>
    <t>Convecção Natural</t>
  </si>
  <si>
    <t>Sim</t>
  </si>
  <si>
    <t>Não</t>
  </si>
  <si>
    <t>F3600</t>
  </si>
  <si>
    <t>F4600</t>
  </si>
  <si>
    <t>F5000</t>
  </si>
  <si>
    <t>F5300</t>
  </si>
  <si>
    <t>F6000</t>
  </si>
  <si>
    <t>S3000 - G2</t>
  </si>
  <si>
    <t>T3 (G3)</t>
  </si>
  <si>
    <t>380/400/415</t>
  </si>
  <si>
    <t>T4 (G3)</t>
  </si>
  <si>
    <t>T5 (G3)</t>
  </si>
  <si>
    <t>T6 (G3)</t>
  </si>
  <si>
    <t>T8 (G3)</t>
  </si>
  <si>
    <t>T8 (Dual)(G3)</t>
  </si>
  <si>
    <t>T10 (G3)</t>
  </si>
  <si>
    <t>T10 (Dual)(G3)</t>
  </si>
  <si>
    <t>T12 (G3)</t>
  </si>
  <si>
    <t>T12 (Dual)(G3)</t>
  </si>
  <si>
    <t>T15 (G3)</t>
  </si>
  <si>
    <t>Cooler</t>
  </si>
  <si>
    <t>T15 (Dual)(G3)</t>
  </si>
  <si>
    <t>T17 (G3)</t>
  </si>
  <si>
    <t>T20 (G3)</t>
  </si>
  <si>
    <t>T23 (G3)</t>
  </si>
  <si>
    <t>T25 (G3)</t>
  </si>
  <si>
    <t>SIW200G M030 W0</t>
  </si>
  <si>
    <t>SIW200G M050 W0</t>
  </si>
  <si>
    <t>SIW200G M060 W0</t>
  </si>
  <si>
    <t>SIW200G M070 W0</t>
  </si>
  <si>
    <t>SIW200G M080 W0</t>
  </si>
  <si>
    <t>SIW200G M090 W0</t>
  </si>
  <si>
    <t>SIW200G M010 W0</t>
  </si>
  <si>
    <t>SIW200G M105 W0</t>
  </si>
  <si>
    <t>SIW400G T075 W0</t>
  </si>
  <si>
    <t>SIM</t>
  </si>
  <si>
    <t>SIW400G T100 W0</t>
  </si>
  <si>
    <t>GW700-XS</t>
  </si>
  <si>
    <t>GOODWE</t>
  </si>
  <si>
    <t>GW1000-XS</t>
  </si>
  <si>
    <t>GW1500-XS</t>
  </si>
  <si>
    <t>GW2000-XS</t>
  </si>
  <si>
    <t>GW2500-XS</t>
  </si>
  <si>
    <t>GW2500N-XS</t>
  </si>
  <si>
    <t>GW2900D-NS</t>
  </si>
  <si>
    <t>GW3000-XS</t>
  </si>
  <si>
    <t>GW3000N-XS</t>
  </si>
  <si>
    <t>GW3000D-NS</t>
  </si>
  <si>
    <t>GW3000T-DS</t>
  </si>
  <si>
    <t>GW3300-XS</t>
  </si>
  <si>
    <t>GW3600D-NS</t>
  </si>
  <si>
    <t>GW3600T-DS</t>
  </si>
  <si>
    <t>GW4200D-NS</t>
  </si>
  <si>
    <t>GW4200T-DS</t>
  </si>
  <si>
    <t>GW5000-MS</t>
  </si>
  <si>
    <t>GW5000D-NS</t>
  </si>
  <si>
    <t>GW5000T-DS</t>
  </si>
  <si>
    <t>GW6000-MS</t>
  </si>
  <si>
    <t>GW6000D-NS</t>
  </si>
  <si>
    <t>GW6000T-DS</t>
  </si>
  <si>
    <t>GW7000-MS</t>
  </si>
  <si>
    <t>GW8500-MS</t>
  </si>
  <si>
    <t>GW10K-MS</t>
  </si>
  <si>
    <t>GW75K-MT</t>
  </si>
  <si>
    <t>SIW400-ST075</t>
  </si>
  <si>
    <t>COOLER</t>
  </si>
  <si>
    <t>SUN2000L-2KTL</t>
  </si>
  <si>
    <t>HUAWEI</t>
  </si>
  <si>
    <t>SUN2000L-2KTL-L1</t>
  </si>
  <si>
    <t>SUN2000L-3KTL</t>
  </si>
  <si>
    <t>SUN2000L-3KTL-L1</t>
  </si>
  <si>
    <t>SUN2000L-3.68KTL</t>
  </si>
  <si>
    <t>SUN2000L-4KTL</t>
  </si>
  <si>
    <t>SUN2000L-4KTL-L1</t>
  </si>
  <si>
    <t>SUN2000L-4.6KTL</t>
  </si>
  <si>
    <t>SUN2000L-5KTL</t>
  </si>
  <si>
    <t>SUN2000L-5KTL-L1</t>
  </si>
  <si>
    <t>SUN2000-5KTL-M0</t>
  </si>
  <si>
    <t>380/400</t>
  </si>
  <si>
    <t>220/230</t>
  </si>
  <si>
    <t>SUN2000L-6KTL-L1</t>
  </si>
  <si>
    <t>SUN2000-8KTL</t>
  </si>
  <si>
    <t>SUN2000-8KTL-M0</t>
  </si>
  <si>
    <t>SUN2000-8KTL-M2</t>
  </si>
  <si>
    <t>SUN2000-10KTL</t>
  </si>
  <si>
    <t>SUN2000-10KTL-M0</t>
  </si>
  <si>
    <t>SUN2000-10KTL-M2</t>
  </si>
  <si>
    <t>SUN2000-12KTL</t>
  </si>
  <si>
    <t>SUN2000-12KTL-M0</t>
  </si>
  <si>
    <t>220/380</t>
  </si>
  <si>
    <t>SUN2000-12KTL-M2</t>
  </si>
  <si>
    <t>SUN2000-15KTL-M0</t>
  </si>
  <si>
    <t>SUN2000-15KTL-M2</t>
  </si>
  <si>
    <t>SUN2000-17KTL</t>
  </si>
  <si>
    <t>SUN2000-17KTL-M0</t>
  </si>
  <si>
    <t>SUN2000-17KTL-M2</t>
  </si>
  <si>
    <t>SUN2000-20KTL</t>
  </si>
  <si>
    <t>SUN2000-20KTL-M0</t>
  </si>
  <si>
    <t>SUN2000-20KTL-M2</t>
  </si>
  <si>
    <t>SUN2000-20KTL-M3</t>
  </si>
  <si>
    <t>SUN2000-23KTL</t>
  </si>
  <si>
    <t>SUN2000-28KTL</t>
  </si>
  <si>
    <t>SUN2000-29.9KTL</t>
  </si>
  <si>
    <t>SUN2000-29.9KTL-M3</t>
  </si>
  <si>
    <t>SUN2000-30KTL-M3</t>
  </si>
  <si>
    <t>400/480</t>
  </si>
  <si>
    <t>SUN2000-33KTL-A</t>
  </si>
  <si>
    <t>SUN2000-36KTL</t>
  </si>
  <si>
    <t>620/720</t>
  </si>
  <si>
    <t>SUN2000-42KTL</t>
  </si>
  <si>
    <t>SUN2000-40KTL-M3</t>
  </si>
  <si>
    <t>SUN2000-50KTL-M0</t>
  </si>
  <si>
    <t>SIW500H ST060</t>
  </si>
  <si>
    <t>SUN2000-60KTL-M0</t>
  </si>
  <si>
    <t>600/720</t>
  </si>
  <si>
    <t>SUN2000-65KTL-M0</t>
  </si>
  <si>
    <t>SUN2000-75KTL-M1</t>
  </si>
  <si>
    <t>SUN2000-100KTL-M0</t>
  </si>
  <si>
    <t>SUN2000-100KTL-M1</t>
  </si>
  <si>
    <t>SUN2000-110KTL-M0</t>
  </si>
  <si>
    <t>SUN2000-125KTL-M0</t>
  </si>
  <si>
    <t>SUN2000-90KTL-H0</t>
  </si>
  <si>
    <t>SUN2000-90KTL-H1</t>
  </si>
  <si>
    <t>SUN2000-90KTL-H2</t>
  </si>
  <si>
    <t>SUN2000-100KTL-H0</t>
  </si>
  <si>
    <t>SUN2000-100KTL-H1</t>
  </si>
  <si>
    <t>SUN2000-100KTL-H2</t>
  </si>
  <si>
    <t>SUN2000-105KTL-H1</t>
  </si>
  <si>
    <t>SUN2000-196KTL-H0</t>
  </si>
  <si>
    <t>SUN2000-200KTL-H2</t>
  </si>
  <si>
    <t>SUN2000-215KTL-H0</t>
  </si>
  <si>
    <t>SIW500H ST075 W0</t>
  </si>
  <si>
    <t>SIW500H ST100 W0</t>
  </si>
  <si>
    <t>WEG SIW500H SK020</t>
  </si>
  <si>
    <t>SIW500H ST100 HV</t>
  </si>
  <si>
    <t>SIW500H ST200 H0</t>
  </si>
  <si>
    <t>4,/5,/5</t>
  </si>
  <si>
    <t>SIW500H ST200 H3</t>
  </si>
  <si>
    <t>4,/5/5</t>
  </si>
  <si>
    <t>SIW500H ST200 HV</t>
  </si>
  <si>
    <t>SIW500G H250 W0</t>
  </si>
  <si>
    <t>4,/5/5/4/5/5</t>
  </si>
  <si>
    <t>SIW500G H300 W0</t>
  </si>
  <si>
    <t>PHB1500-NS</t>
  </si>
  <si>
    <t>PHB</t>
  </si>
  <si>
    <t>PHB3000-NS</t>
  </si>
  <si>
    <t>PHB5000D-NS</t>
  </si>
  <si>
    <t>PHB14K-DT</t>
  </si>
  <si>
    <t>PHB20K-DT</t>
  </si>
  <si>
    <t>PHB25K-DT</t>
  </si>
  <si>
    <t>PHB35K-MT</t>
  </si>
  <si>
    <t>PHB50K-MT</t>
  </si>
  <si>
    <t>PHB60K-MT</t>
  </si>
  <si>
    <t>SIW500G T075 W0</t>
  </si>
  <si>
    <t>SIW500G T100 W0</t>
  </si>
  <si>
    <t>SIW600 T020-44</t>
  </si>
  <si>
    <t>SIW100G M010 W00</t>
  </si>
  <si>
    <t>SIW420G K025 W00</t>
  </si>
  <si>
    <t>65,6A</t>
  </si>
  <si>
    <t>SIW420G K075 W00</t>
  </si>
  <si>
    <t>SIW300 M015</t>
  </si>
  <si>
    <t>SMA</t>
  </si>
  <si>
    <t>SIW300 M025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</si>
</sst>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name val="Arial"/>
      <charset val="134"/>
    </font>
    <font>
      <b/>
      <sz val="12"/>
      <color rgb="FFFF0000"/>
      <name val="Arial"/>
      <charset val="134"/>
    </font>
    <font>
      <sz val="11"/>
      <color rgb="FFFF0000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8B6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32" applyNumberFormat="0" applyAlignment="0" applyProtection="0">
      <alignment vertical="center"/>
    </xf>
    <xf numFmtId="0" fontId="19" fillId="7" borderId="33" applyNumberFormat="0" applyAlignment="0" applyProtection="0">
      <alignment vertical="center"/>
    </xf>
    <xf numFmtId="0" fontId="20" fillId="7" borderId="32" applyNumberFormat="0" applyAlignment="0" applyProtection="0">
      <alignment vertical="center"/>
    </xf>
    <xf numFmtId="0" fontId="21" fillId="8" borderId="34" applyNumberForma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58" fontId="3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/>
    <xf numFmtId="0" fontId="1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25" xfId="0" applyFill="1" applyBorder="1"/>
    <xf numFmtId="17" fontId="6" fillId="3" borderId="0" xfId="0" applyNumberFormat="1" applyFont="1" applyFill="1" applyAlignment="1">
      <alignment horizontal="center" vertical="center"/>
    </xf>
    <xf numFmtId="0" fontId="7" fillId="2" borderId="0" xfId="0" applyFont="1" applyFill="1"/>
    <xf numFmtId="17" fontId="4" fillId="3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7" fontId="8" fillId="3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center"/>
    </xf>
    <xf numFmtId="0" fontId="0" fillId="2" borderId="19" xfId="0" applyFill="1" applyBorder="1"/>
    <xf numFmtId="0" fontId="0" fillId="2" borderId="28" xfId="0" applyFill="1" applyBorder="1"/>
    <xf numFmtId="0" fontId="5" fillId="0" borderId="2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vertical="center"/>
    </xf>
    <xf numFmtId="0" fontId="0" fillId="2" borderId="26" xfId="0" applyFill="1" applyBorder="1"/>
    <xf numFmtId="0" fontId="0" fillId="2" borderId="27" xfId="0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142874</xdr:colOff>
      <xdr:row>1</xdr:row>
      <xdr:rowOff>57150</xdr:rowOff>
    </xdr:from>
    <xdr:to>
      <xdr:col>2</xdr:col>
      <xdr:colOff>1743075</xdr:colOff>
      <xdr:row>4</xdr:row>
      <xdr:rowOff>185315</xdr:rowOff>
    </xdr:to>
    <xdr:pic>
      <xdr:nvPicPr>
        <xdr:cNvPr id="4" name="Imagem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7540" y="247650"/>
          <a:ext cx="1600835" cy="870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>
    <pageSetUpPr fitToPage="1"/>
  </sheetPr>
  <dimension ref="A1:BL740"/>
  <sheetViews>
    <sheetView tabSelected="1" topLeftCell="A3" workbookViewId="0">
      <selection activeCell="D8" sqref="D8"/>
    </sheetView>
  </sheetViews>
  <sheetFormatPr defaultColWidth="9" defaultRowHeight="15"/>
  <cols>
    <col min="1" max="2" width="3.71428571428571" style="35" customWidth="1"/>
    <col min="3" max="3" width="32.8571428571429" customWidth="1"/>
    <col min="4" max="4" width="29.2857142857143" style="6" customWidth="1"/>
    <col min="5" max="5" width="3.71428571428571" style="35" customWidth="1"/>
    <col min="6" max="6" width="46.1428571428571" customWidth="1"/>
    <col min="7" max="7" width="26.7142857142857" customWidth="1"/>
    <col min="8" max="8" width="3.71428571428571" style="35" customWidth="1"/>
    <col min="9" max="9" width="41.7142857142857" customWidth="1"/>
    <col min="10" max="10" width="25" customWidth="1"/>
    <col min="11" max="11" width="43" customWidth="1"/>
    <col min="12" max="12" width="3.71428571428571" style="35" customWidth="1"/>
    <col min="13" max="13" width="25.1428571428571" style="35" customWidth="1"/>
    <col min="14" max="14" width="32" style="35" customWidth="1"/>
    <col min="15" max="15" width="33.4285714285714" style="35" customWidth="1"/>
    <col min="16" max="64" width="9" style="35"/>
  </cols>
  <sheetData>
    <row r="1" s="33" customFormat="1" spans="1:64">
      <c r="A1" s="34"/>
      <c r="B1" s="34"/>
      <c r="D1" s="36"/>
      <c r="E1" s="34"/>
      <c r="H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</row>
    <row r="2" s="33" customFormat="1" ht="19.5" customHeight="1" spans="1:64">
      <c r="A2" s="34"/>
      <c r="B2" s="37"/>
      <c r="C2" s="38"/>
      <c r="D2" s="39" t="s">
        <v>0</v>
      </c>
      <c r="E2" s="40"/>
      <c r="F2" s="40"/>
      <c r="G2" s="40"/>
      <c r="H2" s="40"/>
      <c r="I2" s="62"/>
      <c r="J2" s="63" t="s">
        <v>1</v>
      </c>
      <c r="K2" s="63"/>
      <c r="L2" s="6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</row>
    <row r="3" s="33" customFormat="1" ht="19.5" customHeight="1" spans="1:64">
      <c r="A3" s="34"/>
      <c r="B3" s="41"/>
      <c r="C3" s="42"/>
      <c r="D3" s="43"/>
      <c r="E3" s="44"/>
      <c r="F3" s="44"/>
      <c r="G3" s="44"/>
      <c r="H3" s="44"/>
      <c r="I3" s="64"/>
      <c r="J3" s="63"/>
      <c r="K3" s="63"/>
      <c r="L3" s="6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</row>
    <row r="4" s="33" customFormat="1" ht="19.5" customHeight="1" spans="1:64">
      <c r="A4" s="34"/>
      <c r="B4" s="41"/>
      <c r="C4" s="42"/>
      <c r="D4" s="43"/>
      <c r="E4" s="44"/>
      <c r="F4" s="44"/>
      <c r="G4" s="44"/>
      <c r="H4" s="44"/>
      <c r="I4" s="64"/>
      <c r="J4" s="63" t="s">
        <v>2</v>
      </c>
      <c r="K4" s="63"/>
      <c r="L4" s="6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</row>
    <row r="5" s="33" customFormat="1" ht="19.5" customHeight="1" spans="1:64">
      <c r="A5" s="34"/>
      <c r="B5" s="45"/>
      <c r="C5" s="46"/>
      <c r="D5" s="47"/>
      <c r="E5" s="48"/>
      <c r="F5" s="48"/>
      <c r="G5" s="48"/>
      <c r="H5" s="48"/>
      <c r="I5" s="65"/>
      <c r="J5" s="63"/>
      <c r="K5" s="63"/>
      <c r="L5" s="63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</row>
    <row r="6" s="34" customFormat="1" spans="2:12">
      <c r="B6" s="49"/>
      <c r="C6" s="50"/>
      <c r="D6" s="51"/>
      <c r="E6" s="50"/>
      <c r="F6" s="50"/>
      <c r="G6" s="50"/>
      <c r="H6" s="50"/>
      <c r="I6" s="50"/>
      <c r="J6" s="50"/>
      <c r="K6" s="50"/>
      <c r="L6" s="66"/>
    </row>
    <row r="7" ht="15.75" spans="2:12">
      <c r="B7" s="52"/>
      <c r="C7" s="53" t="s">
        <v>3</v>
      </c>
      <c r="D7" s="53"/>
      <c r="E7" s="54"/>
      <c r="F7" s="53" t="s">
        <v>4</v>
      </c>
      <c r="G7" s="53"/>
      <c r="H7" s="54"/>
      <c r="I7" s="53" t="s">
        <v>5</v>
      </c>
      <c r="J7" s="53"/>
      <c r="L7" s="67"/>
    </row>
    <row r="8" spans="2:12">
      <c r="B8" s="52"/>
      <c r="C8" s="55" t="s">
        <v>4</v>
      </c>
      <c r="D8" s="56" t="s">
        <v>6</v>
      </c>
      <c r="F8" s="55" t="s">
        <v>7</v>
      </c>
      <c r="G8" s="56" t="str">
        <f>$D$8</f>
        <v>WPV 550 HMM3</v>
      </c>
      <c r="I8" s="55" t="s">
        <v>7</v>
      </c>
      <c r="J8" s="56" t="str">
        <f>$D$9</f>
        <v>SUN2000-36KTL-M3</v>
      </c>
      <c r="L8" s="67"/>
    </row>
    <row r="9" spans="2:12">
      <c r="B9" s="52"/>
      <c r="C9" s="55" t="s">
        <v>5</v>
      </c>
      <c r="D9" s="56" t="s">
        <v>8</v>
      </c>
      <c r="F9" s="55" t="s">
        <v>9</v>
      </c>
      <c r="G9" s="56">
        <f>VLOOKUP($G$8,mod_Dados,9,0)</f>
        <v>550</v>
      </c>
      <c r="I9" s="55" t="s">
        <v>9</v>
      </c>
      <c r="J9" s="56">
        <f>VLOOKUP($J$8,inv_Dados,13,0)</f>
        <v>36000</v>
      </c>
      <c r="L9" s="67"/>
    </row>
    <row r="10" spans="2:12">
      <c r="B10" s="52"/>
      <c r="C10" s="55" t="s">
        <v>10</v>
      </c>
      <c r="D10" s="56">
        <v>100</v>
      </c>
      <c r="F10" s="55" t="s">
        <v>11</v>
      </c>
      <c r="G10" s="56">
        <f>$G$16*(1+(($D$12-25)*$G$20/100))</f>
        <v>48.939425</v>
      </c>
      <c r="I10" s="55" t="s">
        <v>12</v>
      </c>
      <c r="J10" s="56">
        <f>VLOOKUP($J$8,inv_Dados,18,0)</f>
        <v>200</v>
      </c>
      <c r="L10" s="67"/>
    </row>
    <row r="11" spans="2:12">
      <c r="B11" s="52"/>
      <c r="C11" s="55" t="s">
        <v>13</v>
      </c>
      <c r="D11" s="56">
        <v>16</v>
      </c>
      <c r="F11" s="55" t="s">
        <v>14</v>
      </c>
      <c r="G11" s="56">
        <f>$G$16*(1+(($D$11-25)*$G$20/100))</f>
        <v>51.135025</v>
      </c>
      <c r="I11" s="55" t="s">
        <v>15</v>
      </c>
      <c r="J11" s="56">
        <f>VLOOKUP($J$8,inv_Dados,17,0)</f>
        <v>1100</v>
      </c>
      <c r="L11" s="67"/>
    </row>
    <row r="12" spans="2:12">
      <c r="B12" s="52"/>
      <c r="C12" s="55" t="s">
        <v>16</v>
      </c>
      <c r="D12" s="56">
        <v>32</v>
      </c>
      <c r="F12" s="55" t="s">
        <v>17</v>
      </c>
      <c r="G12" s="56">
        <f>$G$17*(1+(($D$12-25)*$G$20/100))</f>
        <v>41.15227</v>
      </c>
      <c r="I12" s="55" t="s">
        <v>18</v>
      </c>
      <c r="J12" s="56">
        <f>VLOOKUP($J$8,inv_Dados,20,0)</f>
        <v>200</v>
      </c>
      <c r="L12" s="67"/>
    </row>
    <row r="13" spans="2:12">
      <c r="B13" s="52"/>
      <c r="C13" s="55" t="s">
        <v>19</v>
      </c>
      <c r="D13" s="56">
        <f>IF(TRUNC(J17/G15*1.2)&gt;J18,J18,TRUNC(J17/G15))</f>
        <v>1</v>
      </c>
      <c r="F13" s="55" t="s">
        <v>20</v>
      </c>
      <c r="G13" s="56">
        <f>$G$17*(1+(($D$11-25)*$G$20/100))</f>
        <v>42.99851</v>
      </c>
      <c r="I13" s="55" t="s">
        <v>21</v>
      </c>
      <c r="J13" s="56">
        <f>VLOOKUP($J$8,inv_Dados,19,0)</f>
        <v>1000</v>
      </c>
      <c r="L13" s="67"/>
    </row>
    <row r="14" spans="2:12">
      <c r="B14" s="52"/>
      <c r="C14" s="55" t="s">
        <v>22</v>
      </c>
      <c r="D14" s="56">
        <f>ROUNDUP(IF((J10/G10)&gt;(J12/G12),J10/G10,4),0)</f>
        <v>4</v>
      </c>
      <c r="F14" s="55" t="s">
        <v>23</v>
      </c>
      <c r="G14" s="56">
        <f>$G$18*(1+(($D$12-25)*$G$21/100))</f>
        <v>14.0441</v>
      </c>
      <c r="I14" s="55" t="s">
        <v>24</v>
      </c>
      <c r="J14" s="56">
        <f>VLOOKUP($J$8,inv_Dados,22,0)</f>
        <v>200</v>
      </c>
      <c r="L14" s="67"/>
    </row>
    <row r="15" spans="2:12">
      <c r="B15" s="52"/>
      <c r="C15" s="55" t="s">
        <v>25</v>
      </c>
      <c r="D15" s="56">
        <f>TRUNC(J11/G16,0)</f>
        <v>22</v>
      </c>
      <c r="F15" s="55" t="s">
        <v>26</v>
      </c>
      <c r="G15" s="56">
        <f>$G$19*(1+(($D$12-25)*$G$21/100))</f>
        <v>13.1512965</v>
      </c>
      <c r="I15" s="55" t="s">
        <v>27</v>
      </c>
      <c r="J15" s="56">
        <f>VLOOKUP($J$8,inv_Dados,21,0)</f>
        <v>1000</v>
      </c>
      <c r="L15" s="67"/>
    </row>
    <row r="16" spans="2:12">
      <c r="B16" s="52"/>
      <c r="C16" s="55" t="s">
        <v>28</v>
      </c>
      <c r="D16" s="56">
        <f>ROUNDUP(IF((J14/G12)&gt;D14,J14/G12,D14),0)</f>
        <v>5</v>
      </c>
      <c r="F16" s="55" t="s">
        <v>29</v>
      </c>
      <c r="G16" s="56">
        <f>VLOOKUP($G$8,mod_Dados,10,0)</f>
        <v>49.9</v>
      </c>
      <c r="I16" s="55" t="s">
        <v>30</v>
      </c>
      <c r="J16" s="56">
        <f>VLOOKUP($J$8,inv_Dados,24,0)</f>
        <v>40</v>
      </c>
      <c r="L16" s="67"/>
    </row>
    <row r="17" spans="2:12">
      <c r="B17" s="52"/>
      <c r="C17" s="55" t="s">
        <v>31</v>
      </c>
      <c r="D17" s="56">
        <f>TRUNC(J15/G13,0)</f>
        <v>23</v>
      </c>
      <c r="F17" s="55" t="s">
        <v>32</v>
      </c>
      <c r="G17" s="56">
        <f>VLOOKUP($G$8,mod_Dados,11,0)</f>
        <v>41.96</v>
      </c>
      <c r="I17" s="55" t="s">
        <v>33</v>
      </c>
      <c r="J17" s="56">
        <f>VLOOKUP($J$8,inv_Dados,25,0)</f>
        <v>26</v>
      </c>
      <c r="L17" s="67"/>
    </row>
    <row r="18" spans="2:12">
      <c r="B18" s="52"/>
      <c r="C18" s="34"/>
      <c r="D18" s="57"/>
      <c r="F18" s="55" t="s">
        <v>34</v>
      </c>
      <c r="G18" s="56">
        <f>VLOOKUP($G$8,mod_Dados,12,0)</f>
        <v>14</v>
      </c>
      <c r="I18" s="55" t="s">
        <v>35</v>
      </c>
      <c r="J18" s="56">
        <f>VLOOKUP($J$8,inv_Dados,15,0)</f>
        <v>2</v>
      </c>
      <c r="L18" s="67"/>
    </row>
    <row r="19" ht="31.5" spans="2:12">
      <c r="B19" s="52"/>
      <c r="C19" s="58" t="s">
        <v>36</v>
      </c>
      <c r="D19" s="56">
        <v>8</v>
      </c>
      <c r="F19" s="55" t="s">
        <v>37</v>
      </c>
      <c r="G19" s="56">
        <f>VLOOKUP($G$8,mod_Dados,13,0)</f>
        <v>13.11</v>
      </c>
      <c r="I19" s="55" t="s">
        <v>38</v>
      </c>
      <c r="J19" s="56">
        <f>VLOOKUP($J$8,inv_Dados,16,0)</f>
        <v>4</v>
      </c>
      <c r="L19" s="67"/>
    </row>
    <row r="20" ht="30" spans="2:12">
      <c r="B20" s="52"/>
      <c r="C20" s="55" t="s">
        <v>39</v>
      </c>
      <c r="D20" s="56">
        <f>ROUNDDOWN((J9*1.5)/G9,0)</f>
        <v>98</v>
      </c>
      <c r="F20" s="55" t="s">
        <v>40</v>
      </c>
      <c r="G20" s="56">
        <f>VLOOKUP($G$8,mod_Dados,15,0)</f>
        <v>-0.275</v>
      </c>
      <c r="I20" s="55" t="s">
        <v>41</v>
      </c>
      <c r="J20" s="56">
        <f>VLOOKUP($J$8,inv_Dados,3,0)/1000</f>
        <v>0.64</v>
      </c>
      <c r="L20" s="67"/>
    </row>
    <row r="21" ht="30" spans="2:12">
      <c r="B21" s="52"/>
      <c r="C21" s="55" t="s">
        <v>42</v>
      </c>
      <c r="D21" s="59" t="str">
        <f>IF((D20+1)&lt;D10+1,"NÃO SUPORTA",D10)</f>
        <v>NÃO SUPORTA</v>
      </c>
      <c r="F21" s="55" t="s">
        <v>43</v>
      </c>
      <c r="G21" s="56">
        <f>VLOOKUP($G$8,mod_Dados,16,0)</f>
        <v>0.045</v>
      </c>
      <c r="I21" s="55" t="s">
        <v>44</v>
      </c>
      <c r="J21" s="56">
        <f>VLOOKUP($J$8,inv_Dados,4,0)/1000</f>
        <v>0.53</v>
      </c>
      <c r="L21" s="67"/>
    </row>
    <row r="22" spans="2:12">
      <c r="B22" s="52"/>
      <c r="C22" s="35"/>
      <c r="D22" s="57"/>
      <c r="F22" s="55" t="s">
        <v>45</v>
      </c>
      <c r="G22" s="56">
        <f>VLOOKUP($G$8,mod_Dados,14,0)</f>
        <v>-0.35</v>
      </c>
      <c r="I22" s="55" t="s">
        <v>46</v>
      </c>
      <c r="J22" s="56">
        <f>VLOOKUP($J$8,inv_Dados,5,0)/1000</f>
        <v>0.27</v>
      </c>
      <c r="L22" s="67"/>
    </row>
    <row r="23" spans="2:12">
      <c r="B23" s="52"/>
      <c r="C23" s="55" t="s">
        <v>47</v>
      </c>
      <c r="D23" s="56">
        <f>K28*2</f>
        <v>40</v>
      </c>
      <c r="F23" s="55" t="s">
        <v>41</v>
      </c>
      <c r="G23" s="56">
        <f>VLOOKUP($G$8,mod_Dados,5,0)/1000</f>
        <v>2.278</v>
      </c>
      <c r="I23" s="35"/>
      <c r="J23" s="35"/>
      <c r="L23" s="67"/>
    </row>
    <row r="24" spans="2:12">
      <c r="B24" s="52"/>
      <c r="C24" s="55" t="s">
        <v>48</v>
      </c>
      <c r="D24" s="56">
        <f>D23*4</f>
        <v>160</v>
      </c>
      <c r="F24" s="55" t="s">
        <v>44</v>
      </c>
      <c r="G24" s="56">
        <f>VLOOKUP($G$8,mod_Dados,6,0)/1000</f>
        <v>1.134</v>
      </c>
      <c r="I24" s="35"/>
      <c r="J24" s="35"/>
      <c r="L24" s="67"/>
    </row>
    <row r="25" spans="2:12">
      <c r="B25" s="52"/>
      <c r="C25" s="55" t="s">
        <v>49</v>
      </c>
      <c r="D25" s="56">
        <f>D23*8</f>
        <v>320</v>
      </c>
      <c r="F25" s="55" t="s">
        <v>46</v>
      </c>
      <c r="G25" s="56">
        <f>VLOOKUP($G$8,mod_Dados,7,0)/1000</f>
        <v>0.03</v>
      </c>
      <c r="I25" s="35"/>
      <c r="J25" s="35"/>
      <c r="L25" s="67"/>
    </row>
    <row r="26" s="35" customFormat="1" spans="2:12">
      <c r="B26" s="52"/>
      <c r="L26" s="67"/>
    </row>
    <row r="27" s="35" customFormat="1" spans="2:12">
      <c r="B27" s="52"/>
      <c r="C27" s="55" t="s">
        <v>50</v>
      </c>
      <c r="D27" s="56">
        <f>K29</f>
        <v>220</v>
      </c>
      <c r="L27" s="67"/>
    </row>
    <row r="28" s="35" customFormat="1" spans="2:12">
      <c r="B28" s="52"/>
      <c r="C28" s="55" t="s">
        <v>51</v>
      </c>
      <c r="D28" s="56">
        <f>ROUNDUP(((105*2)*D27/1000),0)</f>
        <v>47</v>
      </c>
      <c r="K28" s="35">
        <f>ROUNDUP(((D10*(G24+0.06))/6),0)</f>
        <v>20</v>
      </c>
      <c r="L28" s="67"/>
    </row>
    <row r="29" s="35" customFormat="1" spans="2:12">
      <c r="B29" s="52"/>
      <c r="C29" s="55" t="s">
        <v>52</v>
      </c>
      <c r="D29" s="56">
        <f>ROUNDDOWN((D27/10),0)</f>
        <v>22</v>
      </c>
      <c r="K29" s="35">
        <f>ROUNDUP(((D10*22)/10),0)</f>
        <v>220</v>
      </c>
      <c r="L29" s="67"/>
    </row>
    <row r="30" s="35" customFormat="1" spans="2:12">
      <c r="B30" s="52"/>
      <c r="C30" s="55" t="s">
        <v>53</v>
      </c>
      <c r="D30" s="56">
        <f>D27*2</f>
        <v>440</v>
      </c>
      <c r="L30" s="67"/>
    </row>
    <row r="31" s="35" customFormat="1" spans="2:12"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8"/>
    </row>
    <row r="32" s="35" customFormat="1"/>
    <row r="33" s="35" customFormat="1"/>
    <row r="34" s="35" customFormat="1" spans="4:4">
      <c r="D34" s="57"/>
    </row>
    <row r="35" s="35" customFormat="1" spans="4:4">
      <c r="D35" s="57"/>
    </row>
    <row r="36" s="35" customFormat="1" spans="4:4">
      <c r="D36" s="57"/>
    </row>
    <row r="37" s="35" customFormat="1" spans="4:4">
      <c r="D37" s="57"/>
    </row>
    <row r="38" s="35" customFormat="1" spans="4:4">
      <c r="D38" s="57"/>
    </row>
    <row r="39" s="35" customFormat="1" spans="4:4">
      <c r="D39" s="57"/>
    </row>
    <row r="40" s="35" customFormat="1" spans="4:4">
      <c r="D40" s="57"/>
    </row>
    <row r="41" s="35" customFormat="1" spans="4:4">
      <c r="D41" s="57"/>
    </row>
    <row r="42" s="35" customFormat="1" spans="4:4">
      <c r="D42" s="57"/>
    </row>
    <row r="43" s="35" customFormat="1" spans="4:4">
      <c r="D43" s="57"/>
    </row>
    <row r="44" s="35" customFormat="1" spans="4:4">
      <c r="D44" s="57"/>
    </row>
    <row r="45" s="35" customFormat="1" spans="4:4">
      <c r="D45" s="57"/>
    </row>
    <row r="46" s="35" customFormat="1" spans="4:4">
      <c r="D46" s="57"/>
    </row>
    <row r="47" s="35" customFormat="1" spans="4:4">
      <c r="D47" s="57"/>
    </row>
    <row r="48" s="35" customFormat="1" spans="4:4">
      <c r="D48" s="57"/>
    </row>
    <row r="49" s="35" customFormat="1" spans="4:4">
      <c r="D49" s="57"/>
    </row>
    <row r="50" s="35" customFormat="1" spans="4:4">
      <c r="D50" s="57"/>
    </row>
    <row r="51" s="35" customFormat="1" spans="4:4">
      <c r="D51" s="57"/>
    </row>
    <row r="52" s="35" customFormat="1" spans="4:4">
      <c r="D52" s="57"/>
    </row>
    <row r="53" s="35" customFormat="1" spans="4:4">
      <c r="D53" s="57"/>
    </row>
    <row r="54" s="35" customFormat="1" spans="4:4">
      <c r="D54" s="57"/>
    </row>
    <row r="55" s="35" customFormat="1" spans="4:4">
      <c r="D55" s="57"/>
    </row>
    <row r="56" s="35" customFormat="1" spans="4:4">
      <c r="D56" s="57"/>
    </row>
    <row r="57" s="35" customFormat="1" spans="4:4">
      <c r="D57" s="57"/>
    </row>
    <row r="58" s="35" customFormat="1" spans="4:4">
      <c r="D58" s="57"/>
    </row>
    <row r="59" s="35" customFormat="1" spans="4:4">
      <c r="D59" s="57"/>
    </row>
    <row r="60" s="35" customFormat="1" spans="4:4">
      <c r="D60" s="57"/>
    </row>
    <row r="61" s="35" customFormat="1" spans="4:4">
      <c r="D61" s="57"/>
    </row>
    <row r="62" s="35" customFormat="1" spans="4:4">
      <c r="D62" s="57"/>
    </row>
    <row r="63" s="35" customFormat="1" spans="4:4">
      <c r="D63" s="57"/>
    </row>
    <row r="64" s="35" customFormat="1" spans="4:4">
      <c r="D64" s="57"/>
    </row>
    <row r="65" s="35" customFormat="1" spans="4:4">
      <c r="D65" s="57"/>
    </row>
    <row r="66" s="35" customFormat="1" spans="4:4">
      <c r="D66" s="57"/>
    </row>
    <row r="67" s="35" customFormat="1" spans="4:4">
      <c r="D67" s="57"/>
    </row>
    <row r="68" s="35" customFormat="1" spans="4:4">
      <c r="D68" s="57"/>
    </row>
    <row r="69" s="35" customFormat="1" spans="4:4">
      <c r="D69" s="57"/>
    </row>
    <row r="70" s="35" customFormat="1" spans="4:4">
      <c r="D70" s="57"/>
    </row>
    <row r="71" s="35" customFormat="1" spans="4:4">
      <c r="D71" s="57"/>
    </row>
    <row r="72" s="35" customFormat="1" spans="4:4">
      <c r="D72" s="57"/>
    </row>
    <row r="73" s="35" customFormat="1" spans="4:4">
      <c r="D73" s="57"/>
    </row>
    <row r="74" s="35" customFormat="1" spans="4:4">
      <c r="D74" s="57"/>
    </row>
    <row r="75" s="35" customFormat="1" spans="4:4">
      <c r="D75" s="57"/>
    </row>
    <row r="76" s="35" customFormat="1" spans="4:4">
      <c r="D76" s="57"/>
    </row>
    <row r="77" s="35" customFormat="1" spans="4:4">
      <c r="D77" s="57"/>
    </row>
    <row r="78" s="35" customFormat="1" spans="4:4">
      <c r="D78" s="57"/>
    </row>
    <row r="79" s="35" customFormat="1" spans="4:4">
      <c r="D79" s="57"/>
    </row>
    <row r="80" s="35" customFormat="1" spans="4:4">
      <c r="D80" s="57"/>
    </row>
    <row r="81" s="35" customFormat="1" spans="4:4">
      <c r="D81" s="57"/>
    </row>
    <row r="82" s="35" customFormat="1" spans="4:4">
      <c r="D82" s="57"/>
    </row>
    <row r="83" s="35" customFormat="1" spans="4:4">
      <c r="D83" s="57"/>
    </row>
    <row r="84" s="35" customFormat="1" spans="4:4">
      <c r="D84" s="57"/>
    </row>
    <row r="85" s="35" customFormat="1" spans="4:4">
      <c r="D85" s="57"/>
    </row>
    <row r="86" s="35" customFormat="1" spans="4:4">
      <c r="D86" s="57"/>
    </row>
    <row r="87" s="35" customFormat="1" spans="4:4">
      <c r="D87" s="57"/>
    </row>
    <row r="88" s="35" customFormat="1" spans="4:4">
      <c r="D88" s="57"/>
    </row>
    <row r="89" s="35" customFormat="1" spans="4:4">
      <c r="D89" s="57"/>
    </row>
    <row r="90" s="35" customFormat="1" spans="4:4">
      <c r="D90" s="57"/>
    </row>
    <row r="91" s="35" customFormat="1" spans="4:4">
      <c r="D91" s="57"/>
    </row>
    <row r="92" s="35" customFormat="1" spans="4:4">
      <c r="D92" s="57"/>
    </row>
    <row r="93" s="35" customFormat="1" spans="4:4">
      <c r="D93" s="57"/>
    </row>
    <row r="94" s="35" customFormat="1" spans="4:4">
      <c r="D94" s="57"/>
    </row>
    <row r="95" s="35" customFormat="1" spans="4:4">
      <c r="D95" s="57"/>
    </row>
    <row r="96" s="35" customFormat="1" spans="4:4">
      <c r="D96" s="57"/>
    </row>
    <row r="97" s="35" customFormat="1" spans="4:4">
      <c r="D97" s="57"/>
    </row>
    <row r="98" s="35" customFormat="1" spans="4:4">
      <c r="D98" s="57"/>
    </row>
    <row r="99" s="35" customFormat="1" spans="4:4">
      <c r="D99" s="57"/>
    </row>
    <row r="100" s="35" customFormat="1" spans="4:4">
      <c r="D100" s="57"/>
    </row>
    <row r="101" s="35" customFormat="1" spans="4:4">
      <c r="D101" s="57"/>
    </row>
    <row r="102" s="35" customFormat="1" spans="4:4">
      <c r="D102" s="57"/>
    </row>
    <row r="103" s="35" customFormat="1" spans="4:4">
      <c r="D103" s="57"/>
    </row>
    <row r="104" s="35" customFormat="1" spans="4:4">
      <c r="D104" s="57"/>
    </row>
    <row r="105" s="35" customFormat="1" spans="4:4">
      <c r="D105" s="57"/>
    </row>
    <row r="106" s="35" customFormat="1" spans="4:4">
      <c r="D106" s="57"/>
    </row>
    <row r="107" s="35" customFormat="1" spans="4:4">
      <c r="D107" s="57"/>
    </row>
    <row r="108" s="35" customFormat="1" spans="4:4">
      <c r="D108" s="57"/>
    </row>
    <row r="109" s="35" customFormat="1" spans="4:4">
      <c r="D109" s="57"/>
    </row>
    <row r="110" s="35" customFormat="1" spans="4:4">
      <c r="D110" s="57"/>
    </row>
    <row r="111" s="35" customFormat="1" spans="4:4">
      <c r="D111" s="57"/>
    </row>
    <row r="112" s="35" customFormat="1" spans="4:4">
      <c r="D112" s="57"/>
    </row>
    <row r="113" s="35" customFormat="1" spans="4:4">
      <c r="D113" s="57"/>
    </row>
    <row r="114" s="35" customFormat="1" spans="4:4">
      <c r="D114" s="57"/>
    </row>
    <row r="115" s="35" customFormat="1" spans="4:4">
      <c r="D115" s="57"/>
    </row>
    <row r="116" s="35" customFormat="1" spans="4:4">
      <c r="D116" s="57"/>
    </row>
    <row r="117" s="35" customFormat="1" spans="4:4">
      <c r="D117" s="57"/>
    </row>
    <row r="118" s="35" customFormat="1" spans="4:4">
      <c r="D118" s="57"/>
    </row>
    <row r="119" s="35" customFormat="1" spans="4:4">
      <c r="D119" s="57"/>
    </row>
    <row r="120" s="35" customFormat="1" spans="4:4">
      <c r="D120" s="57"/>
    </row>
    <row r="121" s="35" customFormat="1" spans="4:4">
      <c r="D121" s="57"/>
    </row>
    <row r="122" s="35" customFormat="1" spans="4:4">
      <c r="D122" s="57"/>
    </row>
    <row r="123" s="35" customFormat="1" spans="4:4">
      <c r="D123" s="57"/>
    </row>
    <row r="124" s="35" customFormat="1" spans="4:4">
      <c r="D124" s="57"/>
    </row>
    <row r="125" s="35" customFormat="1" spans="4:4">
      <c r="D125" s="57"/>
    </row>
    <row r="126" s="35" customFormat="1" spans="4:4">
      <c r="D126" s="57"/>
    </row>
    <row r="127" s="35" customFormat="1" spans="4:4">
      <c r="D127" s="57"/>
    </row>
    <row r="128" s="35" customFormat="1" spans="4:4">
      <c r="D128" s="57"/>
    </row>
    <row r="129" s="35" customFormat="1" spans="4:4">
      <c r="D129" s="57"/>
    </row>
    <row r="130" s="35" customFormat="1" spans="4:4">
      <c r="D130" s="57"/>
    </row>
    <row r="131" s="35" customFormat="1" spans="4:4">
      <c r="D131" s="57"/>
    </row>
    <row r="132" s="35" customFormat="1" spans="4:4">
      <c r="D132" s="57"/>
    </row>
    <row r="133" s="35" customFormat="1" spans="4:4">
      <c r="D133" s="57"/>
    </row>
    <row r="134" s="35" customFormat="1" spans="4:4">
      <c r="D134" s="57"/>
    </row>
    <row r="135" s="35" customFormat="1" spans="4:4">
      <c r="D135" s="57"/>
    </row>
    <row r="136" s="35" customFormat="1" spans="4:4">
      <c r="D136" s="57"/>
    </row>
    <row r="137" s="35" customFormat="1" spans="4:4">
      <c r="D137" s="57"/>
    </row>
    <row r="138" s="35" customFormat="1" spans="4:4">
      <c r="D138" s="57"/>
    </row>
    <row r="139" s="35" customFormat="1" spans="4:4">
      <c r="D139" s="57"/>
    </row>
    <row r="140" s="35" customFormat="1" spans="4:4">
      <c r="D140" s="57"/>
    </row>
    <row r="141" s="35" customFormat="1" spans="4:4">
      <c r="D141" s="57"/>
    </row>
    <row r="142" s="35" customFormat="1" spans="4:4">
      <c r="D142" s="57"/>
    </row>
    <row r="143" s="35" customFormat="1" spans="4:4">
      <c r="D143" s="57"/>
    </row>
    <row r="144" s="35" customFormat="1" spans="4:4">
      <c r="D144" s="57"/>
    </row>
    <row r="145" s="35" customFormat="1" spans="4:4">
      <c r="D145" s="57"/>
    </row>
    <row r="146" s="35" customFormat="1" spans="4:4">
      <c r="D146" s="57"/>
    </row>
    <row r="147" s="35" customFormat="1" spans="4:4">
      <c r="D147" s="57"/>
    </row>
    <row r="148" s="35" customFormat="1" spans="4:4">
      <c r="D148" s="57"/>
    </row>
    <row r="149" s="35" customFormat="1" spans="4:4">
      <c r="D149" s="57"/>
    </row>
    <row r="150" s="35" customFormat="1" spans="4:4">
      <c r="D150" s="57"/>
    </row>
    <row r="151" s="35" customFormat="1" spans="4:4">
      <c r="D151" s="57"/>
    </row>
    <row r="152" s="35" customFormat="1" spans="4:4">
      <c r="D152" s="57"/>
    </row>
    <row r="153" s="35" customFormat="1" spans="4:4">
      <c r="D153" s="57"/>
    </row>
    <row r="154" s="35" customFormat="1" spans="4:4">
      <c r="D154" s="57"/>
    </row>
    <row r="155" s="35" customFormat="1" spans="4:4">
      <c r="D155" s="57"/>
    </row>
    <row r="156" s="35" customFormat="1" spans="4:4">
      <c r="D156" s="57"/>
    </row>
    <row r="157" s="35" customFormat="1" spans="4:4">
      <c r="D157" s="57"/>
    </row>
    <row r="158" s="35" customFormat="1" spans="4:4">
      <c r="D158" s="57"/>
    </row>
    <row r="159" s="35" customFormat="1" spans="4:4">
      <c r="D159" s="57"/>
    </row>
    <row r="160" s="35" customFormat="1" spans="4:4">
      <c r="D160" s="57"/>
    </row>
    <row r="161" s="35" customFormat="1" spans="4:4">
      <c r="D161" s="57"/>
    </row>
    <row r="162" s="35" customFormat="1" spans="4:4">
      <c r="D162" s="57"/>
    </row>
    <row r="163" s="35" customFormat="1" spans="4:4">
      <c r="D163" s="57"/>
    </row>
    <row r="164" s="35" customFormat="1" spans="4:4">
      <c r="D164" s="57"/>
    </row>
    <row r="165" s="35" customFormat="1" spans="4:4">
      <c r="D165" s="57"/>
    </row>
    <row r="166" s="35" customFormat="1" spans="4:4">
      <c r="D166" s="57"/>
    </row>
    <row r="167" s="35" customFormat="1" spans="4:4">
      <c r="D167" s="57"/>
    </row>
    <row r="168" s="35" customFormat="1" spans="4:4">
      <c r="D168" s="57"/>
    </row>
    <row r="169" s="35" customFormat="1" spans="4:4">
      <c r="D169" s="57"/>
    </row>
    <row r="170" s="35" customFormat="1" spans="4:4">
      <c r="D170" s="57"/>
    </row>
    <row r="171" s="35" customFormat="1" spans="4:4">
      <c r="D171" s="57"/>
    </row>
    <row r="172" s="35" customFormat="1" spans="4:4">
      <c r="D172" s="57"/>
    </row>
    <row r="173" s="35" customFormat="1" spans="4:4">
      <c r="D173" s="57"/>
    </row>
    <row r="174" s="35" customFormat="1" spans="4:4">
      <c r="D174" s="57"/>
    </row>
    <row r="175" s="35" customFormat="1" spans="4:4">
      <c r="D175" s="57"/>
    </row>
    <row r="176" s="35" customFormat="1" spans="4:4">
      <c r="D176" s="57"/>
    </row>
    <row r="177" s="35" customFormat="1" spans="4:4">
      <c r="D177" s="57"/>
    </row>
    <row r="178" s="35" customFormat="1" spans="4:4">
      <c r="D178" s="57"/>
    </row>
    <row r="179" s="35" customFormat="1" spans="4:4">
      <c r="D179" s="57"/>
    </row>
    <row r="180" s="35" customFormat="1" spans="4:4">
      <c r="D180" s="57"/>
    </row>
    <row r="181" s="35" customFormat="1" spans="4:4">
      <c r="D181" s="57"/>
    </row>
    <row r="182" s="35" customFormat="1" spans="4:4">
      <c r="D182" s="57"/>
    </row>
    <row r="183" s="35" customFormat="1" spans="4:4">
      <c r="D183" s="57"/>
    </row>
    <row r="184" s="35" customFormat="1" spans="4:4">
      <c r="D184" s="57"/>
    </row>
    <row r="185" s="35" customFormat="1" spans="4:4">
      <c r="D185" s="57"/>
    </row>
    <row r="186" s="35" customFormat="1" spans="4:4">
      <c r="D186" s="57"/>
    </row>
    <row r="187" s="35" customFormat="1" spans="4:4">
      <c r="D187" s="57"/>
    </row>
    <row r="188" s="35" customFormat="1" spans="4:4">
      <c r="D188" s="57"/>
    </row>
    <row r="189" s="35" customFormat="1" spans="4:4">
      <c r="D189" s="57"/>
    </row>
    <row r="190" s="35" customFormat="1" spans="4:4">
      <c r="D190" s="57"/>
    </row>
    <row r="191" s="35" customFormat="1" spans="4:4">
      <c r="D191" s="57"/>
    </row>
    <row r="192" s="35" customFormat="1" spans="4:4">
      <c r="D192" s="57"/>
    </row>
    <row r="193" s="35" customFormat="1" spans="4:4">
      <c r="D193" s="57"/>
    </row>
    <row r="194" s="35" customFormat="1" spans="4:4">
      <c r="D194" s="57"/>
    </row>
    <row r="195" s="35" customFormat="1" spans="4:4">
      <c r="D195" s="57"/>
    </row>
    <row r="196" s="35" customFormat="1" spans="4:4">
      <c r="D196" s="57"/>
    </row>
    <row r="197" s="35" customFormat="1" spans="4:4">
      <c r="D197" s="57"/>
    </row>
    <row r="198" s="35" customFormat="1" spans="4:4">
      <c r="D198" s="57"/>
    </row>
    <row r="199" s="35" customFormat="1" spans="4:4">
      <c r="D199" s="57"/>
    </row>
    <row r="200" s="35" customFormat="1" spans="4:4">
      <c r="D200" s="57"/>
    </row>
    <row r="201" s="35" customFormat="1" spans="4:4">
      <c r="D201" s="57"/>
    </row>
    <row r="202" s="35" customFormat="1" spans="4:4">
      <c r="D202" s="57"/>
    </row>
    <row r="203" s="35" customFormat="1" spans="4:4">
      <c r="D203" s="57"/>
    </row>
    <row r="204" s="35" customFormat="1" spans="4:4">
      <c r="D204" s="57"/>
    </row>
    <row r="205" s="35" customFormat="1" spans="4:4">
      <c r="D205" s="57"/>
    </row>
    <row r="206" s="35" customFormat="1" spans="4:4">
      <c r="D206" s="57"/>
    </row>
    <row r="207" s="35" customFormat="1" spans="4:4">
      <c r="D207" s="57"/>
    </row>
    <row r="208" s="35" customFormat="1" spans="4:4">
      <c r="D208" s="57"/>
    </row>
    <row r="209" s="35" customFormat="1" spans="4:4">
      <c r="D209" s="57"/>
    </row>
    <row r="210" s="35" customFormat="1" spans="4:4">
      <c r="D210" s="57"/>
    </row>
    <row r="211" s="35" customFormat="1" spans="4:4">
      <c r="D211" s="57"/>
    </row>
    <row r="212" s="35" customFormat="1" spans="4:4">
      <c r="D212" s="57"/>
    </row>
    <row r="213" s="35" customFormat="1" spans="4:4">
      <c r="D213" s="57"/>
    </row>
    <row r="214" s="35" customFormat="1" spans="4:4">
      <c r="D214" s="57"/>
    </row>
    <row r="215" s="35" customFormat="1" spans="4:4">
      <c r="D215" s="57"/>
    </row>
    <row r="216" s="35" customFormat="1" spans="4:4">
      <c r="D216" s="57"/>
    </row>
    <row r="217" s="35" customFormat="1" spans="4:4">
      <c r="D217" s="57"/>
    </row>
    <row r="218" s="35" customFormat="1" spans="4:4">
      <c r="D218" s="57"/>
    </row>
    <row r="219" s="35" customFormat="1" spans="4:4">
      <c r="D219" s="57"/>
    </row>
    <row r="220" s="35" customFormat="1" spans="4:4">
      <c r="D220" s="57"/>
    </row>
    <row r="221" s="35" customFormat="1" spans="4:4">
      <c r="D221" s="57"/>
    </row>
    <row r="222" s="35" customFormat="1" spans="4:4">
      <c r="D222" s="57"/>
    </row>
    <row r="223" s="35" customFormat="1" spans="4:4">
      <c r="D223" s="57"/>
    </row>
    <row r="224" s="35" customFormat="1" spans="4:4">
      <c r="D224" s="57"/>
    </row>
    <row r="225" s="35" customFormat="1" spans="4:4">
      <c r="D225" s="57"/>
    </row>
    <row r="226" s="35" customFormat="1" spans="4:4">
      <c r="D226" s="57"/>
    </row>
    <row r="227" s="35" customFormat="1" spans="4:4">
      <c r="D227" s="57"/>
    </row>
    <row r="228" s="35" customFormat="1" spans="4:4">
      <c r="D228" s="57"/>
    </row>
    <row r="229" s="35" customFormat="1" spans="4:4">
      <c r="D229" s="57"/>
    </row>
    <row r="230" s="35" customFormat="1" spans="4:4">
      <c r="D230" s="57"/>
    </row>
    <row r="231" s="35" customFormat="1" spans="4:4">
      <c r="D231" s="57"/>
    </row>
    <row r="232" s="35" customFormat="1" spans="4:4">
      <c r="D232" s="57"/>
    </row>
    <row r="233" s="35" customFormat="1" spans="4:4">
      <c r="D233" s="57"/>
    </row>
    <row r="234" s="35" customFormat="1" spans="4:4">
      <c r="D234" s="57"/>
    </row>
    <row r="235" s="35" customFormat="1" spans="4:4">
      <c r="D235" s="57"/>
    </row>
    <row r="236" s="35" customFormat="1" spans="4:4">
      <c r="D236" s="57"/>
    </row>
    <row r="237" s="35" customFormat="1" spans="4:4">
      <c r="D237" s="57"/>
    </row>
    <row r="238" s="35" customFormat="1" spans="4:4">
      <c r="D238" s="57"/>
    </row>
    <row r="239" s="35" customFormat="1" spans="4:4">
      <c r="D239" s="57"/>
    </row>
    <row r="240" s="35" customFormat="1" spans="4:4">
      <c r="D240" s="57"/>
    </row>
    <row r="241" s="35" customFormat="1" spans="4:4">
      <c r="D241" s="57"/>
    </row>
    <row r="242" s="35" customFormat="1" spans="4:4">
      <c r="D242" s="57"/>
    </row>
    <row r="243" s="35" customFormat="1" spans="4:4">
      <c r="D243" s="57"/>
    </row>
    <row r="244" s="35" customFormat="1" spans="4:4">
      <c r="D244" s="57"/>
    </row>
    <row r="245" s="35" customFormat="1" spans="4:4">
      <c r="D245" s="57"/>
    </row>
    <row r="246" s="35" customFormat="1" spans="4:4">
      <c r="D246" s="57"/>
    </row>
    <row r="247" s="35" customFormat="1" spans="4:4">
      <c r="D247" s="57"/>
    </row>
    <row r="248" s="35" customFormat="1" spans="4:4">
      <c r="D248" s="57"/>
    </row>
    <row r="249" s="35" customFormat="1" spans="4:4">
      <c r="D249" s="57"/>
    </row>
    <row r="250" s="35" customFormat="1" spans="4:4">
      <c r="D250" s="57"/>
    </row>
    <row r="251" s="35" customFormat="1" spans="4:4">
      <c r="D251" s="57"/>
    </row>
    <row r="252" s="35" customFormat="1" spans="4:4">
      <c r="D252" s="57"/>
    </row>
    <row r="253" s="35" customFormat="1" spans="4:4">
      <c r="D253" s="57"/>
    </row>
    <row r="254" s="35" customFormat="1" spans="4:4">
      <c r="D254" s="57"/>
    </row>
    <row r="255" s="35" customFormat="1" spans="4:4">
      <c r="D255" s="57"/>
    </row>
    <row r="256" s="35" customFormat="1" spans="4:4">
      <c r="D256" s="57"/>
    </row>
    <row r="257" s="35" customFormat="1" spans="4:4">
      <c r="D257" s="57"/>
    </row>
    <row r="258" s="35" customFormat="1" spans="4:4">
      <c r="D258" s="57"/>
    </row>
    <row r="259" s="35" customFormat="1" spans="4:4">
      <c r="D259" s="57"/>
    </row>
    <row r="260" s="35" customFormat="1" spans="4:4">
      <c r="D260" s="57"/>
    </row>
    <row r="261" s="35" customFormat="1" spans="4:4">
      <c r="D261" s="57"/>
    </row>
    <row r="262" s="35" customFormat="1" spans="4:4">
      <c r="D262" s="57"/>
    </row>
    <row r="263" s="35" customFormat="1" spans="4:4">
      <c r="D263" s="57"/>
    </row>
    <row r="264" s="35" customFormat="1" spans="4:4">
      <c r="D264" s="57"/>
    </row>
    <row r="265" s="35" customFormat="1" spans="4:4">
      <c r="D265" s="57"/>
    </row>
    <row r="266" s="35" customFormat="1" spans="4:4">
      <c r="D266" s="57"/>
    </row>
    <row r="267" s="35" customFormat="1" spans="4:4">
      <c r="D267" s="57"/>
    </row>
    <row r="268" s="35" customFormat="1" spans="4:4">
      <c r="D268" s="57"/>
    </row>
    <row r="269" s="35" customFormat="1" spans="4:4">
      <c r="D269" s="57"/>
    </row>
    <row r="270" s="35" customFormat="1" spans="4:4">
      <c r="D270" s="57"/>
    </row>
    <row r="271" s="35" customFormat="1" spans="4:4">
      <c r="D271" s="57"/>
    </row>
    <row r="272" s="35" customFormat="1" spans="4:4">
      <c r="D272" s="57"/>
    </row>
    <row r="273" s="35" customFormat="1" spans="4:4">
      <c r="D273" s="57"/>
    </row>
    <row r="274" s="35" customFormat="1" spans="4:4">
      <c r="D274" s="57"/>
    </row>
    <row r="275" s="35" customFormat="1" spans="4:4">
      <c r="D275" s="57"/>
    </row>
    <row r="276" s="35" customFormat="1" spans="4:4">
      <c r="D276" s="57"/>
    </row>
    <row r="277" s="35" customFormat="1" spans="4:4">
      <c r="D277" s="57"/>
    </row>
    <row r="278" s="35" customFormat="1" spans="4:4">
      <c r="D278" s="57"/>
    </row>
    <row r="279" s="35" customFormat="1" spans="4:4">
      <c r="D279" s="57"/>
    </row>
    <row r="280" s="35" customFormat="1" spans="4:4">
      <c r="D280" s="57"/>
    </row>
    <row r="281" s="35" customFormat="1" spans="4:4">
      <c r="D281" s="57"/>
    </row>
    <row r="282" s="35" customFormat="1" spans="4:4">
      <c r="D282" s="57"/>
    </row>
    <row r="283" s="35" customFormat="1" spans="4:4">
      <c r="D283" s="57"/>
    </row>
    <row r="284" s="35" customFormat="1" spans="4:4">
      <c r="D284" s="57"/>
    </row>
    <row r="285" s="35" customFormat="1" spans="4:4">
      <c r="D285" s="57"/>
    </row>
    <row r="286" s="35" customFormat="1" spans="4:4">
      <c r="D286" s="57"/>
    </row>
    <row r="287" s="35" customFormat="1" spans="4:4">
      <c r="D287" s="57"/>
    </row>
    <row r="288" s="35" customFormat="1" spans="4:4">
      <c r="D288" s="57"/>
    </row>
    <row r="289" s="35" customFormat="1" spans="4:4">
      <c r="D289" s="57"/>
    </row>
    <row r="290" s="35" customFormat="1" spans="4:4">
      <c r="D290" s="57"/>
    </row>
    <row r="291" s="35" customFormat="1" spans="4:4">
      <c r="D291" s="57"/>
    </row>
    <row r="292" s="35" customFormat="1" spans="4:4">
      <c r="D292" s="57"/>
    </row>
    <row r="293" s="35" customFormat="1" spans="4:4">
      <c r="D293" s="57"/>
    </row>
    <row r="294" s="35" customFormat="1" spans="4:4">
      <c r="D294" s="57"/>
    </row>
    <row r="295" s="35" customFormat="1" spans="4:4">
      <c r="D295" s="57"/>
    </row>
    <row r="296" s="35" customFormat="1" spans="4:4">
      <c r="D296" s="57"/>
    </row>
    <row r="297" s="35" customFormat="1" spans="4:4">
      <c r="D297" s="57"/>
    </row>
    <row r="298" s="35" customFormat="1" spans="4:4">
      <c r="D298" s="57"/>
    </row>
    <row r="299" s="35" customFormat="1" spans="4:4">
      <c r="D299" s="57"/>
    </row>
    <row r="300" s="35" customFormat="1" spans="4:4">
      <c r="D300" s="57"/>
    </row>
    <row r="301" s="35" customFormat="1" spans="4:4">
      <c r="D301" s="57"/>
    </row>
    <row r="302" s="35" customFormat="1" spans="4:4">
      <c r="D302" s="57"/>
    </row>
    <row r="303" s="35" customFormat="1" spans="4:4">
      <c r="D303" s="57"/>
    </row>
    <row r="304" s="35" customFormat="1" spans="4:4">
      <c r="D304" s="57"/>
    </row>
    <row r="305" s="35" customFormat="1" spans="4:4">
      <c r="D305" s="57"/>
    </row>
    <row r="306" s="35" customFormat="1" spans="4:4">
      <c r="D306" s="57"/>
    </row>
    <row r="307" s="35" customFormat="1" spans="4:4">
      <c r="D307" s="57"/>
    </row>
    <row r="308" s="35" customFormat="1" spans="4:4">
      <c r="D308" s="57"/>
    </row>
    <row r="309" s="35" customFormat="1" spans="4:4">
      <c r="D309" s="57"/>
    </row>
    <row r="310" s="35" customFormat="1" spans="4:4">
      <c r="D310" s="57"/>
    </row>
    <row r="311" s="35" customFormat="1" spans="4:4">
      <c r="D311" s="57"/>
    </row>
    <row r="312" s="35" customFormat="1" spans="4:4">
      <c r="D312" s="57"/>
    </row>
    <row r="313" s="35" customFormat="1" spans="4:4">
      <c r="D313" s="57"/>
    </row>
    <row r="314" s="35" customFormat="1" spans="4:4">
      <c r="D314" s="57"/>
    </row>
    <row r="315" s="35" customFormat="1" spans="4:4">
      <c r="D315" s="57"/>
    </row>
    <row r="316" s="35" customFormat="1" spans="4:4">
      <c r="D316" s="57"/>
    </row>
    <row r="317" s="35" customFormat="1" spans="4:4">
      <c r="D317" s="57"/>
    </row>
    <row r="318" s="35" customFormat="1" spans="4:4">
      <c r="D318" s="57"/>
    </row>
    <row r="319" s="35" customFormat="1" spans="4:4">
      <c r="D319" s="57"/>
    </row>
    <row r="320" s="35" customFormat="1" spans="4:4">
      <c r="D320" s="57"/>
    </row>
    <row r="321" s="35" customFormat="1" spans="4:4">
      <c r="D321" s="57"/>
    </row>
    <row r="322" s="35" customFormat="1" spans="4:4">
      <c r="D322" s="57"/>
    </row>
    <row r="323" s="35" customFormat="1" spans="4:4">
      <c r="D323" s="57"/>
    </row>
    <row r="324" s="35" customFormat="1" spans="4:4">
      <c r="D324" s="57"/>
    </row>
    <row r="325" s="35" customFormat="1" spans="4:4">
      <c r="D325" s="57"/>
    </row>
    <row r="326" s="35" customFormat="1" spans="4:4">
      <c r="D326" s="57"/>
    </row>
    <row r="327" s="35" customFormat="1" spans="4:4">
      <c r="D327" s="57"/>
    </row>
    <row r="328" s="35" customFormat="1" spans="4:4">
      <c r="D328" s="57"/>
    </row>
    <row r="329" s="35" customFormat="1" spans="4:4">
      <c r="D329" s="57"/>
    </row>
    <row r="330" s="35" customFormat="1" spans="4:4">
      <c r="D330" s="57"/>
    </row>
    <row r="331" s="35" customFormat="1" spans="4:4">
      <c r="D331" s="57"/>
    </row>
    <row r="332" s="35" customFormat="1" spans="4:4">
      <c r="D332" s="57"/>
    </row>
    <row r="333" s="35" customFormat="1" spans="4:4">
      <c r="D333" s="57"/>
    </row>
    <row r="334" s="35" customFormat="1" spans="4:4">
      <c r="D334" s="57"/>
    </row>
    <row r="335" s="35" customFormat="1" spans="4:4">
      <c r="D335" s="57"/>
    </row>
    <row r="336" s="35" customFormat="1" spans="4:4">
      <c r="D336" s="57"/>
    </row>
    <row r="337" s="35" customFormat="1" spans="4:4">
      <c r="D337" s="57"/>
    </row>
    <row r="338" s="35" customFormat="1" spans="4:4">
      <c r="D338" s="57"/>
    </row>
    <row r="339" s="35" customFormat="1" spans="4:4">
      <c r="D339" s="57"/>
    </row>
    <row r="340" s="35" customFormat="1" spans="4:4">
      <c r="D340" s="57"/>
    </row>
    <row r="341" s="35" customFormat="1" spans="4:4">
      <c r="D341" s="57"/>
    </row>
    <row r="342" s="35" customFormat="1" spans="4:4">
      <c r="D342" s="57"/>
    </row>
    <row r="343" s="35" customFormat="1" spans="4:4">
      <c r="D343" s="57"/>
    </row>
    <row r="344" s="35" customFormat="1" spans="4:4">
      <c r="D344" s="57"/>
    </row>
    <row r="345" s="35" customFormat="1" spans="4:4">
      <c r="D345" s="57"/>
    </row>
    <row r="346" s="35" customFormat="1" spans="4:4">
      <c r="D346" s="57"/>
    </row>
    <row r="347" s="35" customFormat="1" spans="4:4">
      <c r="D347" s="57"/>
    </row>
    <row r="348" s="35" customFormat="1" spans="4:4">
      <c r="D348" s="57"/>
    </row>
    <row r="349" s="35" customFormat="1" spans="4:4">
      <c r="D349" s="57"/>
    </row>
    <row r="350" s="35" customFormat="1" spans="4:4">
      <c r="D350" s="57"/>
    </row>
    <row r="351" s="35" customFormat="1" spans="4:4">
      <c r="D351" s="57"/>
    </row>
    <row r="352" s="35" customFormat="1" spans="4:4">
      <c r="D352" s="57"/>
    </row>
    <row r="353" s="35" customFormat="1" spans="4:4">
      <c r="D353" s="57"/>
    </row>
    <row r="354" s="35" customFormat="1" spans="4:4">
      <c r="D354" s="57"/>
    </row>
    <row r="355" s="35" customFormat="1" spans="4:4">
      <c r="D355" s="57"/>
    </row>
    <row r="356" s="35" customFormat="1" spans="4:4">
      <c r="D356" s="57"/>
    </row>
    <row r="357" s="35" customFormat="1" spans="4:4">
      <c r="D357" s="57"/>
    </row>
    <row r="358" s="35" customFormat="1" spans="4:4">
      <c r="D358" s="57"/>
    </row>
    <row r="359" s="35" customFormat="1" spans="4:4">
      <c r="D359" s="57"/>
    </row>
    <row r="360" s="35" customFormat="1" spans="4:4">
      <c r="D360" s="57"/>
    </row>
    <row r="361" s="35" customFormat="1" spans="4:4">
      <c r="D361" s="57"/>
    </row>
    <row r="362" s="35" customFormat="1" spans="4:4">
      <c r="D362" s="57"/>
    </row>
    <row r="363" s="35" customFormat="1" spans="4:4">
      <c r="D363" s="57"/>
    </row>
    <row r="364" s="35" customFormat="1" spans="4:4">
      <c r="D364" s="57"/>
    </row>
    <row r="365" s="35" customFormat="1" spans="4:4">
      <c r="D365" s="57"/>
    </row>
    <row r="366" s="35" customFormat="1" spans="4:4">
      <c r="D366" s="57"/>
    </row>
    <row r="367" s="35" customFormat="1" spans="4:4">
      <c r="D367" s="57"/>
    </row>
    <row r="368" s="35" customFormat="1" spans="4:4">
      <c r="D368" s="57"/>
    </row>
    <row r="369" s="35" customFormat="1" spans="4:4">
      <c r="D369" s="57"/>
    </row>
    <row r="370" s="35" customFormat="1" spans="4:4">
      <c r="D370" s="57"/>
    </row>
    <row r="371" s="35" customFormat="1" spans="4:4">
      <c r="D371" s="57"/>
    </row>
    <row r="372" s="35" customFormat="1" spans="4:4">
      <c r="D372" s="57"/>
    </row>
    <row r="373" s="35" customFormat="1" spans="4:4">
      <c r="D373" s="57"/>
    </row>
    <row r="374" s="35" customFormat="1" spans="4:4">
      <c r="D374" s="57"/>
    </row>
    <row r="375" s="35" customFormat="1" spans="4:4">
      <c r="D375" s="57"/>
    </row>
    <row r="376" s="35" customFormat="1" spans="4:4">
      <c r="D376" s="57"/>
    </row>
    <row r="377" s="35" customFormat="1" spans="4:4">
      <c r="D377" s="57"/>
    </row>
    <row r="378" s="35" customFormat="1" spans="4:4">
      <c r="D378" s="57"/>
    </row>
    <row r="379" s="35" customFormat="1" spans="4:4">
      <c r="D379" s="57"/>
    </row>
    <row r="380" s="35" customFormat="1" spans="4:4">
      <c r="D380" s="57"/>
    </row>
    <row r="381" s="35" customFormat="1" spans="4:4">
      <c r="D381" s="57"/>
    </row>
    <row r="382" s="35" customFormat="1" spans="4:4">
      <c r="D382" s="57"/>
    </row>
    <row r="383" s="35" customFormat="1" spans="4:4">
      <c r="D383" s="57"/>
    </row>
    <row r="384" s="35" customFormat="1" spans="4:4">
      <c r="D384" s="57"/>
    </row>
    <row r="385" s="35" customFormat="1" spans="4:4">
      <c r="D385" s="57"/>
    </row>
    <row r="386" s="35" customFormat="1" spans="4:4">
      <c r="D386" s="57"/>
    </row>
    <row r="387" s="35" customFormat="1" spans="4:4">
      <c r="D387" s="57"/>
    </row>
    <row r="388" s="35" customFormat="1" spans="4:4">
      <c r="D388" s="57"/>
    </row>
    <row r="389" s="35" customFormat="1" spans="4:4">
      <c r="D389" s="57"/>
    </row>
    <row r="390" s="35" customFormat="1" spans="4:4">
      <c r="D390" s="57"/>
    </row>
    <row r="391" s="35" customFormat="1" spans="4:4">
      <c r="D391" s="57"/>
    </row>
    <row r="392" s="35" customFormat="1" spans="4:4">
      <c r="D392" s="57"/>
    </row>
    <row r="393" s="35" customFormat="1" spans="4:4">
      <c r="D393" s="57"/>
    </row>
    <row r="394" s="35" customFormat="1" spans="4:4">
      <c r="D394" s="57"/>
    </row>
    <row r="395" s="35" customFormat="1" spans="4:4">
      <c r="D395" s="57"/>
    </row>
    <row r="396" s="35" customFormat="1" spans="4:4">
      <c r="D396" s="57"/>
    </row>
    <row r="397" s="35" customFormat="1" spans="4:4">
      <c r="D397" s="57"/>
    </row>
    <row r="398" s="35" customFormat="1" spans="4:4">
      <c r="D398" s="57"/>
    </row>
    <row r="399" s="35" customFormat="1" spans="4:4">
      <c r="D399" s="57"/>
    </row>
    <row r="400" s="35" customFormat="1" spans="4:4">
      <c r="D400" s="57"/>
    </row>
    <row r="401" s="35" customFormat="1" spans="4:4">
      <c r="D401" s="57"/>
    </row>
    <row r="402" s="35" customFormat="1" spans="4:4">
      <c r="D402" s="57"/>
    </row>
    <row r="403" s="35" customFormat="1" spans="4:4">
      <c r="D403" s="57"/>
    </row>
    <row r="404" s="35" customFormat="1" spans="4:4">
      <c r="D404" s="57"/>
    </row>
    <row r="405" s="35" customFormat="1" spans="4:4">
      <c r="D405" s="57"/>
    </row>
    <row r="406" s="35" customFormat="1" spans="4:4">
      <c r="D406" s="57"/>
    </row>
    <row r="407" s="35" customFormat="1" spans="4:4">
      <c r="D407" s="57"/>
    </row>
    <row r="408" s="35" customFormat="1" spans="4:4">
      <c r="D408" s="57"/>
    </row>
    <row r="409" s="35" customFormat="1" spans="4:4">
      <c r="D409" s="57"/>
    </row>
    <row r="410" s="35" customFormat="1" spans="4:4">
      <c r="D410" s="57"/>
    </row>
    <row r="411" s="35" customFormat="1" spans="4:4">
      <c r="D411" s="57"/>
    </row>
    <row r="412" s="35" customFormat="1" spans="4:4">
      <c r="D412" s="57"/>
    </row>
    <row r="413" s="35" customFormat="1" spans="4:4">
      <c r="D413" s="57"/>
    </row>
    <row r="414" s="35" customFormat="1" spans="4:4">
      <c r="D414" s="57"/>
    </row>
    <row r="415" s="35" customFormat="1" spans="4:4">
      <c r="D415" s="57"/>
    </row>
    <row r="416" s="35" customFormat="1" spans="4:4">
      <c r="D416" s="57"/>
    </row>
    <row r="417" s="35" customFormat="1" spans="4:4">
      <c r="D417" s="57"/>
    </row>
    <row r="418" s="35" customFormat="1" spans="4:4">
      <c r="D418" s="57"/>
    </row>
    <row r="419" s="35" customFormat="1" spans="4:4">
      <c r="D419" s="57"/>
    </row>
    <row r="420" s="35" customFormat="1" spans="4:4">
      <c r="D420" s="57"/>
    </row>
    <row r="421" s="35" customFormat="1" spans="4:4">
      <c r="D421" s="57"/>
    </row>
    <row r="422" s="35" customFormat="1" spans="4:4">
      <c r="D422" s="57"/>
    </row>
    <row r="423" s="35" customFormat="1" spans="4:4">
      <c r="D423" s="57"/>
    </row>
    <row r="424" s="35" customFormat="1" spans="4:4">
      <c r="D424" s="57"/>
    </row>
    <row r="425" s="35" customFormat="1" spans="4:4">
      <c r="D425" s="57"/>
    </row>
    <row r="426" s="35" customFormat="1" spans="4:4">
      <c r="D426" s="57"/>
    </row>
    <row r="427" s="35" customFormat="1" spans="4:4">
      <c r="D427" s="57"/>
    </row>
    <row r="428" s="35" customFormat="1" spans="4:4">
      <c r="D428" s="57"/>
    </row>
    <row r="429" s="35" customFormat="1" spans="4:4">
      <c r="D429" s="57"/>
    </row>
    <row r="430" s="35" customFormat="1" spans="4:4">
      <c r="D430" s="57"/>
    </row>
    <row r="431" s="35" customFormat="1" spans="4:4">
      <c r="D431" s="57"/>
    </row>
    <row r="432" s="35" customFormat="1" spans="4:4">
      <c r="D432" s="57"/>
    </row>
    <row r="433" s="35" customFormat="1" spans="4:4">
      <c r="D433" s="57"/>
    </row>
    <row r="434" s="35" customFormat="1" spans="4:4">
      <c r="D434" s="57"/>
    </row>
    <row r="435" s="35" customFormat="1" spans="4:4">
      <c r="D435" s="57"/>
    </row>
    <row r="436" s="35" customFormat="1" spans="4:4">
      <c r="D436" s="57"/>
    </row>
    <row r="437" s="35" customFormat="1" spans="4:4">
      <c r="D437" s="57"/>
    </row>
    <row r="438" s="35" customFormat="1" spans="4:4">
      <c r="D438" s="57"/>
    </row>
    <row r="439" s="35" customFormat="1" spans="4:4">
      <c r="D439" s="57"/>
    </row>
    <row r="440" s="35" customFormat="1" spans="4:4">
      <c r="D440" s="57"/>
    </row>
    <row r="441" s="35" customFormat="1" spans="4:4">
      <c r="D441" s="57"/>
    </row>
    <row r="442" s="35" customFormat="1" spans="4:4">
      <c r="D442" s="57"/>
    </row>
    <row r="443" s="35" customFormat="1" spans="4:4">
      <c r="D443" s="57"/>
    </row>
    <row r="444" s="35" customFormat="1" spans="4:4">
      <c r="D444" s="57"/>
    </row>
    <row r="445" s="35" customFormat="1" spans="4:4">
      <c r="D445" s="57"/>
    </row>
    <row r="446" s="35" customFormat="1" spans="4:4">
      <c r="D446" s="57"/>
    </row>
    <row r="447" s="35" customFormat="1" spans="4:4">
      <c r="D447" s="57"/>
    </row>
    <row r="448" s="35" customFormat="1" spans="4:4">
      <c r="D448" s="57"/>
    </row>
    <row r="449" s="35" customFormat="1" spans="4:4">
      <c r="D449" s="57"/>
    </row>
    <row r="450" s="35" customFormat="1" spans="4:4">
      <c r="D450" s="57"/>
    </row>
    <row r="451" s="35" customFormat="1" spans="4:4">
      <c r="D451" s="57"/>
    </row>
    <row r="452" s="35" customFormat="1" spans="4:4">
      <c r="D452" s="57"/>
    </row>
    <row r="453" s="35" customFormat="1" spans="4:4">
      <c r="D453" s="57"/>
    </row>
    <row r="454" s="35" customFormat="1" spans="4:4">
      <c r="D454" s="57"/>
    </row>
    <row r="455" s="35" customFormat="1" spans="4:4">
      <c r="D455" s="57"/>
    </row>
    <row r="456" s="35" customFormat="1" spans="4:4">
      <c r="D456" s="57"/>
    </row>
    <row r="457" s="35" customFormat="1" spans="4:4">
      <c r="D457" s="57"/>
    </row>
    <row r="458" s="35" customFormat="1" spans="4:4">
      <c r="D458" s="57"/>
    </row>
    <row r="459" s="35" customFormat="1" spans="4:4">
      <c r="D459" s="57"/>
    </row>
    <row r="460" s="35" customFormat="1" spans="4:4">
      <c r="D460" s="57"/>
    </row>
    <row r="461" s="35" customFormat="1" spans="4:4">
      <c r="D461" s="57"/>
    </row>
    <row r="462" s="35" customFormat="1" spans="4:4">
      <c r="D462" s="57"/>
    </row>
    <row r="463" s="35" customFormat="1" spans="4:4">
      <c r="D463" s="57"/>
    </row>
    <row r="464" s="35" customFormat="1" spans="4:4">
      <c r="D464" s="57"/>
    </row>
    <row r="465" s="35" customFormat="1" spans="4:4">
      <c r="D465" s="57"/>
    </row>
    <row r="466" s="35" customFormat="1" spans="4:4">
      <c r="D466" s="57"/>
    </row>
    <row r="467" s="35" customFormat="1" spans="4:4">
      <c r="D467" s="57"/>
    </row>
    <row r="468" s="35" customFormat="1" spans="4:4">
      <c r="D468" s="57"/>
    </row>
    <row r="469" s="35" customFormat="1" spans="4:4">
      <c r="D469" s="57"/>
    </row>
    <row r="470" s="35" customFormat="1" spans="4:4">
      <c r="D470" s="57"/>
    </row>
    <row r="471" s="35" customFormat="1" spans="4:4">
      <c r="D471" s="57"/>
    </row>
    <row r="472" s="35" customFormat="1" spans="4:4">
      <c r="D472" s="57"/>
    </row>
    <row r="473" s="35" customFormat="1" spans="4:4">
      <c r="D473" s="57"/>
    </row>
    <row r="474" s="35" customFormat="1" spans="4:4">
      <c r="D474" s="57"/>
    </row>
    <row r="475" s="35" customFormat="1" spans="4:4">
      <c r="D475" s="57"/>
    </row>
    <row r="476" s="35" customFormat="1" spans="4:4">
      <c r="D476" s="57"/>
    </row>
    <row r="477" s="35" customFormat="1" spans="4:4">
      <c r="D477" s="57"/>
    </row>
    <row r="478" s="35" customFormat="1" spans="4:4">
      <c r="D478" s="57"/>
    </row>
    <row r="479" s="35" customFormat="1" spans="4:4">
      <c r="D479" s="57"/>
    </row>
    <row r="480" s="35" customFormat="1" spans="4:4">
      <c r="D480" s="57"/>
    </row>
    <row r="481" s="35" customFormat="1" spans="4:4">
      <c r="D481" s="57"/>
    </row>
    <row r="482" s="35" customFormat="1" spans="4:4">
      <c r="D482" s="57"/>
    </row>
    <row r="483" s="35" customFormat="1" spans="4:4">
      <c r="D483" s="57"/>
    </row>
    <row r="484" s="35" customFormat="1" spans="4:4">
      <c r="D484" s="57"/>
    </row>
    <row r="485" s="35" customFormat="1" spans="4:4">
      <c r="D485" s="57"/>
    </row>
    <row r="486" s="35" customFormat="1" spans="4:4">
      <c r="D486" s="57"/>
    </row>
    <row r="487" s="35" customFormat="1" spans="4:4">
      <c r="D487" s="57"/>
    </row>
    <row r="488" s="35" customFormat="1" spans="4:4">
      <c r="D488" s="57"/>
    </row>
    <row r="489" s="35" customFormat="1" spans="4:4">
      <c r="D489" s="57"/>
    </row>
    <row r="490" s="35" customFormat="1" spans="4:4">
      <c r="D490" s="57"/>
    </row>
    <row r="491" s="35" customFormat="1" spans="4:4">
      <c r="D491" s="57"/>
    </row>
    <row r="492" s="35" customFormat="1" spans="4:4">
      <c r="D492" s="57"/>
    </row>
    <row r="493" s="35" customFormat="1" spans="4:4">
      <c r="D493" s="57"/>
    </row>
    <row r="494" s="35" customFormat="1" spans="4:4">
      <c r="D494" s="57"/>
    </row>
    <row r="495" s="35" customFormat="1" spans="4:4">
      <c r="D495" s="57"/>
    </row>
    <row r="496" s="35" customFormat="1" spans="4:4">
      <c r="D496" s="57"/>
    </row>
    <row r="497" s="35" customFormat="1" spans="4:4">
      <c r="D497" s="57"/>
    </row>
    <row r="498" s="35" customFormat="1" spans="4:4">
      <c r="D498" s="57"/>
    </row>
    <row r="499" s="35" customFormat="1" spans="4:4">
      <c r="D499" s="57"/>
    </row>
    <row r="500" s="35" customFormat="1" spans="4:4">
      <c r="D500" s="57"/>
    </row>
    <row r="501" s="35" customFormat="1" spans="4:4">
      <c r="D501" s="57"/>
    </row>
    <row r="502" s="35" customFormat="1" spans="4:4">
      <c r="D502" s="57"/>
    </row>
    <row r="503" s="35" customFormat="1" spans="4:4">
      <c r="D503" s="57"/>
    </row>
    <row r="504" s="35" customFormat="1" spans="4:4">
      <c r="D504" s="57"/>
    </row>
    <row r="505" s="35" customFormat="1" spans="4:4">
      <c r="D505" s="57"/>
    </row>
    <row r="506" s="35" customFormat="1" spans="4:4">
      <c r="D506" s="57"/>
    </row>
    <row r="507" s="35" customFormat="1" spans="4:4">
      <c r="D507" s="57"/>
    </row>
    <row r="508" s="35" customFormat="1" spans="4:4">
      <c r="D508" s="57"/>
    </row>
    <row r="509" s="35" customFormat="1" spans="4:4">
      <c r="D509" s="57"/>
    </row>
    <row r="510" s="35" customFormat="1" spans="4:4">
      <c r="D510" s="57"/>
    </row>
    <row r="511" s="35" customFormat="1" spans="4:4">
      <c r="D511" s="57"/>
    </row>
    <row r="512" s="35" customFormat="1" spans="4:4">
      <c r="D512" s="57"/>
    </row>
    <row r="513" s="35" customFormat="1" spans="4:4">
      <c r="D513" s="57"/>
    </row>
    <row r="514" s="35" customFormat="1" spans="4:4">
      <c r="D514" s="57"/>
    </row>
    <row r="515" s="35" customFormat="1" spans="4:4">
      <c r="D515" s="57"/>
    </row>
    <row r="516" s="35" customFormat="1" spans="4:4">
      <c r="D516" s="57"/>
    </row>
    <row r="517" s="35" customFormat="1" spans="4:4">
      <c r="D517" s="57"/>
    </row>
    <row r="518" s="35" customFormat="1" spans="4:4">
      <c r="D518" s="57"/>
    </row>
    <row r="519" s="35" customFormat="1" spans="4:4">
      <c r="D519" s="57"/>
    </row>
    <row r="520" s="35" customFormat="1" spans="4:4">
      <c r="D520" s="57"/>
    </row>
    <row r="521" s="35" customFormat="1" spans="4:4">
      <c r="D521" s="57"/>
    </row>
    <row r="522" s="35" customFormat="1" spans="4:4">
      <c r="D522" s="57"/>
    </row>
    <row r="523" s="35" customFormat="1" spans="4:4">
      <c r="D523" s="57"/>
    </row>
    <row r="524" s="35" customFormat="1" spans="4:4">
      <c r="D524" s="57"/>
    </row>
    <row r="525" s="35" customFormat="1" spans="4:4">
      <c r="D525" s="57"/>
    </row>
    <row r="526" s="35" customFormat="1" spans="4:4">
      <c r="D526" s="57"/>
    </row>
    <row r="527" s="35" customFormat="1" spans="4:4">
      <c r="D527" s="57"/>
    </row>
    <row r="528" s="35" customFormat="1" spans="4:4">
      <c r="D528" s="57"/>
    </row>
    <row r="529" s="35" customFormat="1" spans="4:4">
      <c r="D529" s="57"/>
    </row>
    <row r="530" s="35" customFormat="1" spans="4:4">
      <c r="D530" s="57"/>
    </row>
    <row r="531" s="35" customFormat="1" spans="4:4">
      <c r="D531" s="57"/>
    </row>
    <row r="532" s="35" customFormat="1" spans="4:4">
      <c r="D532" s="57"/>
    </row>
    <row r="533" s="35" customFormat="1" spans="4:4">
      <c r="D533" s="57"/>
    </row>
    <row r="534" s="35" customFormat="1" spans="4:4">
      <c r="D534" s="57"/>
    </row>
    <row r="535" s="35" customFormat="1" spans="4:4">
      <c r="D535" s="57"/>
    </row>
    <row r="536" s="35" customFormat="1" spans="4:4">
      <c r="D536" s="57"/>
    </row>
    <row r="537" s="35" customFormat="1" spans="4:4">
      <c r="D537" s="57"/>
    </row>
    <row r="538" s="35" customFormat="1" spans="4:4">
      <c r="D538" s="57"/>
    </row>
    <row r="539" s="35" customFormat="1" spans="4:4">
      <c r="D539" s="57"/>
    </row>
    <row r="540" s="35" customFormat="1" spans="4:4">
      <c r="D540" s="57"/>
    </row>
    <row r="541" s="35" customFormat="1" spans="4:4">
      <c r="D541" s="57"/>
    </row>
    <row r="542" s="35" customFormat="1" spans="4:4">
      <c r="D542" s="57"/>
    </row>
    <row r="543" s="35" customFormat="1" spans="4:4">
      <c r="D543" s="57"/>
    </row>
    <row r="544" s="35" customFormat="1" spans="4:4">
      <c r="D544" s="57"/>
    </row>
    <row r="545" s="35" customFormat="1" spans="4:4">
      <c r="D545" s="57"/>
    </row>
    <row r="546" s="35" customFormat="1" spans="4:4">
      <c r="D546" s="57"/>
    </row>
    <row r="547" s="35" customFormat="1" spans="4:4">
      <c r="D547" s="57"/>
    </row>
    <row r="548" s="35" customFormat="1" spans="4:4">
      <c r="D548" s="57"/>
    </row>
    <row r="549" s="35" customFormat="1" spans="4:4">
      <c r="D549" s="57"/>
    </row>
    <row r="550" s="35" customFormat="1" spans="4:4">
      <c r="D550" s="57"/>
    </row>
    <row r="551" s="35" customFormat="1" spans="4:4">
      <c r="D551" s="57"/>
    </row>
    <row r="552" s="35" customFormat="1" spans="4:4">
      <c r="D552" s="57"/>
    </row>
    <row r="553" s="35" customFormat="1" spans="4:4">
      <c r="D553" s="57"/>
    </row>
    <row r="554" s="35" customFormat="1" spans="4:4">
      <c r="D554" s="57"/>
    </row>
    <row r="555" s="35" customFormat="1" spans="4:4">
      <c r="D555" s="57"/>
    </row>
    <row r="556" s="35" customFormat="1" spans="4:4">
      <c r="D556" s="57"/>
    </row>
    <row r="557" s="35" customFormat="1" spans="4:4">
      <c r="D557" s="57"/>
    </row>
    <row r="558" s="35" customFormat="1" spans="4:4">
      <c r="D558" s="57"/>
    </row>
    <row r="559" s="35" customFormat="1" spans="4:4">
      <c r="D559" s="57"/>
    </row>
    <row r="560" s="35" customFormat="1" spans="4:4">
      <c r="D560" s="57"/>
    </row>
    <row r="561" s="35" customFormat="1" spans="4:4">
      <c r="D561" s="57"/>
    </row>
    <row r="562" s="35" customFormat="1" spans="4:4">
      <c r="D562" s="57"/>
    </row>
    <row r="563" s="35" customFormat="1" spans="4:4">
      <c r="D563" s="57"/>
    </row>
    <row r="564" s="35" customFormat="1" spans="4:4">
      <c r="D564" s="57"/>
    </row>
    <row r="565" s="35" customFormat="1" spans="4:4">
      <c r="D565" s="57"/>
    </row>
    <row r="566" s="35" customFormat="1" spans="4:4">
      <c r="D566" s="57"/>
    </row>
    <row r="567" s="35" customFormat="1" spans="4:4">
      <c r="D567" s="57"/>
    </row>
    <row r="568" s="35" customFormat="1" spans="4:4">
      <c r="D568" s="57"/>
    </row>
    <row r="569" s="35" customFormat="1" spans="4:4">
      <c r="D569" s="57"/>
    </row>
    <row r="570" s="35" customFormat="1" spans="4:4">
      <c r="D570" s="57"/>
    </row>
    <row r="571" s="35" customFormat="1" spans="4:4">
      <c r="D571" s="57"/>
    </row>
    <row r="572" s="35" customFormat="1" spans="4:4">
      <c r="D572" s="57"/>
    </row>
    <row r="573" s="35" customFormat="1" spans="4:4">
      <c r="D573" s="57"/>
    </row>
    <row r="574" s="35" customFormat="1" spans="4:4">
      <c r="D574" s="57"/>
    </row>
    <row r="575" s="35" customFormat="1" spans="4:4">
      <c r="D575" s="57"/>
    </row>
    <row r="576" s="35" customFormat="1" spans="4:4">
      <c r="D576" s="57"/>
    </row>
    <row r="577" s="35" customFormat="1" spans="4:4">
      <c r="D577" s="57"/>
    </row>
    <row r="578" s="35" customFormat="1" spans="4:4">
      <c r="D578" s="57"/>
    </row>
    <row r="579" s="35" customFormat="1" spans="4:4">
      <c r="D579" s="57"/>
    </row>
    <row r="580" s="35" customFormat="1" spans="4:4">
      <c r="D580" s="57"/>
    </row>
    <row r="581" s="35" customFormat="1" spans="4:4">
      <c r="D581" s="57"/>
    </row>
    <row r="582" s="35" customFormat="1" spans="4:4">
      <c r="D582" s="57"/>
    </row>
    <row r="583" s="35" customFormat="1" spans="4:4">
      <c r="D583" s="57"/>
    </row>
    <row r="584" s="35" customFormat="1" spans="4:4">
      <c r="D584" s="57"/>
    </row>
    <row r="585" s="35" customFormat="1" spans="4:4">
      <c r="D585" s="57"/>
    </row>
    <row r="586" s="35" customFormat="1" spans="4:4">
      <c r="D586" s="57"/>
    </row>
    <row r="587" s="35" customFormat="1" spans="4:4">
      <c r="D587" s="57"/>
    </row>
    <row r="588" s="35" customFormat="1" spans="4:4">
      <c r="D588" s="57"/>
    </row>
    <row r="589" s="35" customFormat="1" spans="4:4">
      <c r="D589" s="57"/>
    </row>
    <row r="590" s="35" customFormat="1" spans="4:4">
      <c r="D590" s="57"/>
    </row>
    <row r="591" s="35" customFormat="1" spans="4:4">
      <c r="D591" s="57"/>
    </row>
    <row r="592" s="35" customFormat="1" spans="4:4">
      <c r="D592" s="57"/>
    </row>
    <row r="593" s="35" customFormat="1" spans="4:4">
      <c r="D593" s="57"/>
    </row>
    <row r="594" s="35" customFormat="1" spans="4:4">
      <c r="D594" s="57"/>
    </row>
    <row r="595" s="35" customFormat="1" spans="4:4">
      <c r="D595" s="57"/>
    </row>
    <row r="596" s="35" customFormat="1" spans="4:4">
      <c r="D596" s="57"/>
    </row>
    <row r="597" s="35" customFormat="1" spans="4:4">
      <c r="D597" s="57"/>
    </row>
    <row r="598" s="35" customFormat="1" spans="4:4">
      <c r="D598" s="57"/>
    </row>
    <row r="599" s="35" customFormat="1" spans="4:4">
      <c r="D599" s="57"/>
    </row>
    <row r="600" s="35" customFormat="1" spans="4:4">
      <c r="D600" s="57"/>
    </row>
    <row r="601" s="35" customFormat="1" spans="4:4">
      <c r="D601" s="57"/>
    </row>
    <row r="602" s="35" customFormat="1" spans="4:4">
      <c r="D602" s="57"/>
    </row>
    <row r="603" s="35" customFormat="1" spans="4:4">
      <c r="D603" s="57"/>
    </row>
    <row r="604" s="35" customFormat="1" spans="4:4">
      <c r="D604" s="57"/>
    </row>
    <row r="605" s="35" customFormat="1" spans="4:4">
      <c r="D605" s="57"/>
    </row>
    <row r="606" s="35" customFormat="1" spans="4:4">
      <c r="D606" s="57"/>
    </row>
    <row r="607" s="35" customFormat="1" spans="4:4">
      <c r="D607" s="57"/>
    </row>
    <row r="608" s="35" customFormat="1" spans="4:4">
      <c r="D608" s="57"/>
    </row>
    <row r="609" s="35" customFormat="1" spans="4:4">
      <c r="D609" s="57"/>
    </row>
    <row r="610" s="35" customFormat="1" spans="4:4">
      <c r="D610" s="57"/>
    </row>
    <row r="611" s="35" customFormat="1" spans="4:4">
      <c r="D611" s="57"/>
    </row>
    <row r="612" s="35" customFormat="1" spans="4:4">
      <c r="D612" s="57"/>
    </row>
    <row r="613" s="35" customFormat="1" spans="4:4">
      <c r="D613" s="57"/>
    </row>
    <row r="614" s="35" customFormat="1" spans="4:4">
      <c r="D614" s="57"/>
    </row>
    <row r="615" s="35" customFormat="1" spans="4:4">
      <c r="D615" s="57"/>
    </row>
    <row r="616" s="35" customFormat="1" spans="4:4">
      <c r="D616" s="57"/>
    </row>
    <row r="617" s="35" customFormat="1" spans="4:4">
      <c r="D617" s="57"/>
    </row>
    <row r="618" s="35" customFormat="1" spans="4:4">
      <c r="D618" s="57"/>
    </row>
    <row r="619" s="35" customFormat="1" spans="4:4">
      <c r="D619" s="57"/>
    </row>
    <row r="620" s="35" customFormat="1" spans="4:4">
      <c r="D620" s="57"/>
    </row>
    <row r="621" s="35" customFormat="1" spans="4:4">
      <c r="D621" s="57"/>
    </row>
    <row r="622" s="35" customFormat="1" spans="4:4">
      <c r="D622" s="57"/>
    </row>
    <row r="623" s="35" customFormat="1" spans="4:4">
      <c r="D623" s="57"/>
    </row>
    <row r="624" s="35" customFormat="1" spans="4:4">
      <c r="D624" s="57"/>
    </row>
    <row r="625" s="35" customFormat="1" spans="4:4">
      <c r="D625" s="57"/>
    </row>
    <row r="626" s="35" customFormat="1" spans="4:4">
      <c r="D626" s="57"/>
    </row>
    <row r="627" s="35" customFormat="1" spans="4:4">
      <c r="D627" s="57"/>
    </row>
    <row r="628" s="35" customFormat="1" spans="4:4">
      <c r="D628" s="57"/>
    </row>
    <row r="629" s="35" customFormat="1" spans="4:4">
      <c r="D629" s="57"/>
    </row>
    <row r="630" s="35" customFormat="1" spans="4:4">
      <c r="D630" s="57"/>
    </row>
    <row r="631" s="35" customFormat="1" spans="4:4">
      <c r="D631" s="57"/>
    </row>
    <row r="632" s="35" customFormat="1" spans="4:4">
      <c r="D632" s="57"/>
    </row>
    <row r="633" s="35" customFormat="1" spans="4:4">
      <c r="D633" s="57"/>
    </row>
    <row r="634" s="35" customFormat="1" spans="4:4">
      <c r="D634" s="57"/>
    </row>
    <row r="635" s="35" customFormat="1" spans="4:4">
      <c r="D635" s="57"/>
    </row>
    <row r="636" s="35" customFormat="1" spans="4:4">
      <c r="D636" s="57"/>
    </row>
    <row r="637" s="35" customFormat="1" spans="4:4">
      <c r="D637" s="57"/>
    </row>
    <row r="638" s="35" customFormat="1" spans="4:4">
      <c r="D638" s="57"/>
    </row>
    <row r="639" s="35" customFormat="1" spans="4:4">
      <c r="D639" s="57"/>
    </row>
    <row r="640" s="35" customFormat="1" spans="4:4">
      <c r="D640" s="57"/>
    </row>
    <row r="641" s="35" customFormat="1" spans="4:4">
      <c r="D641" s="57"/>
    </row>
    <row r="642" s="35" customFormat="1" spans="4:4">
      <c r="D642" s="57"/>
    </row>
    <row r="643" s="35" customFormat="1" spans="4:4">
      <c r="D643" s="57"/>
    </row>
    <row r="644" s="35" customFormat="1" spans="4:4">
      <c r="D644" s="57"/>
    </row>
    <row r="645" s="35" customFormat="1" spans="4:4">
      <c r="D645" s="57"/>
    </row>
    <row r="646" s="35" customFormat="1" spans="4:4">
      <c r="D646" s="57"/>
    </row>
    <row r="647" s="35" customFormat="1" spans="4:4">
      <c r="D647" s="57"/>
    </row>
    <row r="648" s="35" customFormat="1" spans="4:4">
      <c r="D648" s="57"/>
    </row>
    <row r="649" s="35" customFormat="1" spans="4:4">
      <c r="D649" s="57"/>
    </row>
    <row r="650" s="35" customFormat="1" spans="4:4">
      <c r="D650" s="57"/>
    </row>
    <row r="651" s="35" customFormat="1" spans="4:4">
      <c r="D651" s="57"/>
    </row>
    <row r="652" s="35" customFormat="1" spans="4:4">
      <c r="D652" s="57"/>
    </row>
    <row r="653" s="35" customFormat="1" spans="4:4">
      <c r="D653" s="57"/>
    </row>
    <row r="654" s="35" customFormat="1" spans="4:4">
      <c r="D654" s="57"/>
    </row>
    <row r="655" s="35" customFormat="1" spans="4:4">
      <c r="D655" s="57"/>
    </row>
    <row r="656" s="35" customFormat="1" spans="4:4">
      <c r="D656" s="57"/>
    </row>
    <row r="657" s="35" customFormat="1" spans="4:4">
      <c r="D657" s="57"/>
    </row>
    <row r="658" s="35" customFormat="1" spans="4:4">
      <c r="D658" s="57"/>
    </row>
    <row r="659" s="35" customFormat="1" spans="4:4">
      <c r="D659" s="57"/>
    </row>
    <row r="660" s="35" customFormat="1" spans="4:4">
      <c r="D660" s="57"/>
    </row>
    <row r="661" s="35" customFormat="1" spans="4:4">
      <c r="D661" s="57"/>
    </row>
    <row r="662" s="35" customFormat="1" spans="4:4">
      <c r="D662" s="57"/>
    </row>
    <row r="663" s="35" customFormat="1" spans="4:4">
      <c r="D663" s="57"/>
    </row>
    <row r="664" s="35" customFormat="1" spans="4:4">
      <c r="D664" s="57"/>
    </row>
    <row r="665" s="35" customFormat="1" spans="4:4">
      <c r="D665" s="57"/>
    </row>
    <row r="666" s="35" customFormat="1" spans="4:4">
      <c r="D666" s="57"/>
    </row>
    <row r="667" s="35" customFormat="1" spans="4:4">
      <c r="D667" s="57"/>
    </row>
    <row r="668" s="35" customFormat="1" spans="4:4">
      <c r="D668" s="57"/>
    </row>
    <row r="669" s="35" customFormat="1" spans="4:4">
      <c r="D669" s="57"/>
    </row>
    <row r="670" s="35" customFormat="1" spans="4:4">
      <c r="D670" s="57"/>
    </row>
    <row r="671" s="35" customFormat="1" spans="4:4">
      <c r="D671" s="57"/>
    </row>
    <row r="672" s="35" customFormat="1" spans="4:4">
      <c r="D672" s="57"/>
    </row>
    <row r="673" s="35" customFormat="1" spans="4:4">
      <c r="D673" s="57"/>
    </row>
    <row r="674" s="35" customFormat="1" spans="4:4">
      <c r="D674" s="57"/>
    </row>
    <row r="675" s="35" customFormat="1" spans="4:4">
      <c r="D675" s="57"/>
    </row>
    <row r="676" s="35" customFormat="1" spans="4:4">
      <c r="D676" s="57"/>
    </row>
    <row r="677" s="35" customFormat="1" spans="4:4">
      <c r="D677" s="57"/>
    </row>
    <row r="678" s="35" customFormat="1" spans="4:4">
      <c r="D678" s="57"/>
    </row>
    <row r="679" s="35" customFormat="1" spans="4:4">
      <c r="D679" s="57"/>
    </row>
    <row r="680" s="35" customFormat="1" spans="4:4">
      <c r="D680" s="57"/>
    </row>
    <row r="681" s="35" customFormat="1" spans="4:4">
      <c r="D681" s="57"/>
    </row>
    <row r="682" s="35" customFormat="1" spans="4:4">
      <c r="D682" s="57"/>
    </row>
    <row r="683" s="35" customFormat="1" spans="4:4">
      <c r="D683" s="57"/>
    </row>
    <row r="684" s="35" customFormat="1" spans="4:4">
      <c r="D684" s="57"/>
    </row>
    <row r="685" s="35" customFormat="1" spans="4:4">
      <c r="D685" s="57"/>
    </row>
    <row r="686" s="35" customFormat="1" spans="4:4">
      <c r="D686" s="57"/>
    </row>
    <row r="687" s="35" customFormat="1" spans="4:4">
      <c r="D687" s="57"/>
    </row>
    <row r="688" s="35" customFormat="1" spans="4:4">
      <c r="D688" s="57"/>
    </row>
    <row r="689" s="35" customFormat="1" spans="4:4">
      <c r="D689" s="57"/>
    </row>
    <row r="690" s="35" customFormat="1" spans="4:4">
      <c r="D690" s="57"/>
    </row>
    <row r="691" s="35" customFormat="1" spans="4:4">
      <c r="D691" s="57"/>
    </row>
    <row r="692" s="35" customFormat="1" spans="4:4">
      <c r="D692" s="57"/>
    </row>
    <row r="693" s="35" customFormat="1" spans="4:4">
      <c r="D693" s="57"/>
    </row>
    <row r="694" s="35" customFormat="1" spans="4:4">
      <c r="D694" s="57"/>
    </row>
    <row r="695" s="35" customFormat="1" spans="4:4">
      <c r="D695" s="57"/>
    </row>
    <row r="696" s="35" customFormat="1" spans="4:4">
      <c r="D696" s="57"/>
    </row>
    <row r="697" s="35" customFormat="1" spans="4:4">
      <c r="D697" s="57"/>
    </row>
    <row r="698" s="35" customFormat="1" spans="4:4">
      <c r="D698" s="57"/>
    </row>
    <row r="699" s="35" customFormat="1" spans="4:4">
      <c r="D699" s="57"/>
    </row>
    <row r="700" s="35" customFormat="1" spans="4:4">
      <c r="D700" s="57"/>
    </row>
    <row r="701" s="35" customFormat="1" spans="4:4">
      <c r="D701" s="57"/>
    </row>
    <row r="702" s="35" customFormat="1" spans="4:4">
      <c r="D702" s="57"/>
    </row>
    <row r="703" s="35" customFormat="1" spans="4:4">
      <c r="D703" s="57"/>
    </row>
    <row r="704" s="35" customFormat="1" spans="4:4">
      <c r="D704" s="57"/>
    </row>
    <row r="705" s="35" customFormat="1" spans="4:4">
      <c r="D705" s="57"/>
    </row>
    <row r="706" s="35" customFormat="1" spans="4:4">
      <c r="D706" s="57"/>
    </row>
    <row r="707" s="35" customFormat="1" spans="4:4">
      <c r="D707" s="57"/>
    </row>
    <row r="708" s="35" customFormat="1" spans="4:4">
      <c r="D708" s="57"/>
    </row>
    <row r="709" s="35" customFormat="1" spans="4:4">
      <c r="D709" s="57"/>
    </row>
    <row r="710" s="35" customFormat="1" spans="4:4">
      <c r="D710" s="57"/>
    </row>
    <row r="711" s="35" customFormat="1" spans="4:4">
      <c r="D711" s="57"/>
    </row>
    <row r="712" s="35" customFormat="1" spans="4:4">
      <c r="D712" s="57"/>
    </row>
    <row r="713" s="35" customFormat="1" spans="4:4">
      <c r="D713" s="57"/>
    </row>
    <row r="714" s="35" customFormat="1" spans="4:4">
      <c r="D714" s="57"/>
    </row>
    <row r="715" s="35" customFormat="1" spans="4:4">
      <c r="D715" s="57"/>
    </row>
    <row r="716" s="35" customFormat="1" spans="4:4">
      <c r="D716" s="57"/>
    </row>
    <row r="717" s="35" customFormat="1" spans="4:4">
      <c r="D717" s="57"/>
    </row>
    <row r="718" s="35" customFormat="1" spans="4:4">
      <c r="D718" s="57"/>
    </row>
    <row r="719" s="35" customFormat="1" spans="4:4">
      <c r="D719" s="57"/>
    </row>
    <row r="720" s="35" customFormat="1" spans="4:4">
      <c r="D720" s="57"/>
    </row>
    <row r="721" s="35" customFormat="1" spans="4:4">
      <c r="D721" s="57"/>
    </row>
    <row r="722" s="35" customFormat="1" spans="4:4">
      <c r="D722" s="57"/>
    </row>
    <row r="723" s="35" customFormat="1" spans="4:4">
      <c r="D723" s="57"/>
    </row>
    <row r="724" s="35" customFormat="1" spans="4:4">
      <c r="D724" s="57"/>
    </row>
    <row r="725" s="35" customFormat="1" spans="4:4">
      <c r="D725" s="57"/>
    </row>
    <row r="726" s="35" customFormat="1" spans="4:4">
      <c r="D726" s="57"/>
    </row>
    <row r="727" s="35" customFormat="1" spans="4:4">
      <c r="D727" s="57"/>
    </row>
    <row r="728" s="35" customFormat="1" spans="4:4">
      <c r="D728" s="57"/>
    </row>
    <row r="729" s="35" customFormat="1" spans="4:4">
      <c r="D729" s="57"/>
    </row>
    <row r="730" s="35" customFormat="1" spans="4:4">
      <c r="D730" s="57"/>
    </row>
    <row r="731" s="35" customFormat="1" spans="4:4">
      <c r="D731" s="57"/>
    </row>
    <row r="732" s="35" customFormat="1" spans="4:4">
      <c r="D732" s="57"/>
    </row>
    <row r="733" s="35" customFormat="1" spans="4:4">
      <c r="D733" s="57"/>
    </row>
    <row r="734" s="35" customFormat="1" spans="4:4">
      <c r="D734" s="57"/>
    </row>
    <row r="735" s="35" customFormat="1" spans="4:4">
      <c r="D735" s="57"/>
    </row>
    <row r="736" s="35" customFormat="1" spans="4:4">
      <c r="D736" s="57"/>
    </row>
    <row r="737" s="35" customFormat="1" spans="4:4">
      <c r="D737" s="57"/>
    </row>
    <row r="738" s="35" customFormat="1" spans="4:4">
      <c r="D738" s="57"/>
    </row>
    <row r="739" s="35" customFormat="1" spans="4:4">
      <c r="D739" s="57"/>
    </row>
    <row r="740" s="35" customFormat="1" spans="4:4">
      <c r="D740" s="57"/>
    </row>
  </sheetData>
  <mergeCells count="7">
    <mergeCell ref="C7:D7"/>
    <mergeCell ref="F7:G7"/>
    <mergeCell ref="I7:J7"/>
    <mergeCell ref="J2:L3"/>
    <mergeCell ref="J4:L5"/>
    <mergeCell ref="D2:I5"/>
    <mergeCell ref="B2:C5"/>
  </mergeCells>
  <conditionalFormatting sqref="D21">
    <cfRule type="containsText" dxfId="0" priority="1" operator="between" text="NÃO SUPORTA">
      <formula>NOT(ISERROR(SEARCH("NÃO SUPORTA",D21)))</formula>
    </cfRule>
    <cfRule type="containsText" dxfId="1" priority="2" operator="between" text="NÃO SUPORTA">
      <formula>NOT(ISERROR(SEARCH("NÃO SUPORTA",D21)))</formula>
    </cfRule>
  </conditionalFormatting>
  <dataValidations count="2">
    <dataValidation type="list" allowBlank="1" showInputMessage="1" showErrorMessage="1" promptTitle="Modulos" prompt="Selecione um módulo" sqref="D8">
      <formula1>mod_Modelo</formula1>
    </dataValidation>
    <dataValidation type="list" allowBlank="1" showInputMessage="1" showErrorMessage="1" promptTitle="Inversores" prompt="Selecione um inversor" sqref="D9">
      <formula1>inv_Modelo</formula1>
    </dataValidation>
  </dataValidations>
  <pageMargins left="0.511811024" right="0.511811024" top="0.787401575" bottom="0.787401575" header="0.31496062" footer="0.31496062"/>
  <pageSetup paperSize="9" scale="62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2"/>
  <dimension ref="A1:P193"/>
  <sheetViews>
    <sheetView workbookViewId="0">
      <pane ySplit="1" topLeftCell="A134" activePane="bottomLeft" state="frozen"/>
      <selection/>
      <selection pane="bottomLeft" activeCell="M159" sqref="M159"/>
    </sheetView>
  </sheetViews>
  <sheetFormatPr defaultColWidth="9" defaultRowHeight="15"/>
  <cols>
    <col min="1" max="1" width="20.8571428571429" style="22" customWidth="1"/>
    <col min="2" max="2" width="15" style="23" customWidth="1"/>
    <col min="3" max="4" width="18" style="23" customWidth="1"/>
    <col min="5" max="5" width="14.7142857142857" style="23" customWidth="1"/>
    <col min="6" max="8" width="11.4285714285714" style="23" customWidth="1"/>
    <col min="9" max="9" width="14.5714285714286" style="23" customWidth="1"/>
    <col min="10" max="10" width="9.14285714285714" style="23"/>
    <col min="11" max="11" width="13.4285714285714" style="23" customWidth="1"/>
    <col min="12" max="13" width="9.14285714285714" style="23"/>
    <col min="14" max="15" width="22.7142857142857" style="23" customWidth="1"/>
    <col min="16" max="16" width="22.7142857142857" style="24" customWidth="1"/>
  </cols>
  <sheetData>
    <row r="1" s="21" customFormat="1" ht="30" spans="1:16">
      <c r="A1" s="25" t="s">
        <v>7</v>
      </c>
      <c r="B1" s="26" t="s">
        <v>54</v>
      </c>
      <c r="C1" s="26" t="s">
        <v>55</v>
      </c>
      <c r="D1" s="26" t="s">
        <v>56</v>
      </c>
      <c r="E1" s="26" t="s">
        <v>57</v>
      </c>
      <c r="F1" s="26" t="s">
        <v>58</v>
      </c>
      <c r="G1" s="26" t="s">
        <v>59</v>
      </c>
      <c r="H1" s="26" t="s">
        <v>60</v>
      </c>
      <c r="I1" s="26" t="s">
        <v>61</v>
      </c>
      <c r="J1" s="26" t="s">
        <v>62</v>
      </c>
      <c r="K1" s="26" t="s">
        <v>63</v>
      </c>
      <c r="L1" s="26" t="s">
        <v>64</v>
      </c>
      <c r="M1" s="26" t="s">
        <v>65</v>
      </c>
      <c r="N1" s="26" t="s">
        <v>66</v>
      </c>
      <c r="O1" s="26" t="s">
        <v>67</v>
      </c>
      <c r="P1" s="28" t="s">
        <v>68</v>
      </c>
    </row>
    <row r="2" spans="1:16">
      <c r="A2" s="27" t="s">
        <v>69</v>
      </c>
      <c r="B2" s="4" t="s">
        <v>70</v>
      </c>
      <c r="C2" s="4" t="s">
        <v>71</v>
      </c>
      <c r="D2" s="4" t="s">
        <v>72</v>
      </c>
      <c r="E2" s="4">
        <v>1954</v>
      </c>
      <c r="F2" s="4">
        <v>990</v>
      </c>
      <c r="G2" s="4">
        <v>40</v>
      </c>
      <c r="H2" s="4">
        <v>21.8</v>
      </c>
      <c r="I2" s="4">
        <v>330</v>
      </c>
      <c r="J2" s="4">
        <v>45.86</v>
      </c>
      <c r="K2" s="4">
        <v>37.15</v>
      </c>
      <c r="L2" s="4">
        <v>9.52</v>
      </c>
      <c r="M2" s="4">
        <v>8.89</v>
      </c>
      <c r="N2" s="4">
        <v>-0.408</v>
      </c>
      <c r="O2" s="4">
        <v>-0.311</v>
      </c>
      <c r="P2" s="5">
        <v>0.05</v>
      </c>
    </row>
    <row r="3" spans="1:16">
      <c r="A3" s="27" t="s">
        <v>73</v>
      </c>
      <c r="B3" s="4" t="s">
        <v>70</v>
      </c>
      <c r="C3" s="4" t="s">
        <v>71</v>
      </c>
      <c r="D3" s="4" t="s">
        <v>72</v>
      </c>
      <c r="E3" s="4">
        <v>1954</v>
      </c>
      <c r="F3" s="4">
        <v>990</v>
      </c>
      <c r="G3" s="4">
        <v>40</v>
      </c>
      <c r="H3" s="4">
        <v>21.8</v>
      </c>
      <c r="I3" s="4">
        <v>335</v>
      </c>
      <c r="J3" s="4">
        <v>45.98</v>
      </c>
      <c r="K3" s="4">
        <v>37.26</v>
      </c>
      <c r="L3" s="4">
        <v>9.57</v>
      </c>
      <c r="M3" s="4">
        <v>9</v>
      </c>
      <c r="N3" s="4">
        <v>-0.408</v>
      </c>
      <c r="O3" s="4">
        <v>-0.311</v>
      </c>
      <c r="P3" s="5">
        <v>0.05</v>
      </c>
    </row>
    <row r="4" spans="1:16">
      <c r="A4" s="27" t="s">
        <v>74</v>
      </c>
      <c r="B4" s="4" t="s">
        <v>70</v>
      </c>
      <c r="C4" s="4" t="s">
        <v>71</v>
      </c>
      <c r="D4" s="4" t="s">
        <v>72</v>
      </c>
      <c r="E4" s="4">
        <v>1954</v>
      </c>
      <c r="F4" s="4">
        <v>990</v>
      </c>
      <c r="G4" s="4">
        <v>40</v>
      </c>
      <c r="H4" s="4">
        <v>21.8</v>
      </c>
      <c r="I4" s="4">
        <v>340</v>
      </c>
      <c r="J4" s="4">
        <v>46.16</v>
      </c>
      <c r="K4" s="4">
        <v>37.33</v>
      </c>
      <c r="L4" s="4">
        <v>9.62</v>
      </c>
      <c r="M4" s="4">
        <v>9.11</v>
      </c>
      <c r="N4" s="4">
        <v>-0.408</v>
      </c>
      <c r="O4" s="4">
        <v>-0.311</v>
      </c>
      <c r="P4" s="5">
        <v>0.05</v>
      </c>
    </row>
    <row r="5" spans="1:16">
      <c r="A5" s="27" t="s">
        <v>75</v>
      </c>
      <c r="B5" s="4" t="s">
        <v>70</v>
      </c>
      <c r="C5" s="4" t="s">
        <v>71</v>
      </c>
      <c r="D5" s="4" t="s">
        <v>72</v>
      </c>
      <c r="E5" s="4">
        <v>1954</v>
      </c>
      <c r="F5" s="4">
        <v>990</v>
      </c>
      <c r="G5" s="4">
        <v>40</v>
      </c>
      <c r="H5" s="4">
        <v>21.8</v>
      </c>
      <c r="I5" s="4">
        <v>345</v>
      </c>
      <c r="J5" s="4">
        <v>46.37</v>
      </c>
      <c r="K5" s="4">
        <v>37.38</v>
      </c>
      <c r="L5" s="4">
        <v>9.67</v>
      </c>
      <c r="M5" s="4">
        <v>9.23</v>
      </c>
      <c r="N5" s="4">
        <v>-0.408</v>
      </c>
      <c r="O5" s="4">
        <v>-0.311</v>
      </c>
      <c r="P5" s="5">
        <v>0.05</v>
      </c>
    </row>
    <row r="6" spans="1:16">
      <c r="A6" s="27" t="s">
        <v>69</v>
      </c>
      <c r="B6" s="4" t="s">
        <v>70</v>
      </c>
      <c r="C6" s="4" t="s">
        <v>71</v>
      </c>
      <c r="D6" s="4" t="s">
        <v>72</v>
      </c>
      <c r="E6" s="4">
        <v>1954</v>
      </c>
      <c r="F6" s="4">
        <v>990</v>
      </c>
      <c r="G6" s="4">
        <v>40</v>
      </c>
      <c r="H6" s="4">
        <v>21.8</v>
      </c>
      <c r="I6" s="4">
        <v>330</v>
      </c>
      <c r="J6" s="4">
        <v>45.86</v>
      </c>
      <c r="K6" s="4">
        <v>37.15</v>
      </c>
      <c r="L6" s="4">
        <v>9.52</v>
      </c>
      <c r="M6" s="4">
        <v>8.89</v>
      </c>
      <c r="N6" s="4">
        <v>-0.408</v>
      </c>
      <c r="O6" s="4">
        <v>-0.311</v>
      </c>
      <c r="P6" s="5">
        <v>0.05</v>
      </c>
    </row>
    <row r="7" spans="1:16">
      <c r="A7" s="27" t="s">
        <v>73</v>
      </c>
      <c r="B7" s="4" t="s">
        <v>70</v>
      </c>
      <c r="C7" s="4" t="s">
        <v>71</v>
      </c>
      <c r="D7" s="4" t="s">
        <v>72</v>
      </c>
      <c r="E7" s="4">
        <v>1954</v>
      </c>
      <c r="F7" s="4">
        <v>990</v>
      </c>
      <c r="G7" s="4">
        <v>40</v>
      </c>
      <c r="H7" s="4">
        <v>21.8</v>
      </c>
      <c r="I7" s="4">
        <v>335</v>
      </c>
      <c r="J7" s="4">
        <v>45.98</v>
      </c>
      <c r="K7" s="4">
        <v>37.26</v>
      </c>
      <c r="L7" s="4">
        <v>9.57</v>
      </c>
      <c r="M7" s="4">
        <v>9</v>
      </c>
      <c r="N7" s="4">
        <v>-0.408</v>
      </c>
      <c r="O7" s="4">
        <v>-0.311</v>
      </c>
      <c r="P7" s="5">
        <v>0.05</v>
      </c>
    </row>
    <row r="8" spans="1:16">
      <c r="A8" s="27" t="s">
        <v>74</v>
      </c>
      <c r="B8" s="4" t="s">
        <v>70</v>
      </c>
      <c r="C8" s="4" t="s">
        <v>71</v>
      </c>
      <c r="D8" s="4" t="s">
        <v>72</v>
      </c>
      <c r="E8" s="4">
        <v>1954</v>
      </c>
      <c r="F8" s="4">
        <v>990</v>
      </c>
      <c r="G8" s="4">
        <v>40</v>
      </c>
      <c r="H8" s="4">
        <v>21.8</v>
      </c>
      <c r="I8" s="4">
        <v>340</v>
      </c>
      <c r="J8" s="4">
        <v>46.16</v>
      </c>
      <c r="K8" s="4">
        <v>37.33</v>
      </c>
      <c r="L8" s="4">
        <v>9.62</v>
      </c>
      <c r="M8" s="4">
        <v>9.11</v>
      </c>
      <c r="N8" s="4">
        <v>-0.408</v>
      </c>
      <c r="O8" s="4">
        <v>-0.311</v>
      </c>
      <c r="P8" s="5">
        <v>0.05</v>
      </c>
    </row>
    <row r="9" spans="1:16">
      <c r="A9" s="27" t="s">
        <v>75</v>
      </c>
      <c r="B9" s="4" t="s">
        <v>70</v>
      </c>
      <c r="C9" s="4" t="s">
        <v>71</v>
      </c>
      <c r="D9" s="4" t="s">
        <v>72</v>
      </c>
      <c r="E9" s="4">
        <v>1954</v>
      </c>
      <c r="F9" s="4">
        <v>990</v>
      </c>
      <c r="G9" s="4">
        <v>40</v>
      </c>
      <c r="H9" s="4">
        <v>21.8</v>
      </c>
      <c r="I9" s="4">
        <v>345</v>
      </c>
      <c r="J9" s="4">
        <v>46.37</v>
      </c>
      <c r="K9" s="4">
        <v>37.38</v>
      </c>
      <c r="L9" s="4">
        <v>9.67</v>
      </c>
      <c r="M9" s="4">
        <v>9.23</v>
      </c>
      <c r="N9" s="4">
        <v>-0.408</v>
      </c>
      <c r="O9" s="4">
        <v>-0.311</v>
      </c>
      <c r="P9" s="5">
        <v>0.05</v>
      </c>
    </row>
    <row r="10" spans="1:16">
      <c r="A10" s="27" t="s">
        <v>76</v>
      </c>
      <c r="B10" s="4" t="s">
        <v>70</v>
      </c>
      <c r="C10" s="4" t="s">
        <v>71</v>
      </c>
      <c r="D10" s="4" t="s">
        <v>77</v>
      </c>
      <c r="E10" s="4">
        <v>2018</v>
      </c>
      <c r="F10" s="4">
        <v>1002</v>
      </c>
      <c r="G10" s="4">
        <v>35</v>
      </c>
      <c r="H10" s="4">
        <v>22.6</v>
      </c>
      <c r="I10" s="4">
        <v>405</v>
      </c>
      <c r="J10" s="4">
        <v>49.53</v>
      </c>
      <c r="K10" s="4">
        <v>41.59</v>
      </c>
      <c r="L10" s="4">
        <v>10.31</v>
      </c>
      <c r="M10" s="4">
        <v>9.74</v>
      </c>
      <c r="N10" s="4">
        <v>-0.35</v>
      </c>
      <c r="O10" s="4">
        <v>-0.28</v>
      </c>
      <c r="P10" s="5">
        <v>0.035</v>
      </c>
    </row>
    <row r="11" spans="1:16">
      <c r="A11" s="27" t="s">
        <v>78</v>
      </c>
      <c r="B11" s="4" t="s">
        <v>70</v>
      </c>
      <c r="C11" s="4" t="s">
        <v>71</v>
      </c>
      <c r="D11" s="4" t="s">
        <v>77</v>
      </c>
      <c r="E11" s="4">
        <v>2018</v>
      </c>
      <c r="F11" s="4">
        <v>1002</v>
      </c>
      <c r="G11" s="4">
        <v>35</v>
      </c>
      <c r="H11" s="4">
        <v>22.6</v>
      </c>
      <c r="I11" s="4">
        <v>410</v>
      </c>
      <c r="J11" s="4">
        <v>49.8</v>
      </c>
      <c r="K11" s="4">
        <v>41.85</v>
      </c>
      <c r="L11" s="4">
        <v>10.38</v>
      </c>
      <c r="M11" s="4">
        <v>9.8</v>
      </c>
      <c r="N11" s="4">
        <v>-0.35</v>
      </c>
      <c r="O11" s="4">
        <v>-0.28</v>
      </c>
      <c r="P11" s="5">
        <v>0.035</v>
      </c>
    </row>
    <row r="12" spans="1:16">
      <c r="A12" s="27" t="s">
        <v>79</v>
      </c>
      <c r="B12" s="4" t="s">
        <v>70</v>
      </c>
      <c r="C12" s="4" t="s">
        <v>71</v>
      </c>
      <c r="D12" s="4" t="s">
        <v>77</v>
      </c>
      <c r="E12" s="4">
        <v>2018</v>
      </c>
      <c r="F12" s="4">
        <v>1002</v>
      </c>
      <c r="G12" s="4">
        <v>35</v>
      </c>
      <c r="H12" s="4">
        <v>22.6</v>
      </c>
      <c r="I12" s="4">
        <v>415</v>
      </c>
      <c r="J12" s="4">
        <v>50.06</v>
      </c>
      <c r="K12" s="4">
        <v>42.11</v>
      </c>
      <c r="L12" s="4">
        <v>10.45</v>
      </c>
      <c r="M12" s="4">
        <v>9.86</v>
      </c>
      <c r="N12" s="4">
        <v>-0.35</v>
      </c>
      <c r="O12" s="4">
        <v>-0.28</v>
      </c>
      <c r="P12" s="5">
        <v>0.035</v>
      </c>
    </row>
    <row r="13" spans="1:16">
      <c r="A13" s="27" t="s">
        <v>80</v>
      </c>
      <c r="B13" s="4" t="s">
        <v>70</v>
      </c>
      <c r="C13" s="4" t="s">
        <v>71</v>
      </c>
      <c r="D13" s="4" t="s">
        <v>77</v>
      </c>
      <c r="E13" s="4">
        <v>2018</v>
      </c>
      <c r="F13" s="4">
        <v>1002</v>
      </c>
      <c r="G13" s="4">
        <v>35</v>
      </c>
      <c r="H13" s="4">
        <v>22.6</v>
      </c>
      <c r="I13" s="4">
        <v>420</v>
      </c>
      <c r="J13" s="4">
        <v>50.32</v>
      </c>
      <c r="K13" s="4">
        <v>42.35</v>
      </c>
      <c r="L13" s="4">
        <v>10.52</v>
      </c>
      <c r="M13" s="4">
        <v>9.92</v>
      </c>
      <c r="N13" s="4">
        <v>-0.35</v>
      </c>
      <c r="O13" s="4">
        <v>-0.28</v>
      </c>
      <c r="P13" s="5">
        <v>0.035</v>
      </c>
    </row>
    <row r="14" spans="1:16">
      <c r="A14" s="27" t="s">
        <v>81</v>
      </c>
      <c r="B14" s="4" t="s">
        <v>70</v>
      </c>
      <c r="C14" s="4" t="s">
        <v>71</v>
      </c>
      <c r="D14" s="4" t="s">
        <v>77</v>
      </c>
      <c r="E14" s="4">
        <v>2256</v>
      </c>
      <c r="F14" s="4">
        <v>1133</v>
      </c>
      <c r="G14" s="4">
        <v>35</v>
      </c>
      <c r="H14" s="4">
        <v>27.2</v>
      </c>
      <c r="I14" s="4">
        <v>525</v>
      </c>
      <c r="J14" s="4">
        <v>49.1</v>
      </c>
      <c r="K14" s="4">
        <v>41.26</v>
      </c>
      <c r="L14" s="4">
        <v>13.43</v>
      </c>
      <c r="M14" s="4">
        <v>12.72</v>
      </c>
      <c r="N14" s="4">
        <v>-0.35</v>
      </c>
      <c r="O14" s="4">
        <v>-0.27</v>
      </c>
      <c r="P14" s="5">
        <v>0.045</v>
      </c>
    </row>
    <row r="15" spans="1:16">
      <c r="A15" s="27" t="s">
        <v>82</v>
      </c>
      <c r="B15" s="4" t="s">
        <v>70</v>
      </c>
      <c r="C15" s="4" t="s">
        <v>71</v>
      </c>
      <c r="D15" s="4" t="s">
        <v>77</v>
      </c>
      <c r="E15" s="4">
        <v>2256</v>
      </c>
      <c r="F15" s="4">
        <v>1133</v>
      </c>
      <c r="G15" s="4">
        <v>35</v>
      </c>
      <c r="H15" s="4">
        <v>27.2</v>
      </c>
      <c r="I15" s="4">
        <v>530</v>
      </c>
      <c r="J15" s="4">
        <v>49.3</v>
      </c>
      <c r="K15" s="4">
        <v>41.43</v>
      </c>
      <c r="L15" s="4">
        <v>13.52</v>
      </c>
      <c r="M15" s="4">
        <v>12.79</v>
      </c>
      <c r="N15" s="4">
        <v>-0.35</v>
      </c>
      <c r="O15" s="4">
        <v>-0.27</v>
      </c>
      <c r="P15" s="5">
        <v>0.045</v>
      </c>
    </row>
    <row r="16" spans="1:16">
      <c r="A16" s="27" t="s">
        <v>83</v>
      </c>
      <c r="B16" s="4" t="s">
        <v>70</v>
      </c>
      <c r="C16" s="4" t="s">
        <v>71</v>
      </c>
      <c r="D16" s="4" t="s">
        <v>77</v>
      </c>
      <c r="E16" s="4">
        <v>2256</v>
      </c>
      <c r="F16" s="4">
        <v>1133</v>
      </c>
      <c r="G16" s="4">
        <v>35</v>
      </c>
      <c r="H16" s="4">
        <v>27.2</v>
      </c>
      <c r="I16" s="4">
        <v>535</v>
      </c>
      <c r="J16" s="4">
        <v>49.5</v>
      </c>
      <c r="K16" s="4">
        <v>41.6</v>
      </c>
      <c r="L16" s="4">
        <v>13.61</v>
      </c>
      <c r="M16" s="4">
        <v>12.86</v>
      </c>
      <c r="N16" s="4">
        <v>-0.35</v>
      </c>
      <c r="O16" s="4">
        <v>-0.27</v>
      </c>
      <c r="P16" s="5">
        <v>0.045</v>
      </c>
    </row>
    <row r="17" spans="1:16">
      <c r="A17" s="27" t="s">
        <v>84</v>
      </c>
      <c r="B17" s="4" t="s">
        <v>70</v>
      </c>
      <c r="C17" s="4" t="s">
        <v>71</v>
      </c>
      <c r="D17" s="4" t="s">
        <v>77</v>
      </c>
      <c r="E17" s="4">
        <v>2256</v>
      </c>
      <c r="F17" s="4">
        <v>1133</v>
      </c>
      <c r="G17" s="4">
        <v>35</v>
      </c>
      <c r="H17" s="4">
        <v>27.2</v>
      </c>
      <c r="I17" s="4">
        <v>540</v>
      </c>
      <c r="J17" s="4">
        <v>49.7</v>
      </c>
      <c r="K17" s="4">
        <v>41.76</v>
      </c>
      <c r="L17" s="4">
        <v>13.72</v>
      </c>
      <c r="M17" s="4">
        <v>12.93</v>
      </c>
      <c r="N17" s="4">
        <v>-0.35</v>
      </c>
      <c r="O17" s="4">
        <v>-0.27</v>
      </c>
      <c r="P17" s="5">
        <v>0.045</v>
      </c>
    </row>
    <row r="18" spans="1:16">
      <c r="A18" s="27" t="s">
        <v>85</v>
      </c>
      <c r="B18" s="4" t="s">
        <v>70</v>
      </c>
      <c r="C18" s="4" t="s">
        <v>71</v>
      </c>
      <c r="D18" s="4" t="s">
        <v>77</v>
      </c>
      <c r="E18" s="4">
        <v>2256</v>
      </c>
      <c r="F18" s="4">
        <v>1133</v>
      </c>
      <c r="G18" s="4">
        <v>35</v>
      </c>
      <c r="H18" s="4">
        <v>27.2</v>
      </c>
      <c r="I18" s="4">
        <v>545</v>
      </c>
      <c r="J18" s="4">
        <v>49.9</v>
      </c>
      <c r="K18" s="4">
        <v>41.93</v>
      </c>
      <c r="L18" s="4">
        <v>13.81</v>
      </c>
      <c r="M18" s="4">
        <v>13</v>
      </c>
      <c r="N18" s="4">
        <v>-0.35</v>
      </c>
      <c r="O18" s="4">
        <v>-0.27</v>
      </c>
      <c r="P18" s="5">
        <v>0.045</v>
      </c>
    </row>
    <row r="19" spans="1:16">
      <c r="A19" s="27" t="s">
        <v>86</v>
      </c>
      <c r="B19" s="4" t="s">
        <v>87</v>
      </c>
      <c r="C19" s="4" t="s">
        <v>71</v>
      </c>
      <c r="D19" s="4" t="s">
        <v>72</v>
      </c>
      <c r="E19" s="4">
        <v>2008</v>
      </c>
      <c r="F19" s="4">
        <v>1002</v>
      </c>
      <c r="G19" s="4">
        <v>35</v>
      </c>
      <c r="H19" s="4">
        <v>21.8</v>
      </c>
      <c r="I19" s="4">
        <v>335</v>
      </c>
      <c r="J19" s="4">
        <v>45.44</v>
      </c>
      <c r="K19" s="4">
        <v>38.1</v>
      </c>
      <c r="L19" s="4">
        <v>9.25</v>
      </c>
      <c r="M19" s="4">
        <v>8.79</v>
      </c>
      <c r="N19" s="4">
        <v>-0.35</v>
      </c>
      <c r="O19" s="4">
        <v>-0.285</v>
      </c>
      <c r="P19" s="5">
        <v>0.057</v>
      </c>
    </row>
    <row r="20" spans="1:16">
      <c r="A20" s="27" t="s">
        <v>88</v>
      </c>
      <c r="B20" s="4" t="s">
        <v>87</v>
      </c>
      <c r="C20" s="4" t="s">
        <v>71</v>
      </c>
      <c r="D20" s="4" t="s">
        <v>72</v>
      </c>
      <c r="E20" s="4">
        <v>2008</v>
      </c>
      <c r="F20" s="4">
        <v>1002</v>
      </c>
      <c r="G20" s="4">
        <v>35</v>
      </c>
      <c r="H20" s="4">
        <v>21.8</v>
      </c>
      <c r="I20" s="4">
        <v>340</v>
      </c>
      <c r="J20" s="4">
        <v>45.69</v>
      </c>
      <c r="K20" s="4">
        <v>38.36</v>
      </c>
      <c r="L20" s="4">
        <v>9.31</v>
      </c>
      <c r="M20" s="4">
        <v>8.86</v>
      </c>
      <c r="N20" s="4">
        <v>-0.35</v>
      </c>
      <c r="O20" s="4">
        <v>-0.285</v>
      </c>
      <c r="P20" s="5">
        <v>0.057</v>
      </c>
    </row>
    <row r="21" spans="1:16">
      <c r="A21" s="27" t="s">
        <v>89</v>
      </c>
      <c r="B21" s="4" t="s">
        <v>87</v>
      </c>
      <c r="C21" s="4" t="s">
        <v>71</v>
      </c>
      <c r="D21" s="4" t="s">
        <v>72</v>
      </c>
      <c r="E21" s="4">
        <v>2008</v>
      </c>
      <c r="F21" s="4">
        <v>1002</v>
      </c>
      <c r="G21" s="4">
        <v>35</v>
      </c>
      <c r="H21" s="4">
        <v>21.8</v>
      </c>
      <c r="I21" s="4">
        <v>345</v>
      </c>
      <c r="J21" s="4">
        <v>45.94</v>
      </c>
      <c r="K21" s="4">
        <v>38.62</v>
      </c>
      <c r="L21" s="4">
        <v>9.36</v>
      </c>
      <c r="M21" s="4">
        <v>8.93</v>
      </c>
      <c r="N21" s="4">
        <v>-0.35</v>
      </c>
      <c r="O21" s="4">
        <v>-0.285</v>
      </c>
      <c r="P21" s="5">
        <v>0.057</v>
      </c>
    </row>
    <row r="22" spans="1:16">
      <c r="A22" s="27" t="s">
        <v>90</v>
      </c>
      <c r="B22" s="4" t="s">
        <v>87</v>
      </c>
      <c r="C22" s="4" t="s">
        <v>71</v>
      </c>
      <c r="D22" s="4" t="s">
        <v>72</v>
      </c>
      <c r="E22" s="4">
        <v>2008</v>
      </c>
      <c r="F22" s="4">
        <v>1002</v>
      </c>
      <c r="G22" s="4">
        <v>35</v>
      </c>
      <c r="H22" s="4">
        <v>21.8</v>
      </c>
      <c r="I22" s="4">
        <v>350</v>
      </c>
      <c r="J22" s="4">
        <v>46.19</v>
      </c>
      <c r="K22" s="4">
        <v>38.87</v>
      </c>
      <c r="L22" s="4">
        <v>9.42</v>
      </c>
      <c r="M22" s="4">
        <v>9</v>
      </c>
      <c r="N22" s="4">
        <v>-0.35</v>
      </c>
      <c r="O22" s="4">
        <v>-0.285</v>
      </c>
      <c r="P22" s="5">
        <v>0.057</v>
      </c>
    </row>
    <row r="23" spans="1:16">
      <c r="A23" s="27" t="s">
        <v>91</v>
      </c>
      <c r="B23" s="4" t="s">
        <v>87</v>
      </c>
      <c r="C23" s="4" t="s">
        <v>71</v>
      </c>
      <c r="D23" s="4" t="s">
        <v>72</v>
      </c>
      <c r="E23" s="4">
        <v>1962</v>
      </c>
      <c r="F23" s="4">
        <v>992</v>
      </c>
      <c r="G23" s="4">
        <v>35</v>
      </c>
      <c r="H23" s="4">
        <v>21.5</v>
      </c>
      <c r="I23" s="4">
        <v>325</v>
      </c>
      <c r="J23" s="4">
        <v>46.69</v>
      </c>
      <c r="K23" s="4">
        <v>36.98</v>
      </c>
      <c r="L23" s="4">
        <v>9.25</v>
      </c>
      <c r="M23" s="4">
        <v>8.79</v>
      </c>
      <c r="N23" s="4">
        <v>-0.39</v>
      </c>
      <c r="O23" s="4">
        <v>-0.31</v>
      </c>
      <c r="P23" s="5">
        <v>0.07</v>
      </c>
    </row>
    <row r="24" spans="1:16">
      <c r="A24" s="27" t="s">
        <v>92</v>
      </c>
      <c r="B24" s="4" t="s">
        <v>87</v>
      </c>
      <c r="C24" s="4" t="s">
        <v>71</v>
      </c>
      <c r="D24" s="4" t="s">
        <v>72</v>
      </c>
      <c r="E24" s="4">
        <v>1962</v>
      </c>
      <c r="F24" s="4">
        <v>992</v>
      </c>
      <c r="G24" s="4">
        <v>35</v>
      </c>
      <c r="H24" s="4">
        <v>21.5</v>
      </c>
      <c r="I24" s="4">
        <v>330</v>
      </c>
      <c r="J24" s="4">
        <v>46.98</v>
      </c>
      <c r="K24" s="4">
        <v>37.16</v>
      </c>
      <c r="L24" s="4">
        <v>9.31</v>
      </c>
      <c r="M24" s="4">
        <v>8.88</v>
      </c>
      <c r="N24" s="4">
        <v>-0.39</v>
      </c>
      <c r="O24" s="4">
        <v>-0.31</v>
      </c>
      <c r="P24" s="5">
        <v>0.07</v>
      </c>
    </row>
    <row r="25" spans="1:16">
      <c r="A25" s="27" t="s">
        <v>93</v>
      </c>
      <c r="B25" s="4" t="s">
        <v>87</v>
      </c>
      <c r="C25" s="4" t="s">
        <v>71</v>
      </c>
      <c r="D25" s="4" t="s">
        <v>72</v>
      </c>
      <c r="E25" s="4">
        <v>1962</v>
      </c>
      <c r="F25" s="4">
        <v>992</v>
      </c>
      <c r="G25" s="4">
        <v>35</v>
      </c>
      <c r="H25" s="4">
        <v>21.5</v>
      </c>
      <c r="I25" s="4">
        <v>335</v>
      </c>
      <c r="J25" s="4">
        <v>47.28</v>
      </c>
      <c r="K25" s="4">
        <v>37.35</v>
      </c>
      <c r="L25" s="4">
        <v>9.39</v>
      </c>
      <c r="M25" s="4">
        <v>8.97</v>
      </c>
      <c r="N25" s="4">
        <v>-0.39</v>
      </c>
      <c r="O25" s="4">
        <v>-0.31</v>
      </c>
      <c r="P25" s="5">
        <v>0.07</v>
      </c>
    </row>
    <row r="26" spans="1:16">
      <c r="A26" s="27" t="s">
        <v>94</v>
      </c>
      <c r="B26" s="4" t="s">
        <v>87</v>
      </c>
      <c r="C26" s="4" t="s">
        <v>71</v>
      </c>
      <c r="D26" s="4" t="s">
        <v>72</v>
      </c>
      <c r="E26" s="4">
        <v>1962</v>
      </c>
      <c r="F26" s="4">
        <v>992</v>
      </c>
      <c r="G26" s="4">
        <v>35</v>
      </c>
      <c r="H26" s="4">
        <v>21.5</v>
      </c>
      <c r="I26" s="4">
        <v>340</v>
      </c>
      <c r="J26" s="4">
        <v>47.58</v>
      </c>
      <c r="K26" s="4">
        <v>37.53</v>
      </c>
      <c r="L26" s="4">
        <v>9.47</v>
      </c>
      <c r="M26" s="4">
        <v>9.06</v>
      </c>
      <c r="N26" s="4">
        <v>-0.39</v>
      </c>
      <c r="O26" s="4">
        <v>-0.31</v>
      </c>
      <c r="P26" s="5">
        <v>0.07</v>
      </c>
    </row>
    <row r="27" spans="1:16">
      <c r="A27" s="27" t="s">
        <v>95</v>
      </c>
      <c r="B27" s="4" t="s">
        <v>87</v>
      </c>
      <c r="C27" s="4" t="s">
        <v>71</v>
      </c>
      <c r="D27" s="4" t="s">
        <v>77</v>
      </c>
      <c r="E27" s="4">
        <v>2278</v>
      </c>
      <c r="F27" s="4">
        <v>1134</v>
      </c>
      <c r="G27" s="4">
        <v>35</v>
      </c>
      <c r="H27" s="4">
        <v>29.3</v>
      </c>
      <c r="I27" s="4">
        <v>520</v>
      </c>
      <c r="J27" s="4">
        <v>48.52</v>
      </c>
      <c r="K27" s="4">
        <v>41.17</v>
      </c>
      <c r="L27" s="4">
        <v>13.37</v>
      </c>
      <c r="M27" s="4">
        <v>12.64</v>
      </c>
      <c r="N27" s="4">
        <v>-0.39</v>
      </c>
      <c r="O27" s="4">
        <v>-0.3</v>
      </c>
      <c r="P27" s="5">
        <v>0.06</v>
      </c>
    </row>
    <row r="28" spans="1:16">
      <c r="A28" s="27" t="s">
        <v>96</v>
      </c>
      <c r="B28" s="4" t="s">
        <v>87</v>
      </c>
      <c r="C28" s="4" t="s">
        <v>71</v>
      </c>
      <c r="D28" s="4" t="s">
        <v>77</v>
      </c>
      <c r="E28" s="4">
        <v>2278</v>
      </c>
      <c r="F28" s="4">
        <v>1134</v>
      </c>
      <c r="G28" s="4">
        <v>35</v>
      </c>
      <c r="H28" s="4">
        <v>29.3</v>
      </c>
      <c r="I28" s="4">
        <v>525</v>
      </c>
      <c r="J28" s="4">
        <v>48.82</v>
      </c>
      <c r="K28" s="4">
        <v>41.39</v>
      </c>
      <c r="L28" s="4">
        <v>13.41</v>
      </c>
      <c r="M28" s="4">
        <v>12.69</v>
      </c>
      <c r="N28" s="4">
        <v>-0.39</v>
      </c>
      <c r="O28" s="4">
        <v>-0.3</v>
      </c>
      <c r="P28" s="5">
        <v>0.06</v>
      </c>
    </row>
    <row r="29" spans="1:16">
      <c r="A29" s="27" t="s">
        <v>97</v>
      </c>
      <c r="B29" s="4" t="s">
        <v>87</v>
      </c>
      <c r="C29" s="4" t="s">
        <v>71</v>
      </c>
      <c r="D29" s="4" t="s">
        <v>77</v>
      </c>
      <c r="E29" s="4">
        <v>2278</v>
      </c>
      <c r="F29" s="4">
        <v>1134</v>
      </c>
      <c r="G29" s="4">
        <v>35</v>
      </c>
      <c r="H29" s="4">
        <v>29.3</v>
      </c>
      <c r="I29" s="4">
        <v>530</v>
      </c>
      <c r="J29" s="4">
        <v>49.12</v>
      </c>
      <c r="K29" s="4">
        <v>41.61</v>
      </c>
      <c r="L29" s="4">
        <v>13.45</v>
      </c>
      <c r="M29" s="4">
        <v>12.74</v>
      </c>
      <c r="N29" s="4">
        <v>-0.39</v>
      </c>
      <c r="O29" s="4">
        <v>-0.3</v>
      </c>
      <c r="P29" s="5">
        <v>0.06</v>
      </c>
    </row>
    <row r="30" spans="1:16">
      <c r="A30" s="27" t="s">
        <v>98</v>
      </c>
      <c r="B30" s="4" t="s">
        <v>87</v>
      </c>
      <c r="C30" s="4" t="s">
        <v>71</v>
      </c>
      <c r="D30" s="4" t="s">
        <v>77</v>
      </c>
      <c r="E30" s="4">
        <v>2278</v>
      </c>
      <c r="F30" s="4">
        <v>1134</v>
      </c>
      <c r="G30" s="4">
        <v>35</v>
      </c>
      <c r="H30" s="4">
        <v>29.3</v>
      </c>
      <c r="I30" s="4">
        <v>535</v>
      </c>
      <c r="J30" s="4">
        <v>49.42</v>
      </c>
      <c r="K30" s="4">
        <v>41.83</v>
      </c>
      <c r="L30" s="4">
        <v>13.49</v>
      </c>
      <c r="M30" s="4">
        <v>12.79</v>
      </c>
      <c r="N30" s="4">
        <v>-0.39</v>
      </c>
      <c r="O30" s="4">
        <v>-0.3</v>
      </c>
      <c r="P30" s="5">
        <v>0.06</v>
      </c>
    </row>
    <row r="31" spans="1:16">
      <c r="A31" s="27" t="s">
        <v>99</v>
      </c>
      <c r="B31" s="4" t="s">
        <v>87</v>
      </c>
      <c r="C31" s="4" t="s">
        <v>71</v>
      </c>
      <c r="D31" s="4" t="s">
        <v>77</v>
      </c>
      <c r="E31" s="4">
        <v>2278</v>
      </c>
      <c r="F31" s="4">
        <v>1134</v>
      </c>
      <c r="G31" s="4">
        <v>35</v>
      </c>
      <c r="H31" s="4">
        <v>29.3</v>
      </c>
      <c r="I31" s="4">
        <v>540</v>
      </c>
      <c r="J31" s="4">
        <v>49.72</v>
      </c>
      <c r="K31" s="4">
        <v>42.05</v>
      </c>
      <c r="L31" s="4">
        <v>13.53</v>
      </c>
      <c r="M31" s="4">
        <v>12.84</v>
      </c>
      <c r="N31" s="4">
        <v>-0.39</v>
      </c>
      <c r="O31" s="4">
        <v>-0.3</v>
      </c>
      <c r="P31" s="5">
        <v>0.06</v>
      </c>
    </row>
    <row r="32" spans="1:16">
      <c r="A32" s="27" t="s">
        <v>100</v>
      </c>
      <c r="B32" s="4" t="s">
        <v>87</v>
      </c>
      <c r="C32" s="4" t="s">
        <v>71</v>
      </c>
      <c r="D32" s="4" t="s">
        <v>77</v>
      </c>
      <c r="E32" s="4">
        <v>2278</v>
      </c>
      <c r="F32" s="4">
        <v>1134</v>
      </c>
      <c r="G32" s="4">
        <v>35</v>
      </c>
      <c r="H32" s="4">
        <v>29.3</v>
      </c>
      <c r="I32" s="4">
        <v>545</v>
      </c>
      <c r="J32" s="4">
        <v>50.02</v>
      </c>
      <c r="K32" s="4">
        <v>42.27</v>
      </c>
      <c r="L32" s="4">
        <v>13.57</v>
      </c>
      <c r="M32" s="4">
        <v>12.89</v>
      </c>
      <c r="N32" s="4">
        <v>-0.39</v>
      </c>
      <c r="O32" s="4">
        <v>-0.3</v>
      </c>
      <c r="P32" s="5">
        <v>0.06</v>
      </c>
    </row>
    <row r="33" spans="1:16">
      <c r="A33" s="27" t="s">
        <v>101</v>
      </c>
      <c r="B33" s="4" t="s">
        <v>87</v>
      </c>
      <c r="C33" s="4" t="s">
        <v>71</v>
      </c>
      <c r="D33" s="4" t="s">
        <v>77</v>
      </c>
      <c r="E33" s="4">
        <v>2278</v>
      </c>
      <c r="F33" s="4">
        <v>1134</v>
      </c>
      <c r="G33" s="4">
        <v>35</v>
      </c>
      <c r="H33" s="4">
        <v>29.3</v>
      </c>
      <c r="I33" s="4">
        <v>550</v>
      </c>
      <c r="J33" s="4">
        <v>50.32</v>
      </c>
      <c r="K33" s="4">
        <v>72.49</v>
      </c>
      <c r="L33" s="4">
        <v>13.67</v>
      </c>
      <c r="M33" s="4">
        <v>12.94</v>
      </c>
      <c r="N33" s="4">
        <v>-0.39</v>
      </c>
      <c r="O33" s="4">
        <v>-0.3</v>
      </c>
      <c r="P33" s="5">
        <v>0.06</v>
      </c>
    </row>
    <row r="34" spans="1:16">
      <c r="A34" s="27" t="s">
        <v>102</v>
      </c>
      <c r="B34" s="4" t="s">
        <v>103</v>
      </c>
      <c r="C34" s="4" t="s">
        <v>71</v>
      </c>
      <c r="D34" s="4" t="s">
        <v>77</v>
      </c>
      <c r="E34" s="4">
        <v>2278</v>
      </c>
      <c r="F34" s="4">
        <v>1134</v>
      </c>
      <c r="G34" s="4">
        <v>35</v>
      </c>
      <c r="H34" s="4">
        <v>28.6</v>
      </c>
      <c r="I34" s="4">
        <v>530</v>
      </c>
      <c r="J34" s="4">
        <v>49.3</v>
      </c>
      <c r="K34" s="4">
        <v>41.31</v>
      </c>
      <c r="L34" s="4">
        <v>13.72</v>
      </c>
      <c r="M34" s="4">
        <v>12.83</v>
      </c>
      <c r="N34" s="4">
        <v>-0.35</v>
      </c>
      <c r="O34" s="4">
        <v>-0.275</v>
      </c>
      <c r="P34" s="5">
        <v>0.045</v>
      </c>
    </row>
    <row r="35" spans="1:16">
      <c r="A35" s="27" t="s">
        <v>104</v>
      </c>
      <c r="B35" s="4" t="s">
        <v>103</v>
      </c>
      <c r="C35" s="4" t="s">
        <v>71</v>
      </c>
      <c r="D35" s="4" t="s">
        <v>77</v>
      </c>
      <c r="E35" s="4">
        <v>2278</v>
      </c>
      <c r="F35" s="4">
        <v>1134</v>
      </c>
      <c r="G35" s="4">
        <v>35</v>
      </c>
      <c r="H35" s="4">
        <v>28.6</v>
      </c>
      <c r="I35" s="4">
        <v>535</v>
      </c>
      <c r="J35" s="4">
        <v>49.45</v>
      </c>
      <c r="K35" s="4">
        <v>41.47</v>
      </c>
      <c r="L35" s="4">
        <v>13.79</v>
      </c>
      <c r="M35" s="4">
        <v>12.9</v>
      </c>
      <c r="N35" s="4">
        <v>-0.35</v>
      </c>
      <c r="O35" s="4">
        <v>-0.275</v>
      </c>
      <c r="P35" s="5">
        <v>0.045</v>
      </c>
    </row>
    <row r="36" spans="1:16">
      <c r="A36" s="27" t="s">
        <v>105</v>
      </c>
      <c r="B36" s="4" t="s">
        <v>103</v>
      </c>
      <c r="C36" s="4" t="s">
        <v>71</v>
      </c>
      <c r="D36" s="4" t="s">
        <v>77</v>
      </c>
      <c r="E36" s="4">
        <v>2278</v>
      </c>
      <c r="F36" s="4">
        <v>1134</v>
      </c>
      <c r="G36" s="4">
        <v>35</v>
      </c>
      <c r="H36" s="4">
        <v>28.6</v>
      </c>
      <c r="I36" s="4">
        <v>540</v>
      </c>
      <c r="J36" s="4">
        <v>49.6</v>
      </c>
      <c r="K36" s="4">
        <v>41.64</v>
      </c>
      <c r="L36" s="4">
        <v>13.86</v>
      </c>
      <c r="M36" s="4">
        <v>12.97</v>
      </c>
      <c r="N36" s="4">
        <v>-0.35</v>
      </c>
      <c r="O36" s="4">
        <v>-0.275</v>
      </c>
      <c r="P36" s="5">
        <v>0.045</v>
      </c>
    </row>
    <row r="37" spans="1:16">
      <c r="A37" s="27" t="s">
        <v>106</v>
      </c>
      <c r="B37" s="4" t="s">
        <v>103</v>
      </c>
      <c r="C37" s="4" t="s">
        <v>71</v>
      </c>
      <c r="D37" s="4" t="s">
        <v>77</v>
      </c>
      <c r="E37" s="4">
        <v>2278</v>
      </c>
      <c r="F37" s="4">
        <v>1134</v>
      </c>
      <c r="G37" s="4">
        <v>35</v>
      </c>
      <c r="H37" s="4">
        <v>28.6</v>
      </c>
      <c r="I37" s="4">
        <v>545</v>
      </c>
      <c r="J37" s="4">
        <v>49.75</v>
      </c>
      <c r="K37" s="4">
        <v>41.8</v>
      </c>
      <c r="L37" s="4">
        <v>13.93</v>
      </c>
      <c r="M37" s="4">
        <v>13.04</v>
      </c>
      <c r="N37" s="4">
        <v>-0.35</v>
      </c>
      <c r="O37" s="4">
        <v>-0.275</v>
      </c>
      <c r="P37" s="5">
        <v>0.045</v>
      </c>
    </row>
    <row r="38" spans="1:16">
      <c r="A38" s="27" t="s">
        <v>107</v>
      </c>
      <c r="B38" s="4" t="s">
        <v>103</v>
      </c>
      <c r="C38" s="4" t="s">
        <v>71</v>
      </c>
      <c r="D38" s="4" t="s">
        <v>77</v>
      </c>
      <c r="E38" s="4">
        <v>2278</v>
      </c>
      <c r="F38" s="4">
        <v>1134</v>
      </c>
      <c r="G38" s="4">
        <v>35</v>
      </c>
      <c r="H38" s="4">
        <v>28.6</v>
      </c>
      <c r="I38" s="4">
        <v>550</v>
      </c>
      <c r="J38" s="4">
        <v>49.9</v>
      </c>
      <c r="K38" s="4">
        <v>41.96</v>
      </c>
      <c r="L38" s="4">
        <v>14</v>
      </c>
      <c r="M38" s="4">
        <v>13.11</v>
      </c>
      <c r="N38" s="4">
        <v>-0.35</v>
      </c>
      <c r="O38" s="4">
        <v>-0.275</v>
      </c>
      <c r="P38" s="5">
        <v>0.045</v>
      </c>
    </row>
    <row r="39" spans="1:16">
      <c r="A39" s="27" t="s">
        <v>108</v>
      </c>
      <c r="B39" s="4" t="s">
        <v>103</v>
      </c>
      <c r="C39" s="4" t="s">
        <v>71</v>
      </c>
      <c r="D39" s="4" t="s">
        <v>77</v>
      </c>
      <c r="E39" s="4">
        <v>2278</v>
      </c>
      <c r="F39" s="4">
        <v>1134</v>
      </c>
      <c r="G39" s="4">
        <v>35</v>
      </c>
      <c r="H39" s="4">
        <v>28.6</v>
      </c>
      <c r="I39" s="4">
        <v>555</v>
      </c>
      <c r="J39" s="4">
        <v>50.02</v>
      </c>
      <c r="K39" s="4">
        <v>41.11</v>
      </c>
      <c r="L39" s="4">
        <v>14.07</v>
      </c>
      <c r="M39" s="4">
        <v>13.18</v>
      </c>
      <c r="N39" s="4">
        <v>-0.35</v>
      </c>
      <c r="O39" s="4">
        <v>-0.275</v>
      </c>
      <c r="P39" s="5">
        <v>0.045</v>
      </c>
    </row>
    <row r="40" spans="1:16">
      <c r="A40" s="27" t="s">
        <v>109</v>
      </c>
      <c r="B40" s="4" t="s">
        <v>103</v>
      </c>
      <c r="C40" s="4" t="s">
        <v>71</v>
      </c>
      <c r="D40" s="4" t="s">
        <v>77</v>
      </c>
      <c r="E40" s="4">
        <v>2278</v>
      </c>
      <c r="F40" s="4">
        <v>1134</v>
      </c>
      <c r="G40" s="4">
        <v>30</v>
      </c>
      <c r="H40" s="4">
        <v>31.8</v>
      </c>
      <c r="I40" s="4">
        <v>560</v>
      </c>
      <c r="J40" s="4">
        <v>47.38</v>
      </c>
      <c r="K40" s="4">
        <v>39.58</v>
      </c>
      <c r="L40" s="4">
        <v>15.01</v>
      </c>
      <c r="M40" s="4">
        <v>14.15</v>
      </c>
      <c r="N40" s="4">
        <v>-0.3</v>
      </c>
      <c r="O40" s="4">
        <v>-0.26</v>
      </c>
      <c r="P40" s="5">
        <v>0.046</v>
      </c>
    </row>
    <row r="41" spans="1:16">
      <c r="A41" s="27" t="s">
        <v>110</v>
      </c>
      <c r="B41" s="4" t="s">
        <v>103</v>
      </c>
      <c r="C41" s="4" t="s">
        <v>71</v>
      </c>
      <c r="D41" s="4" t="s">
        <v>77</v>
      </c>
      <c r="E41" s="4">
        <v>2278</v>
      </c>
      <c r="F41" s="4">
        <v>1134</v>
      </c>
      <c r="G41" s="4">
        <v>30</v>
      </c>
      <c r="H41" s="4">
        <v>31.8</v>
      </c>
      <c r="I41" s="4">
        <v>565</v>
      </c>
      <c r="J41" s="4">
        <v>47.58</v>
      </c>
      <c r="K41" s="4">
        <v>39.79</v>
      </c>
      <c r="L41" s="4">
        <v>15.06</v>
      </c>
      <c r="M41" s="4">
        <v>14.2</v>
      </c>
      <c r="N41" s="4">
        <v>-0.3</v>
      </c>
      <c r="O41" s="4">
        <v>-0.26</v>
      </c>
      <c r="P41" s="5">
        <v>0.046</v>
      </c>
    </row>
    <row r="42" spans="1:16">
      <c r="A42" s="27" t="s">
        <v>111</v>
      </c>
      <c r="B42" s="4" t="s">
        <v>103</v>
      </c>
      <c r="C42" s="4" t="s">
        <v>71</v>
      </c>
      <c r="D42" s="4" t="s">
        <v>77</v>
      </c>
      <c r="E42" s="4">
        <v>2278</v>
      </c>
      <c r="F42" s="4">
        <v>1134</v>
      </c>
      <c r="G42" s="4">
        <v>30</v>
      </c>
      <c r="H42" s="4">
        <v>31.8</v>
      </c>
      <c r="I42" s="4">
        <v>570</v>
      </c>
      <c r="J42" s="4">
        <v>47.78</v>
      </c>
      <c r="K42" s="4">
        <v>40</v>
      </c>
      <c r="L42" s="4">
        <v>15.11</v>
      </c>
      <c r="M42" s="4">
        <v>14.25</v>
      </c>
      <c r="N42" s="4">
        <v>-0.3</v>
      </c>
      <c r="O42" s="4">
        <v>-0.26</v>
      </c>
      <c r="P42" s="5">
        <v>0.046</v>
      </c>
    </row>
    <row r="43" spans="1:16">
      <c r="A43" s="27" t="s">
        <v>112</v>
      </c>
      <c r="B43" s="4" t="s">
        <v>103</v>
      </c>
      <c r="C43" s="4" t="s">
        <v>71</v>
      </c>
      <c r="D43" s="4" t="s">
        <v>77</v>
      </c>
      <c r="E43" s="4">
        <v>2278</v>
      </c>
      <c r="F43" s="4">
        <v>1134</v>
      </c>
      <c r="G43" s="4">
        <v>30</v>
      </c>
      <c r="H43" s="4">
        <v>31.8</v>
      </c>
      <c r="I43" s="4">
        <v>575</v>
      </c>
      <c r="J43" s="4">
        <v>47.98</v>
      </c>
      <c r="K43" s="4">
        <v>40.21</v>
      </c>
      <c r="L43" s="4">
        <v>15.16</v>
      </c>
      <c r="M43" s="4">
        <v>14.3</v>
      </c>
      <c r="N43" s="4">
        <v>-0.3</v>
      </c>
      <c r="O43" s="4">
        <v>-0.26</v>
      </c>
      <c r="P43" s="5">
        <v>0.046</v>
      </c>
    </row>
    <row r="44" spans="1:16">
      <c r="A44" s="27" t="s">
        <v>113</v>
      </c>
      <c r="B44" s="4" t="s">
        <v>103</v>
      </c>
      <c r="C44" s="4" t="s">
        <v>71</v>
      </c>
      <c r="D44" s="4" t="s">
        <v>77</v>
      </c>
      <c r="E44" s="4">
        <v>2278</v>
      </c>
      <c r="F44" s="4">
        <v>1134</v>
      </c>
      <c r="G44" s="4">
        <v>30</v>
      </c>
      <c r="H44" s="4">
        <v>31.8</v>
      </c>
      <c r="I44" s="4">
        <v>580</v>
      </c>
      <c r="J44" s="4">
        <v>48.48</v>
      </c>
      <c r="K44" s="4">
        <v>40.42</v>
      </c>
      <c r="L44" s="4">
        <v>15.21</v>
      </c>
      <c r="M44" s="4">
        <v>14.5</v>
      </c>
      <c r="N44" s="4">
        <v>-0.3</v>
      </c>
      <c r="O44" s="4">
        <v>-0.26</v>
      </c>
      <c r="P44" s="5">
        <v>0.046</v>
      </c>
    </row>
    <row r="45" spans="1:16">
      <c r="A45" s="27" t="s">
        <v>114</v>
      </c>
      <c r="B45" s="4" t="s">
        <v>103</v>
      </c>
      <c r="C45" s="4" t="s">
        <v>71</v>
      </c>
      <c r="D45" s="4" t="s">
        <v>77</v>
      </c>
      <c r="E45" s="4">
        <v>2278</v>
      </c>
      <c r="F45" s="4">
        <v>1134</v>
      </c>
      <c r="G45" s="4">
        <v>30</v>
      </c>
      <c r="H45" s="4">
        <v>31.8</v>
      </c>
      <c r="I45" s="4">
        <v>585</v>
      </c>
      <c r="J45" s="4">
        <v>48.38</v>
      </c>
      <c r="K45" s="4">
        <v>40.63</v>
      </c>
      <c r="L45" s="4">
        <v>15.26</v>
      </c>
      <c r="M45" s="4">
        <v>14.4</v>
      </c>
      <c r="N45" s="4">
        <v>-0.3</v>
      </c>
      <c r="O45" s="4">
        <v>-0.26</v>
      </c>
      <c r="P45" s="5">
        <v>0.046</v>
      </c>
    </row>
    <row r="46" spans="1:16">
      <c r="A46" s="27" t="s">
        <v>115</v>
      </c>
      <c r="B46" s="4" t="s">
        <v>103</v>
      </c>
      <c r="C46" s="4" t="s">
        <v>71</v>
      </c>
      <c r="D46" s="4" t="s">
        <v>77</v>
      </c>
      <c r="E46" s="4">
        <v>2465</v>
      </c>
      <c r="F46" s="4">
        <v>1134</v>
      </c>
      <c r="G46" s="4">
        <v>35</v>
      </c>
      <c r="H46" s="4">
        <v>34.6</v>
      </c>
      <c r="I46" s="4">
        <v>605</v>
      </c>
      <c r="J46" s="4">
        <v>51.27</v>
      </c>
      <c r="K46" s="4">
        <v>42.91</v>
      </c>
      <c r="L46" s="4">
        <v>14.83</v>
      </c>
      <c r="M46" s="4">
        <v>14.1</v>
      </c>
      <c r="N46" s="4">
        <v>-0.3</v>
      </c>
      <c r="O46" s="4">
        <v>-0.26</v>
      </c>
      <c r="P46" s="5">
        <v>0.046</v>
      </c>
    </row>
    <row r="47" spans="1:16">
      <c r="A47" s="27" t="s">
        <v>116</v>
      </c>
      <c r="B47" s="4" t="s">
        <v>103</v>
      </c>
      <c r="C47" s="4" t="s">
        <v>71</v>
      </c>
      <c r="D47" s="4" t="s">
        <v>77</v>
      </c>
      <c r="E47" s="4">
        <v>2465</v>
      </c>
      <c r="F47" s="4">
        <v>1134</v>
      </c>
      <c r="G47" s="4">
        <v>35</v>
      </c>
      <c r="H47" s="4">
        <v>34.6</v>
      </c>
      <c r="I47" s="4">
        <v>610</v>
      </c>
      <c r="J47" s="4">
        <v>51.47</v>
      </c>
      <c r="K47" s="4">
        <v>43.11</v>
      </c>
      <c r="L47" s="4">
        <v>14.88</v>
      </c>
      <c r="M47" s="4">
        <v>14.15</v>
      </c>
      <c r="N47" s="4">
        <v>-0.3</v>
      </c>
      <c r="O47" s="4">
        <v>-0.26</v>
      </c>
      <c r="P47" s="5">
        <v>0.046</v>
      </c>
    </row>
    <row r="48" spans="1:16">
      <c r="A48" s="27" t="s">
        <v>117</v>
      </c>
      <c r="B48" s="4" t="s">
        <v>103</v>
      </c>
      <c r="C48" s="4" t="s">
        <v>71</v>
      </c>
      <c r="D48" s="4" t="s">
        <v>77</v>
      </c>
      <c r="E48" s="4">
        <v>2465</v>
      </c>
      <c r="F48" s="4">
        <v>1134</v>
      </c>
      <c r="G48" s="4">
        <v>35</v>
      </c>
      <c r="H48" s="4">
        <v>34.6</v>
      </c>
      <c r="I48" s="4">
        <v>615</v>
      </c>
      <c r="J48" s="4">
        <v>51.67</v>
      </c>
      <c r="K48" s="4">
        <v>43.31</v>
      </c>
      <c r="L48" s="4">
        <v>14.93</v>
      </c>
      <c r="M48" s="4">
        <v>14.2</v>
      </c>
      <c r="N48" s="4">
        <v>-0.3</v>
      </c>
      <c r="O48" s="4">
        <v>-0.26</v>
      </c>
      <c r="P48" s="5">
        <v>0.046</v>
      </c>
    </row>
    <row r="49" spans="1:16">
      <c r="A49" s="27" t="s">
        <v>118</v>
      </c>
      <c r="B49" s="4" t="s">
        <v>103</v>
      </c>
      <c r="C49" s="4" t="s">
        <v>71</v>
      </c>
      <c r="D49" s="4" t="s">
        <v>77</v>
      </c>
      <c r="E49" s="4">
        <v>2465</v>
      </c>
      <c r="F49" s="4">
        <v>1134</v>
      </c>
      <c r="G49" s="4">
        <v>35</v>
      </c>
      <c r="H49" s="4">
        <v>34.6</v>
      </c>
      <c r="I49" s="4">
        <v>620</v>
      </c>
      <c r="J49" s="4">
        <v>51.86</v>
      </c>
      <c r="K49" s="4">
        <v>43.51</v>
      </c>
      <c r="L49" s="4">
        <v>14.98</v>
      </c>
      <c r="M49" s="4">
        <v>14.25</v>
      </c>
      <c r="N49" s="4">
        <v>-0.3</v>
      </c>
      <c r="O49" s="4">
        <v>-0.26</v>
      </c>
      <c r="P49" s="5">
        <v>0.046</v>
      </c>
    </row>
    <row r="50" spans="1:16">
      <c r="A50" s="27" t="s">
        <v>119</v>
      </c>
      <c r="B50" s="4" t="s">
        <v>103</v>
      </c>
      <c r="C50" s="4" t="s">
        <v>71</v>
      </c>
      <c r="D50" s="4" t="s">
        <v>77</v>
      </c>
      <c r="E50" s="4">
        <v>2465</v>
      </c>
      <c r="F50" s="4">
        <v>1134</v>
      </c>
      <c r="G50" s="4">
        <v>35</v>
      </c>
      <c r="H50" s="4">
        <v>34.6</v>
      </c>
      <c r="I50" s="4">
        <v>625</v>
      </c>
      <c r="J50" s="4">
        <v>52.05</v>
      </c>
      <c r="K50" s="4">
        <v>43.71</v>
      </c>
      <c r="L50" s="4">
        <v>15.03</v>
      </c>
      <c r="M50" s="4">
        <v>14.3</v>
      </c>
      <c r="N50" s="4">
        <v>-0.3</v>
      </c>
      <c r="O50" s="4">
        <v>-0.26</v>
      </c>
      <c r="P50" s="5">
        <v>0.046</v>
      </c>
    </row>
    <row r="51" spans="1:16">
      <c r="A51" s="27" t="s">
        <v>120</v>
      </c>
      <c r="B51" s="4" t="s">
        <v>103</v>
      </c>
      <c r="C51" s="4" t="s">
        <v>71</v>
      </c>
      <c r="D51" s="4" t="s">
        <v>77</v>
      </c>
      <c r="E51" s="4">
        <v>2465</v>
      </c>
      <c r="F51" s="4">
        <v>1134</v>
      </c>
      <c r="G51" s="4">
        <v>35</v>
      </c>
      <c r="H51" s="4">
        <v>34.6</v>
      </c>
      <c r="I51" s="4">
        <v>630</v>
      </c>
      <c r="J51" s="4">
        <v>62.24</v>
      </c>
      <c r="K51" s="4">
        <v>43.9</v>
      </c>
      <c r="L51" s="4">
        <v>15.08</v>
      </c>
      <c r="M51" s="4">
        <v>14.35</v>
      </c>
      <c r="N51" s="4">
        <v>-0.3</v>
      </c>
      <c r="O51" s="4">
        <v>-0.26</v>
      </c>
      <c r="P51" s="5">
        <v>0.046</v>
      </c>
    </row>
    <row r="52" spans="1:16">
      <c r="A52" s="27" t="s">
        <v>121</v>
      </c>
      <c r="B52" s="4" t="s">
        <v>122</v>
      </c>
      <c r="C52" s="4" t="s">
        <v>71</v>
      </c>
      <c r="D52" s="4" t="s">
        <v>72</v>
      </c>
      <c r="E52" s="4">
        <v>1956</v>
      </c>
      <c r="F52" s="4">
        <v>942</v>
      </c>
      <c r="G52" s="4">
        <v>40</v>
      </c>
      <c r="H52" s="4">
        <v>26.5</v>
      </c>
      <c r="I52" s="4">
        <v>320</v>
      </c>
      <c r="J52" s="4">
        <v>46.4</v>
      </c>
      <c r="K52" s="4">
        <v>37.4</v>
      </c>
      <c r="L52" s="4">
        <v>9.05</v>
      </c>
      <c r="M52" s="4">
        <v>8.56</v>
      </c>
      <c r="N52" s="4">
        <v>-0.4</v>
      </c>
      <c r="O52" s="4">
        <v>-0.31</v>
      </c>
      <c r="P52" s="5">
        <v>0.06</v>
      </c>
    </row>
    <row r="53" spans="1:16">
      <c r="A53" s="27" t="s">
        <v>123</v>
      </c>
      <c r="B53" s="4" t="s">
        <v>122</v>
      </c>
      <c r="C53" s="4" t="s">
        <v>71</v>
      </c>
      <c r="D53" s="4" t="s">
        <v>72</v>
      </c>
      <c r="E53" s="4">
        <v>1956</v>
      </c>
      <c r="F53" s="4">
        <v>942</v>
      </c>
      <c r="G53" s="4">
        <v>40</v>
      </c>
      <c r="H53" s="4">
        <v>26.5</v>
      </c>
      <c r="I53" s="4">
        <v>325</v>
      </c>
      <c r="J53" s="4">
        <v>46.7</v>
      </c>
      <c r="K53" s="4">
        <v>37.6</v>
      </c>
      <c r="L53" s="4">
        <v>9.1</v>
      </c>
      <c r="M53" s="4">
        <v>8.66</v>
      </c>
      <c r="N53" s="4">
        <v>-0.4</v>
      </c>
      <c r="O53" s="4">
        <v>-0.31</v>
      </c>
      <c r="P53" s="5">
        <v>0.06</v>
      </c>
    </row>
    <row r="54" spans="1:16">
      <c r="A54" s="27" t="s">
        <v>124</v>
      </c>
      <c r="B54" s="4" t="s">
        <v>122</v>
      </c>
      <c r="C54" s="4" t="s">
        <v>71</v>
      </c>
      <c r="D54" s="4" t="s">
        <v>72</v>
      </c>
      <c r="E54" s="4">
        <v>1956</v>
      </c>
      <c r="F54" s="4">
        <v>942</v>
      </c>
      <c r="G54" s="4">
        <v>40</v>
      </c>
      <c r="H54" s="4">
        <v>26.5</v>
      </c>
      <c r="I54" s="4">
        <v>330</v>
      </c>
      <c r="J54" s="4">
        <v>46.9</v>
      </c>
      <c r="K54" s="4">
        <v>37.8</v>
      </c>
      <c r="L54" s="4">
        <v>9.14</v>
      </c>
      <c r="M54" s="4">
        <v>8.74</v>
      </c>
      <c r="N54" s="4">
        <v>-0.4</v>
      </c>
      <c r="O54" s="4">
        <v>-0.31</v>
      </c>
      <c r="P54" s="5">
        <v>0.06</v>
      </c>
    </row>
    <row r="55" spans="1:16">
      <c r="A55" s="27" t="s">
        <v>125</v>
      </c>
      <c r="B55" s="4" t="s">
        <v>122</v>
      </c>
      <c r="C55" s="4" t="s">
        <v>71</v>
      </c>
      <c r="D55" s="4" t="s">
        <v>72</v>
      </c>
      <c r="E55" s="4">
        <v>1956</v>
      </c>
      <c r="F55" s="4">
        <v>942</v>
      </c>
      <c r="G55" s="4">
        <v>40</v>
      </c>
      <c r="H55" s="4">
        <v>26.5</v>
      </c>
      <c r="I55" s="4">
        <v>335</v>
      </c>
      <c r="J55" s="4">
        <v>47.2</v>
      </c>
      <c r="K55" s="4">
        <v>38</v>
      </c>
      <c r="L55" s="4">
        <v>9.18</v>
      </c>
      <c r="M55" s="4">
        <v>8.82</v>
      </c>
      <c r="N55" s="4">
        <v>-0.4</v>
      </c>
      <c r="O55" s="4">
        <v>-0.31</v>
      </c>
      <c r="P55" s="5">
        <v>0.06</v>
      </c>
    </row>
    <row r="56" spans="1:16">
      <c r="A56" s="27" t="s">
        <v>126</v>
      </c>
      <c r="B56" s="4" t="s">
        <v>122</v>
      </c>
      <c r="C56" s="4" t="s">
        <v>71</v>
      </c>
      <c r="D56" s="4" t="s">
        <v>72</v>
      </c>
      <c r="E56" s="4">
        <v>1956</v>
      </c>
      <c r="F56" s="4">
        <v>942</v>
      </c>
      <c r="G56" s="4">
        <v>40</v>
      </c>
      <c r="H56" s="4">
        <v>26.5</v>
      </c>
      <c r="I56" s="4">
        <v>340</v>
      </c>
      <c r="J56" s="4">
        <v>47.5</v>
      </c>
      <c r="K56" s="4">
        <v>38.2</v>
      </c>
      <c r="L56" s="4">
        <v>9.22</v>
      </c>
      <c r="M56" s="4">
        <v>8.91</v>
      </c>
      <c r="N56" s="4">
        <v>-0.4</v>
      </c>
      <c r="O56" s="4">
        <v>-0.31</v>
      </c>
      <c r="P56" s="5">
        <v>0.06</v>
      </c>
    </row>
    <row r="57" spans="1:16">
      <c r="A57" s="27" t="s">
        <v>127</v>
      </c>
      <c r="B57" s="4" t="s">
        <v>122</v>
      </c>
      <c r="C57" s="4" t="s">
        <v>71</v>
      </c>
      <c r="D57" s="4" t="s">
        <v>72</v>
      </c>
      <c r="E57" s="4">
        <v>2278</v>
      </c>
      <c r="F57" s="4">
        <v>1134</v>
      </c>
      <c r="G57" s="4">
        <v>35</v>
      </c>
      <c r="H57" s="4">
        <v>27</v>
      </c>
      <c r="I57" s="4">
        <v>550</v>
      </c>
      <c r="J57" s="4">
        <v>49.62</v>
      </c>
      <c r="K57" s="4">
        <v>40.9</v>
      </c>
      <c r="L57" s="4">
        <v>14.03</v>
      </c>
      <c r="M57" s="4">
        <v>13.45</v>
      </c>
      <c r="N57" s="4">
        <v>-0.35</v>
      </c>
      <c r="O57" s="4">
        <v>-0.28</v>
      </c>
      <c r="P57" s="5">
        <v>0.048</v>
      </c>
    </row>
    <row r="58" spans="1:16">
      <c r="A58" s="27" t="s">
        <v>128</v>
      </c>
      <c r="B58" s="4" t="s">
        <v>122</v>
      </c>
      <c r="C58" s="4" t="s">
        <v>71</v>
      </c>
      <c r="D58" s="4" t="s">
        <v>72</v>
      </c>
      <c r="E58" s="4">
        <v>2278</v>
      </c>
      <c r="F58" s="4">
        <v>1134</v>
      </c>
      <c r="G58" s="4">
        <v>35</v>
      </c>
      <c r="H58" s="4">
        <v>27</v>
      </c>
      <c r="I58" s="4">
        <v>409</v>
      </c>
      <c r="J58" s="4">
        <v>46.84</v>
      </c>
      <c r="K58" s="4">
        <v>38.42</v>
      </c>
      <c r="L58" s="4">
        <v>11.33</v>
      </c>
      <c r="M58" s="4">
        <v>10.65</v>
      </c>
      <c r="N58" s="4">
        <v>-0.35</v>
      </c>
      <c r="O58" s="4">
        <v>-0.28</v>
      </c>
      <c r="P58" s="5">
        <v>0.048</v>
      </c>
    </row>
    <row r="59" spans="1:16">
      <c r="A59" s="27" t="s">
        <v>129</v>
      </c>
      <c r="B59" s="4" t="s">
        <v>122</v>
      </c>
      <c r="C59" s="4" t="s">
        <v>71</v>
      </c>
      <c r="D59" s="4" t="s">
        <v>72</v>
      </c>
      <c r="E59" s="4">
        <v>2278</v>
      </c>
      <c r="F59" s="4">
        <v>1134</v>
      </c>
      <c r="G59" s="4">
        <v>35</v>
      </c>
      <c r="H59" s="4">
        <v>27</v>
      </c>
      <c r="I59" s="4">
        <v>555</v>
      </c>
      <c r="J59" s="4">
        <v>49.72</v>
      </c>
      <c r="K59" s="4">
        <v>40.99</v>
      </c>
      <c r="L59" s="4">
        <v>14.12</v>
      </c>
      <c r="M59" s="4">
        <v>13.54</v>
      </c>
      <c r="N59" s="4">
        <v>-0.35</v>
      </c>
      <c r="O59" s="4">
        <v>-0.28</v>
      </c>
      <c r="P59" s="5">
        <v>0.048</v>
      </c>
    </row>
    <row r="60" spans="1:16">
      <c r="A60" s="27" t="s">
        <v>130</v>
      </c>
      <c r="B60" s="4" t="s">
        <v>122</v>
      </c>
      <c r="C60" s="4" t="s">
        <v>71</v>
      </c>
      <c r="D60" s="4" t="s">
        <v>72</v>
      </c>
      <c r="E60" s="4">
        <v>2278</v>
      </c>
      <c r="F60" s="4">
        <v>1134</v>
      </c>
      <c r="G60" s="4">
        <v>35</v>
      </c>
      <c r="H60" s="4">
        <v>27</v>
      </c>
      <c r="I60" s="4">
        <v>413</v>
      </c>
      <c r="J60" s="4">
        <v>46.93</v>
      </c>
      <c r="K60" s="4">
        <v>38.59</v>
      </c>
      <c r="L60" s="4">
        <v>11.4</v>
      </c>
      <c r="M60" s="4">
        <v>10.7</v>
      </c>
      <c r="N60" s="4">
        <v>-0.35</v>
      </c>
      <c r="O60" s="4">
        <v>-0.28</v>
      </c>
      <c r="P60" s="5">
        <v>0.048</v>
      </c>
    </row>
    <row r="61" spans="1:16">
      <c r="A61" s="27" t="s">
        <v>131</v>
      </c>
      <c r="B61" s="4" t="s">
        <v>122</v>
      </c>
      <c r="C61" s="4" t="s">
        <v>71</v>
      </c>
      <c r="D61" s="4" t="s">
        <v>72</v>
      </c>
      <c r="E61" s="4">
        <v>2278</v>
      </c>
      <c r="F61" s="4">
        <v>1134</v>
      </c>
      <c r="G61" s="4">
        <v>35</v>
      </c>
      <c r="H61" s="4">
        <v>27</v>
      </c>
      <c r="I61" s="4">
        <v>560</v>
      </c>
      <c r="J61" s="4">
        <v>49.82</v>
      </c>
      <c r="K61" s="4">
        <v>40.09</v>
      </c>
      <c r="L61" s="4">
        <v>14.21</v>
      </c>
      <c r="M61" s="4">
        <v>13.63</v>
      </c>
      <c r="N61" s="4">
        <v>-0.35</v>
      </c>
      <c r="O61" s="4">
        <v>-0.28</v>
      </c>
      <c r="P61" s="5">
        <v>0.048</v>
      </c>
    </row>
    <row r="62" spans="1:16">
      <c r="A62" s="27" t="s">
        <v>132</v>
      </c>
      <c r="B62" s="4" t="s">
        <v>122</v>
      </c>
      <c r="C62" s="4" t="s">
        <v>71</v>
      </c>
      <c r="D62" s="4" t="s">
        <v>72</v>
      </c>
      <c r="E62" s="4">
        <v>2278</v>
      </c>
      <c r="F62" s="4">
        <v>1134</v>
      </c>
      <c r="G62" s="4">
        <v>35</v>
      </c>
      <c r="H62" s="4">
        <v>27</v>
      </c>
      <c r="I62" s="4">
        <v>417</v>
      </c>
      <c r="J62" s="4">
        <v>47.02</v>
      </c>
      <c r="K62" s="4">
        <v>38.69</v>
      </c>
      <c r="L62" s="4">
        <v>11.48</v>
      </c>
      <c r="M62" s="4">
        <v>10.77</v>
      </c>
      <c r="N62" s="4">
        <v>-0.35</v>
      </c>
      <c r="O62" s="4">
        <v>-0.28</v>
      </c>
      <c r="P62" s="5">
        <v>0.048</v>
      </c>
    </row>
    <row r="63" spans="1:16">
      <c r="A63" s="27" t="s">
        <v>133</v>
      </c>
      <c r="B63" s="4" t="s">
        <v>122</v>
      </c>
      <c r="C63" s="4" t="s">
        <v>71</v>
      </c>
      <c r="D63" s="4" t="s">
        <v>72</v>
      </c>
      <c r="E63" s="4">
        <v>2278</v>
      </c>
      <c r="F63" s="4">
        <v>1134</v>
      </c>
      <c r="G63" s="4">
        <v>35</v>
      </c>
      <c r="H63" s="4">
        <v>27</v>
      </c>
      <c r="I63" s="4">
        <v>565</v>
      </c>
      <c r="J63" s="4">
        <v>49.93</v>
      </c>
      <c r="K63" s="4">
        <v>41.21</v>
      </c>
      <c r="L63" s="4">
        <v>14.3</v>
      </c>
      <c r="M63" s="4">
        <v>13.71</v>
      </c>
      <c r="N63" s="4">
        <v>-0.35</v>
      </c>
      <c r="O63" s="4">
        <v>-0.28</v>
      </c>
      <c r="P63" s="5">
        <v>0.048</v>
      </c>
    </row>
    <row r="64" spans="1:16">
      <c r="A64" s="27" t="s">
        <v>134</v>
      </c>
      <c r="B64" s="4" t="s">
        <v>122</v>
      </c>
      <c r="C64" s="4" t="s">
        <v>71</v>
      </c>
      <c r="D64" s="4" t="s">
        <v>72</v>
      </c>
      <c r="E64" s="4">
        <v>2278</v>
      </c>
      <c r="F64" s="4">
        <v>1134</v>
      </c>
      <c r="G64" s="4">
        <v>35</v>
      </c>
      <c r="H64" s="4">
        <v>27</v>
      </c>
      <c r="I64" s="4">
        <v>420</v>
      </c>
      <c r="J64" s="4">
        <v>47.13</v>
      </c>
      <c r="K64" s="4">
        <v>38.74</v>
      </c>
      <c r="L64" s="4">
        <v>11.55</v>
      </c>
      <c r="M64" s="4">
        <v>10.85</v>
      </c>
      <c r="N64" s="4">
        <v>-0.35</v>
      </c>
      <c r="O64" s="4">
        <v>-0.28</v>
      </c>
      <c r="P64" s="5">
        <v>0.048</v>
      </c>
    </row>
    <row r="65" spans="1:16">
      <c r="A65" s="27" t="s">
        <v>135</v>
      </c>
      <c r="B65" s="4" t="s">
        <v>122</v>
      </c>
      <c r="C65" s="4" t="s">
        <v>71</v>
      </c>
      <c r="D65" s="4" t="s">
        <v>72</v>
      </c>
      <c r="E65" s="4">
        <v>2278</v>
      </c>
      <c r="F65" s="4">
        <v>1134</v>
      </c>
      <c r="G65" s="4">
        <v>35</v>
      </c>
      <c r="H65" s="4">
        <v>27</v>
      </c>
      <c r="I65" s="4">
        <v>570</v>
      </c>
      <c r="J65" s="4">
        <v>50.04</v>
      </c>
      <c r="K65" s="4">
        <v>41.34</v>
      </c>
      <c r="L65" s="4">
        <v>14.39</v>
      </c>
      <c r="M65" s="4">
        <v>13.79</v>
      </c>
      <c r="N65" s="4">
        <v>-0.35</v>
      </c>
      <c r="O65" s="4">
        <v>-0.28</v>
      </c>
      <c r="P65" s="5">
        <v>0.048</v>
      </c>
    </row>
    <row r="66" spans="1:16">
      <c r="A66" s="27" t="s">
        <v>136</v>
      </c>
      <c r="B66" s="4" t="s">
        <v>122</v>
      </c>
      <c r="C66" s="4" t="s">
        <v>71</v>
      </c>
      <c r="D66" s="4" t="s">
        <v>72</v>
      </c>
      <c r="E66" s="4">
        <v>2278</v>
      </c>
      <c r="F66" s="4">
        <v>1134</v>
      </c>
      <c r="G66" s="4">
        <v>35</v>
      </c>
      <c r="H66" s="4">
        <v>27</v>
      </c>
      <c r="I66" s="4">
        <v>424</v>
      </c>
      <c r="J66" s="4">
        <v>47.23</v>
      </c>
      <c r="K66" s="4">
        <v>38.84</v>
      </c>
      <c r="L66" s="4">
        <v>11.62</v>
      </c>
      <c r="M66" s="4">
        <v>10.92</v>
      </c>
      <c r="N66" s="4">
        <v>-0.35</v>
      </c>
      <c r="O66" s="4">
        <v>-0.28</v>
      </c>
      <c r="P66" s="5">
        <v>0.048</v>
      </c>
    </row>
    <row r="67" spans="1:16">
      <c r="A67" s="27" t="s">
        <v>137</v>
      </c>
      <c r="B67" s="4" t="s">
        <v>138</v>
      </c>
      <c r="C67" s="4" t="s">
        <v>71</v>
      </c>
      <c r="D67" s="4" t="s">
        <v>77</v>
      </c>
      <c r="E67" s="4">
        <v>2256</v>
      </c>
      <c r="F67" s="4">
        <v>1133</v>
      </c>
      <c r="G67" s="4">
        <v>35</v>
      </c>
      <c r="H67" s="4">
        <v>27.2</v>
      </c>
      <c r="I67" s="4">
        <v>525</v>
      </c>
      <c r="J67" s="4">
        <v>49.05</v>
      </c>
      <c r="K67" s="4">
        <v>41.2</v>
      </c>
      <c r="L67" s="4">
        <v>13.65</v>
      </c>
      <c r="M67" s="4">
        <v>12.75</v>
      </c>
      <c r="N67" s="4">
        <v>-0.35</v>
      </c>
      <c r="O67" s="4">
        <v>-0.27</v>
      </c>
      <c r="P67" s="5">
        <v>0.048</v>
      </c>
    </row>
    <row r="68" spans="1:16">
      <c r="A68" s="27" t="s">
        <v>139</v>
      </c>
      <c r="B68" s="4" t="s">
        <v>138</v>
      </c>
      <c r="C68" s="4" t="s">
        <v>71</v>
      </c>
      <c r="D68" s="4" t="s">
        <v>77</v>
      </c>
      <c r="E68" s="4">
        <v>2256</v>
      </c>
      <c r="F68" s="4">
        <v>1133</v>
      </c>
      <c r="G68" s="4">
        <v>35</v>
      </c>
      <c r="H68" s="4">
        <v>27.2</v>
      </c>
      <c r="I68" s="4">
        <v>530</v>
      </c>
      <c r="J68" s="4">
        <v>49.2</v>
      </c>
      <c r="K68" s="4">
        <v>41.35</v>
      </c>
      <c r="L68" s="4">
        <v>13.71</v>
      </c>
      <c r="M68" s="4">
        <v>12.82</v>
      </c>
      <c r="N68" s="4">
        <v>-0.35</v>
      </c>
      <c r="O68" s="4">
        <v>-0.27</v>
      </c>
      <c r="P68" s="5">
        <v>0.048</v>
      </c>
    </row>
    <row r="69" spans="1:16">
      <c r="A69" s="27" t="s">
        <v>140</v>
      </c>
      <c r="B69" s="4" t="s">
        <v>138</v>
      </c>
      <c r="C69" s="4" t="s">
        <v>71</v>
      </c>
      <c r="D69" s="4" t="s">
        <v>77</v>
      </c>
      <c r="E69" s="4">
        <v>2256</v>
      </c>
      <c r="F69" s="4">
        <v>1133</v>
      </c>
      <c r="G69" s="4">
        <v>35</v>
      </c>
      <c r="H69" s="4">
        <v>27.2</v>
      </c>
      <c r="I69" s="4">
        <v>535</v>
      </c>
      <c r="J69" s="4">
        <v>49.35</v>
      </c>
      <c r="K69" s="4">
        <v>41.5</v>
      </c>
      <c r="L69" s="4">
        <v>13.78</v>
      </c>
      <c r="M69" s="4">
        <v>12.9</v>
      </c>
      <c r="N69" s="4">
        <v>-0.35</v>
      </c>
      <c r="O69" s="4">
        <v>-0.27</v>
      </c>
      <c r="P69" s="5">
        <v>0.048</v>
      </c>
    </row>
    <row r="70" spans="1:16">
      <c r="A70" s="27" t="s">
        <v>141</v>
      </c>
      <c r="B70" s="4" t="s">
        <v>138</v>
      </c>
      <c r="C70" s="4" t="s">
        <v>71</v>
      </c>
      <c r="D70" s="4" t="s">
        <v>77</v>
      </c>
      <c r="E70" s="4">
        <v>2256</v>
      </c>
      <c r="F70" s="4">
        <v>1133</v>
      </c>
      <c r="G70" s="4">
        <v>35</v>
      </c>
      <c r="H70" s="4">
        <v>27.2</v>
      </c>
      <c r="I70" s="4">
        <v>540</v>
      </c>
      <c r="J70" s="4">
        <v>49.5</v>
      </c>
      <c r="K70" s="4">
        <v>41.65</v>
      </c>
      <c r="L70" s="4">
        <v>13.85</v>
      </c>
      <c r="M70" s="4">
        <v>12.97</v>
      </c>
      <c r="N70" s="4">
        <v>-0.35</v>
      </c>
      <c r="O70" s="4">
        <v>-0.27</v>
      </c>
      <c r="P70" s="5">
        <v>0.048</v>
      </c>
    </row>
    <row r="71" spans="1:16">
      <c r="A71" s="27" t="s">
        <v>142</v>
      </c>
      <c r="B71" s="4" t="s">
        <v>138</v>
      </c>
      <c r="C71" s="4" t="s">
        <v>71</v>
      </c>
      <c r="D71" s="4" t="s">
        <v>77</v>
      </c>
      <c r="E71" s="4">
        <v>2256</v>
      </c>
      <c r="F71" s="4">
        <v>1133</v>
      </c>
      <c r="G71" s="4">
        <v>35</v>
      </c>
      <c r="H71" s="4">
        <v>27.2</v>
      </c>
      <c r="I71" s="4">
        <v>545</v>
      </c>
      <c r="J71" s="4">
        <v>49.65</v>
      </c>
      <c r="K71" s="4">
        <v>41.8</v>
      </c>
      <c r="L71" s="4">
        <v>13.92</v>
      </c>
      <c r="M71" s="4">
        <v>13.04</v>
      </c>
      <c r="N71" s="4">
        <v>-0.35</v>
      </c>
      <c r="O71" s="4">
        <v>-0.27</v>
      </c>
      <c r="P71" s="5">
        <v>0.048</v>
      </c>
    </row>
    <row r="72" spans="1:16">
      <c r="A72" s="27" t="s">
        <v>143</v>
      </c>
      <c r="B72" s="4" t="s">
        <v>138</v>
      </c>
      <c r="C72" s="4" t="s">
        <v>71</v>
      </c>
      <c r="D72" s="4" t="s">
        <v>77</v>
      </c>
      <c r="E72" s="4">
        <v>2256</v>
      </c>
      <c r="F72" s="4">
        <v>1133</v>
      </c>
      <c r="G72" s="4">
        <v>35</v>
      </c>
      <c r="H72" s="4">
        <v>27.2</v>
      </c>
      <c r="I72" s="4">
        <v>550</v>
      </c>
      <c r="J72" s="4">
        <v>49.8</v>
      </c>
      <c r="K72" s="4">
        <v>41.95</v>
      </c>
      <c r="L72" s="4">
        <v>13.98</v>
      </c>
      <c r="M72" s="4">
        <v>13.12</v>
      </c>
      <c r="N72" s="4">
        <v>-0.35</v>
      </c>
      <c r="O72" s="4">
        <v>-0.27</v>
      </c>
      <c r="P72" s="5">
        <v>0.048</v>
      </c>
    </row>
    <row r="73" spans="1:16">
      <c r="A73" s="27" t="s">
        <v>144</v>
      </c>
      <c r="B73" s="4" t="s">
        <v>138</v>
      </c>
      <c r="C73" s="4" t="s">
        <v>71</v>
      </c>
      <c r="D73" s="4" t="s">
        <v>77</v>
      </c>
      <c r="E73" s="4">
        <v>2278</v>
      </c>
      <c r="F73" s="4">
        <v>1134</v>
      </c>
      <c r="G73" s="4">
        <v>35</v>
      </c>
      <c r="H73" s="4">
        <v>27.5</v>
      </c>
      <c r="I73" s="4">
        <v>555</v>
      </c>
      <c r="J73" s="4">
        <v>49.95</v>
      </c>
      <c r="K73" s="4">
        <v>42.1</v>
      </c>
      <c r="L73" s="4">
        <v>14.04</v>
      </c>
      <c r="M73" s="4">
        <v>13.19</v>
      </c>
      <c r="N73" s="4">
        <v>-0.34</v>
      </c>
      <c r="O73" s="4">
        <v>-0.265</v>
      </c>
      <c r="P73" s="5">
        <v>0.05</v>
      </c>
    </row>
    <row r="74" spans="1:16">
      <c r="A74" s="27" t="s">
        <v>145</v>
      </c>
      <c r="B74" s="4" t="s">
        <v>138</v>
      </c>
      <c r="C74" s="4" t="s">
        <v>71</v>
      </c>
      <c r="D74" s="4" t="s">
        <v>77</v>
      </c>
      <c r="E74" s="4">
        <v>2278</v>
      </c>
      <c r="F74" s="4">
        <v>1134</v>
      </c>
      <c r="G74" s="4">
        <v>35</v>
      </c>
      <c r="H74" s="4">
        <v>27.5</v>
      </c>
      <c r="I74" s="4">
        <v>560</v>
      </c>
      <c r="J74" s="4">
        <v>50.1</v>
      </c>
      <c r="K74" s="4">
        <v>42.25</v>
      </c>
      <c r="L74" s="4">
        <v>14.1</v>
      </c>
      <c r="M74" s="4">
        <v>13.26</v>
      </c>
      <c r="N74" s="4">
        <v>-0.34</v>
      </c>
      <c r="O74" s="4">
        <v>-0.265</v>
      </c>
      <c r="P74" s="5">
        <v>0.05</v>
      </c>
    </row>
    <row r="75" spans="1:16">
      <c r="A75" s="27" t="s">
        <v>146</v>
      </c>
      <c r="B75" s="4" t="s">
        <v>147</v>
      </c>
      <c r="C75" s="4" t="s">
        <v>71</v>
      </c>
      <c r="D75" s="4" t="s">
        <v>72</v>
      </c>
      <c r="E75" s="4">
        <v>2010</v>
      </c>
      <c r="F75" s="4">
        <v>992</v>
      </c>
      <c r="G75" s="4">
        <v>40</v>
      </c>
      <c r="H75" s="4">
        <v>23</v>
      </c>
      <c r="I75" s="4">
        <v>330</v>
      </c>
      <c r="J75" s="4">
        <v>43</v>
      </c>
      <c r="K75" s="4">
        <v>34.5</v>
      </c>
      <c r="L75" s="4">
        <v>7.49</v>
      </c>
      <c r="M75" s="4">
        <v>7.13</v>
      </c>
      <c r="N75" s="4">
        <v>-0.39</v>
      </c>
      <c r="O75" s="4">
        <v>-0.32</v>
      </c>
      <c r="P75" s="5">
        <v>0.05</v>
      </c>
    </row>
    <row r="76" spans="1:16">
      <c r="A76" s="27" t="s">
        <v>148</v>
      </c>
      <c r="B76" s="4" t="s">
        <v>147</v>
      </c>
      <c r="C76" s="4" t="s">
        <v>71</v>
      </c>
      <c r="D76" s="4" t="s">
        <v>72</v>
      </c>
      <c r="E76" s="4">
        <v>2010</v>
      </c>
      <c r="F76" s="4">
        <v>992</v>
      </c>
      <c r="G76" s="4">
        <v>40</v>
      </c>
      <c r="H76" s="4">
        <v>23</v>
      </c>
      <c r="I76" s="4">
        <v>335</v>
      </c>
      <c r="J76" s="4">
        <v>43.3</v>
      </c>
      <c r="K76" s="4">
        <v>34.7</v>
      </c>
      <c r="L76" s="4">
        <v>7.53</v>
      </c>
      <c r="M76" s="4">
        <v>7.19</v>
      </c>
      <c r="N76" s="4">
        <v>-0.39</v>
      </c>
      <c r="O76" s="4">
        <v>-0.32</v>
      </c>
      <c r="P76" s="5">
        <v>0.05</v>
      </c>
    </row>
    <row r="77" spans="1:16">
      <c r="A77" s="27" t="s">
        <v>149</v>
      </c>
      <c r="B77" s="4" t="s">
        <v>147</v>
      </c>
      <c r="C77" s="4" t="s">
        <v>71</v>
      </c>
      <c r="D77" s="4" t="s">
        <v>72</v>
      </c>
      <c r="E77" s="4">
        <v>2010</v>
      </c>
      <c r="F77" s="4">
        <v>992</v>
      </c>
      <c r="G77" s="4">
        <v>40</v>
      </c>
      <c r="H77" s="4">
        <v>23</v>
      </c>
      <c r="I77" s="4">
        <v>340</v>
      </c>
      <c r="J77" s="4">
        <v>43.6</v>
      </c>
      <c r="K77" s="4">
        <v>34.9</v>
      </c>
      <c r="L77" s="4">
        <v>7.57</v>
      </c>
      <c r="M77" s="4">
        <v>7.26</v>
      </c>
      <c r="N77" s="4">
        <v>-0.39</v>
      </c>
      <c r="O77" s="4">
        <v>-0.32</v>
      </c>
      <c r="P77" s="5">
        <v>0.05</v>
      </c>
    </row>
    <row r="78" spans="1:16">
      <c r="A78" s="27" t="s">
        <v>150</v>
      </c>
      <c r="B78" s="4" t="s">
        <v>147</v>
      </c>
      <c r="C78" s="4" t="s">
        <v>71</v>
      </c>
      <c r="D78" s="4" t="s">
        <v>72</v>
      </c>
      <c r="E78" s="4">
        <v>2010</v>
      </c>
      <c r="F78" s="4">
        <v>992</v>
      </c>
      <c r="G78" s="4">
        <v>40</v>
      </c>
      <c r="H78" s="4">
        <v>23</v>
      </c>
      <c r="I78" s="4">
        <v>345</v>
      </c>
      <c r="J78" s="4">
        <v>43.9</v>
      </c>
      <c r="K78" s="4">
        <v>35.2</v>
      </c>
      <c r="L78" s="4">
        <v>7.61</v>
      </c>
      <c r="M78" s="4">
        <v>7.31</v>
      </c>
      <c r="N78" s="4">
        <v>-0.39</v>
      </c>
      <c r="O78" s="4">
        <v>-0.32</v>
      </c>
      <c r="P78" s="5">
        <v>0.05</v>
      </c>
    </row>
    <row r="79" spans="1:16">
      <c r="A79" s="27" t="s">
        <v>151</v>
      </c>
      <c r="B79" s="4" t="s">
        <v>147</v>
      </c>
      <c r="C79" s="4" t="s">
        <v>71</v>
      </c>
      <c r="D79" s="4" t="s">
        <v>77</v>
      </c>
      <c r="E79" s="4">
        <v>2108</v>
      </c>
      <c r="F79" s="4">
        <v>1048</v>
      </c>
      <c r="G79" s="4">
        <v>40</v>
      </c>
      <c r="H79" s="4">
        <v>25</v>
      </c>
      <c r="I79" s="4">
        <v>430</v>
      </c>
      <c r="J79" s="4">
        <v>49.3</v>
      </c>
      <c r="K79" s="4">
        <v>40.97</v>
      </c>
      <c r="L79" s="4">
        <v>11.1</v>
      </c>
      <c r="M79" s="4">
        <v>10.5</v>
      </c>
      <c r="N79" s="4">
        <v>-0.37</v>
      </c>
      <c r="O79" s="4">
        <v>-0.29</v>
      </c>
      <c r="P79" s="5">
        <v>0.05</v>
      </c>
    </row>
    <row r="80" spans="1:16">
      <c r="A80" s="27" t="s">
        <v>152</v>
      </c>
      <c r="B80" s="4" t="s">
        <v>147</v>
      </c>
      <c r="C80" s="4" t="s">
        <v>71</v>
      </c>
      <c r="D80" s="4" t="s">
        <v>77</v>
      </c>
      <c r="E80" s="4">
        <v>2108</v>
      </c>
      <c r="F80" s="4">
        <v>1048</v>
      </c>
      <c r="G80" s="4">
        <v>40</v>
      </c>
      <c r="H80" s="4">
        <v>25</v>
      </c>
      <c r="I80" s="4">
        <v>435</v>
      </c>
      <c r="J80" s="4">
        <v>49.4</v>
      </c>
      <c r="K80" s="4">
        <v>41.05</v>
      </c>
      <c r="L80" s="4">
        <v>11.2</v>
      </c>
      <c r="M80" s="4">
        <v>10.6</v>
      </c>
      <c r="N80" s="4">
        <v>-0.37</v>
      </c>
      <c r="O80" s="4">
        <v>-0.29</v>
      </c>
      <c r="P80" s="5">
        <v>0.05</v>
      </c>
    </row>
    <row r="81" spans="1:16">
      <c r="A81" s="27" t="s">
        <v>153</v>
      </c>
      <c r="B81" s="4" t="s">
        <v>147</v>
      </c>
      <c r="C81" s="4" t="s">
        <v>71</v>
      </c>
      <c r="D81" s="4" t="s">
        <v>77</v>
      </c>
      <c r="E81" s="4">
        <v>2108</v>
      </c>
      <c r="F81" s="4">
        <v>1048</v>
      </c>
      <c r="G81" s="4">
        <v>40</v>
      </c>
      <c r="H81" s="4">
        <v>25</v>
      </c>
      <c r="I81" s="4">
        <v>440</v>
      </c>
      <c r="J81" s="4">
        <v>49.5</v>
      </c>
      <c r="K81" s="4">
        <v>41.13</v>
      </c>
      <c r="L81" s="4">
        <v>11.3</v>
      </c>
      <c r="M81" s="4">
        <v>10.7</v>
      </c>
      <c r="N81" s="4">
        <v>-0.37</v>
      </c>
      <c r="O81" s="4">
        <v>-0.29</v>
      </c>
      <c r="P81" s="5">
        <v>0.05</v>
      </c>
    </row>
    <row r="82" spans="1:16">
      <c r="A82" s="27" t="s">
        <v>154</v>
      </c>
      <c r="B82" s="4" t="s">
        <v>147</v>
      </c>
      <c r="C82" s="4" t="s">
        <v>71</v>
      </c>
      <c r="D82" s="4" t="s">
        <v>77</v>
      </c>
      <c r="E82" s="4">
        <v>2108</v>
      </c>
      <c r="F82" s="4">
        <v>1048</v>
      </c>
      <c r="G82" s="4">
        <v>40</v>
      </c>
      <c r="H82" s="4">
        <v>25</v>
      </c>
      <c r="I82" s="4">
        <v>445</v>
      </c>
      <c r="J82" s="4">
        <v>49.6</v>
      </c>
      <c r="K82" s="4">
        <v>41.25</v>
      </c>
      <c r="L82" s="4">
        <v>11.4</v>
      </c>
      <c r="M82" s="4">
        <v>10.8</v>
      </c>
      <c r="N82" s="4">
        <v>-0.37</v>
      </c>
      <c r="O82" s="4">
        <v>-0.29</v>
      </c>
      <c r="P82" s="5">
        <v>0.05</v>
      </c>
    </row>
    <row r="83" spans="1:16">
      <c r="A83" s="27" t="s">
        <v>155</v>
      </c>
      <c r="B83" s="4" t="s">
        <v>147</v>
      </c>
      <c r="C83" s="4" t="s">
        <v>71</v>
      </c>
      <c r="D83" s="4" t="s">
        <v>77</v>
      </c>
      <c r="E83" s="4">
        <v>2108</v>
      </c>
      <c r="F83" s="4">
        <v>1048</v>
      </c>
      <c r="G83" s="4">
        <v>40</v>
      </c>
      <c r="H83" s="4">
        <v>25</v>
      </c>
      <c r="I83" s="4">
        <v>450</v>
      </c>
      <c r="J83" s="4">
        <v>49.7</v>
      </c>
      <c r="K83" s="4">
        <v>41.3</v>
      </c>
      <c r="L83" s="4">
        <v>11.5</v>
      </c>
      <c r="M83" s="4">
        <v>10.9</v>
      </c>
      <c r="N83" s="4">
        <v>-0.37</v>
      </c>
      <c r="O83" s="4">
        <v>-0.29</v>
      </c>
      <c r="P83" s="5">
        <v>0.05</v>
      </c>
    </row>
    <row r="84" spans="1:16">
      <c r="A84" s="27" t="s">
        <v>156</v>
      </c>
      <c r="B84" s="4" t="s">
        <v>147</v>
      </c>
      <c r="C84" s="4" t="s">
        <v>71</v>
      </c>
      <c r="D84" s="4" t="s">
        <v>77</v>
      </c>
      <c r="E84" s="4">
        <v>2178</v>
      </c>
      <c r="F84" s="4">
        <v>996</v>
      </c>
      <c r="G84" s="4">
        <v>40</v>
      </c>
      <c r="H84" s="4">
        <v>25.5</v>
      </c>
      <c r="I84" s="4">
        <v>425</v>
      </c>
      <c r="J84" s="4">
        <v>52.23</v>
      </c>
      <c r="K84" s="4">
        <v>43.5</v>
      </c>
      <c r="L84" s="4">
        <v>10.38</v>
      </c>
      <c r="M84" s="4">
        <v>9.78</v>
      </c>
      <c r="N84" s="4">
        <v>-0.37</v>
      </c>
      <c r="O84" s="4">
        <v>-0.29</v>
      </c>
      <c r="P84" s="5">
        <v>0.05</v>
      </c>
    </row>
    <row r="85" spans="1:16">
      <c r="A85" s="27" t="s">
        <v>157</v>
      </c>
      <c r="B85" s="4" t="s">
        <v>147</v>
      </c>
      <c r="C85" s="4" t="s">
        <v>71</v>
      </c>
      <c r="D85" s="4" t="s">
        <v>77</v>
      </c>
      <c r="E85" s="4">
        <v>2178</v>
      </c>
      <c r="F85" s="4">
        <v>996</v>
      </c>
      <c r="G85" s="4">
        <v>40</v>
      </c>
      <c r="H85" s="4">
        <v>25.5</v>
      </c>
      <c r="I85" s="4">
        <v>430</v>
      </c>
      <c r="J85" s="4">
        <v>52.38</v>
      </c>
      <c r="K85" s="4">
        <v>43.6</v>
      </c>
      <c r="L85" s="4">
        <v>10.47</v>
      </c>
      <c r="M85" s="4">
        <v>9.87</v>
      </c>
      <c r="N85" s="4">
        <v>-0.37</v>
      </c>
      <c r="O85" s="4">
        <v>-0.29</v>
      </c>
      <c r="P85" s="5">
        <v>0.05</v>
      </c>
    </row>
    <row r="86" spans="1:16">
      <c r="A86" s="27" t="s">
        <v>158</v>
      </c>
      <c r="B86" s="4" t="s">
        <v>147</v>
      </c>
      <c r="C86" s="4" t="s">
        <v>71</v>
      </c>
      <c r="D86" s="4" t="s">
        <v>77</v>
      </c>
      <c r="E86" s="4">
        <v>2178</v>
      </c>
      <c r="F86" s="4">
        <v>996</v>
      </c>
      <c r="G86" s="4">
        <v>40</v>
      </c>
      <c r="H86" s="4">
        <v>25.5</v>
      </c>
      <c r="I86" s="4">
        <v>435</v>
      </c>
      <c r="J86" s="4">
        <v>52.5</v>
      </c>
      <c r="K86" s="4">
        <v>43.7</v>
      </c>
      <c r="L86" s="4">
        <v>10.57</v>
      </c>
      <c r="M86" s="4">
        <v>9.97</v>
      </c>
      <c r="N86" s="4">
        <v>-0.37</v>
      </c>
      <c r="O86" s="4">
        <v>-0.29</v>
      </c>
      <c r="P86" s="5">
        <v>0.05</v>
      </c>
    </row>
    <row r="87" spans="1:16">
      <c r="A87" s="27" t="s">
        <v>159</v>
      </c>
      <c r="B87" s="4" t="s">
        <v>147</v>
      </c>
      <c r="C87" s="4" t="s">
        <v>71</v>
      </c>
      <c r="D87" s="4" t="s">
        <v>77</v>
      </c>
      <c r="E87" s="4">
        <v>2178</v>
      </c>
      <c r="F87" s="4">
        <v>996</v>
      </c>
      <c r="G87" s="4">
        <v>40</v>
      </c>
      <c r="H87" s="4">
        <v>25.5</v>
      </c>
      <c r="I87" s="4">
        <v>440</v>
      </c>
      <c r="J87" s="4">
        <v>52.62</v>
      </c>
      <c r="K87" s="4">
        <v>43.8</v>
      </c>
      <c r="L87" s="4">
        <v>10.67</v>
      </c>
      <c r="M87" s="4">
        <v>10.06</v>
      </c>
      <c r="N87" s="4">
        <v>-0.37</v>
      </c>
      <c r="O87" s="4">
        <v>-0.29</v>
      </c>
      <c r="P87" s="5">
        <v>0.05</v>
      </c>
    </row>
    <row r="88" spans="1:16">
      <c r="A88" s="27" t="s">
        <v>160</v>
      </c>
      <c r="B88" s="4" t="s">
        <v>147</v>
      </c>
      <c r="C88" s="4" t="s">
        <v>71</v>
      </c>
      <c r="D88" s="4" t="s">
        <v>77</v>
      </c>
      <c r="E88" s="4">
        <v>2178</v>
      </c>
      <c r="F88" s="4">
        <v>996</v>
      </c>
      <c r="G88" s="4">
        <v>40</v>
      </c>
      <c r="H88" s="4">
        <v>25.5</v>
      </c>
      <c r="I88" s="4">
        <v>445</v>
      </c>
      <c r="J88" s="4">
        <v>52.7</v>
      </c>
      <c r="K88" s="4">
        <v>43.9</v>
      </c>
      <c r="L88" s="4">
        <v>10.77</v>
      </c>
      <c r="M88" s="4">
        <v>10.15</v>
      </c>
      <c r="N88" s="4">
        <v>-0.37</v>
      </c>
      <c r="O88" s="4">
        <v>-0.29</v>
      </c>
      <c r="P88" s="5">
        <v>0.05</v>
      </c>
    </row>
    <row r="89" spans="1:16">
      <c r="A89" s="27" t="s">
        <v>161</v>
      </c>
      <c r="B89" s="4" t="s">
        <v>147</v>
      </c>
      <c r="C89" s="4" t="s">
        <v>71</v>
      </c>
      <c r="D89" s="4" t="s">
        <v>77</v>
      </c>
      <c r="E89" s="4">
        <v>2172</v>
      </c>
      <c r="F89" s="4">
        <v>1303</v>
      </c>
      <c r="G89" s="4">
        <v>35</v>
      </c>
      <c r="H89" s="4">
        <v>35</v>
      </c>
      <c r="I89" s="4">
        <v>585</v>
      </c>
      <c r="J89" s="4">
        <v>41.1</v>
      </c>
      <c r="K89" s="4">
        <v>34.22</v>
      </c>
      <c r="L89" s="4">
        <v>18.11</v>
      </c>
      <c r="M89" s="4">
        <v>17.1</v>
      </c>
      <c r="N89" s="4">
        <v>-0.34</v>
      </c>
      <c r="O89" s="4">
        <v>-0.25</v>
      </c>
      <c r="P89" s="5">
        <v>0.04</v>
      </c>
    </row>
    <row r="90" spans="1:16">
      <c r="A90" s="27" t="s">
        <v>162</v>
      </c>
      <c r="B90" s="4" t="s">
        <v>147</v>
      </c>
      <c r="C90" s="4" t="s">
        <v>71</v>
      </c>
      <c r="D90" s="4" t="s">
        <v>77</v>
      </c>
      <c r="E90" s="4">
        <v>2172</v>
      </c>
      <c r="F90" s="4">
        <v>1303</v>
      </c>
      <c r="G90" s="4">
        <v>35</v>
      </c>
      <c r="H90" s="4">
        <v>35</v>
      </c>
      <c r="I90" s="4">
        <v>590</v>
      </c>
      <c r="J90" s="4">
        <v>41.3</v>
      </c>
      <c r="K90" s="4">
        <v>34.42</v>
      </c>
      <c r="L90" s="4">
        <v>18.16</v>
      </c>
      <c r="M90" s="4">
        <v>17.15</v>
      </c>
      <c r="N90" s="4">
        <v>-0.34</v>
      </c>
      <c r="O90" s="4">
        <v>-0.25</v>
      </c>
      <c r="P90" s="5">
        <v>0.04</v>
      </c>
    </row>
    <row r="91" spans="1:16">
      <c r="A91" s="27" t="s">
        <v>163</v>
      </c>
      <c r="B91" s="4" t="s">
        <v>147</v>
      </c>
      <c r="C91" s="4" t="s">
        <v>71</v>
      </c>
      <c r="D91" s="4" t="s">
        <v>77</v>
      </c>
      <c r="E91" s="4">
        <v>2172</v>
      </c>
      <c r="F91" s="4">
        <v>1303</v>
      </c>
      <c r="G91" s="4">
        <v>35</v>
      </c>
      <c r="H91" s="4">
        <v>35</v>
      </c>
      <c r="I91" s="4">
        <v>595</v>
      </c>
      <c r="J91" s="4">
        <v>41.5</v>
      </c>
      <c r="K91" s="4">
        <v>34.6</v>
      </c>
      <c r="L91" s="4">
        <v>18.21</v>
      </c>
      <c r="M91" s="4">
        <v>17.2</v>
      </c>
      <c r="N91" s="4">
        <v>-0.34</v>
      </c>
      <c r="O91" s="4">
        <v>-0.25</v>
      </c>
      <c r="P91" s="5">
        <v>0.04</v>
      </c>
    </row>
    <row r="92" spans="1:16">
      <c r="A92" s="27" t="s">
        <v>164</v>
      </c>
      <c r="B92" s="4" t="s">
        <v>147</v>
      </c>
      <c r="C92" s="4" t="s">
        <v>71</v>
      </c>
      <c r="D92" s="4" t="s">
        <v>77</v>
      </c>
      <c r="E92" s="4">
        <v>2172</v>
      </c>
      <c r="F92" s="4">
        <v>1303</v>
      </c>
      <c r="G92" s="4">
        <v>35</v>
      </c>
      <c r="H92" s="4">
        <v>35</v>
      </c>
      <c r="I92" s="4">
        <v>600</v>
      </c>
      <c r="J92" s="4">
        <v>41.7</v>
      </c>
      <c r="K92" s="4">
        <v>34.8</v>
      </c>
      <c r="L92" s="4">
        <v>18.26</v>
      </c>
      <c r="M92" s="4">
        <v>17.25</v>
      </c>
      <c r="N92" s="4">
        <v>-0.34</v>
      </c>
      <c r="O92" s="4">
        <v>-0.25</v>
      </c>
      <c r="P92" s="5">
        <v>0.04</v>
      </c>
    </row>
    <row r="93" spans="1:16">
      <c r="A93" s="27" t="s">
        <v>165</v>
      </c>
      <c r="B93" s="4" t="s">
        <v>147</v>
      </c>
      <c r="C93" s="4" t="s">
        <v>71</v>
      </c>
      <c r="D93" s="4" t="s">
        <v>77</v>
      </c>
      <c r="E93" s="4">
        <v>2172</v>
      </c>
      <c r="F93" s="4">
        <v>1303</v>
      </c>
      <c r="G93" s="4">
        <v>35</v>
      </c>
      <c r="H93" s="4">
        <v>35</v>
      </c>
      <c r="I93" s="4">
        <v>605</v>
      </c>
      <c r="J93" s="4">
        <v>41.9</v>
      </c>
      <c r="K93" s="4">
        <v>34.98</v>
      </c>
      <c r="L93" s="4">
        <v>18.32</v>
      </c>
      <c r="M93" s="4">
        <v>17.3</v>
      </c>
      <c r="N93" s="4">
        <v>-0.34</v>
      </c>
      <c r="O93" s="4">
        <v>-0.25</v>
      </c>
      <c r="P93" s="5">
        <v>0.04</v>
      </c>
    </row>
    <row r="94" spans="1:16">
      <c r="A94" s="27" t="s">
        <v>166</v>
      </c>
      <c r="B94" s="4" t="s">
        <v>147</v>
      </c>
      <c r="C94" s="4" t="s">
        <v>71</v>
      </c>
      <c r="D94" s="4" t="s">
        <v>77</v>
      </c>
      <c r="E94" s="4">
        <v>2172</v>
      </c>
      <c r="F94" s="4">
        <v>1303</v>
      </c>
      <c r="G94" s="4">
        <v>35</v>
      </c>
      <c r="H94" s="4">
        <v>35</v>
      </c>
      <c r="I94" s="4">
        <v>640</v>
      </c>
      <c r="J94" s="4">
        <v>45.09</v>
      </c>
      <c r="K94" s="4">
        <v>37.51</v>
      </c>
      <c r="L94" s="4">
        <v>18.08</v>
      </c>
      <c r="M94" s="4">
        <v>17.07</v>
      </c>
      <c r="N94" s="4">
        <v>-0.34</v>
      </c>
      <c r="O94" s="4">
        <v>-0.25</v>
      </c>
      <c r="P94" s="5">
        <v>0.04</v>
      </c>
    </row>
    <row r="95" spans="1:16">
      <c r="A95" s="27" t="s">
        <v>167</v>
      </c>
      <c r="B95" s="4" t="s">
        <v>147</v>
      </c>
      <c r="C95" s="4" t="s">
        <v>71</v>
      </c>
      <c r="D95" s="4" t="s">
        <v>77</v>
      </c>
      <c r="E95" s="4">
        <v>2172</v>
      </c>
      <c r="F95" s="4">
        <v>1303</v>
      </c>
      <c r="G95" s="4">
        <v>35</v>
      </c>
      <c r="H95" s="4">
        <v>35</v>
      </c>
      <c r="I95" s="4">
        <v>645</v>
      </c>
      <c r="J95" s="4">
        <v>45.29</v>
      </c>
      <c r="K95" s="4">
        <v>37.69</v>
      </c>
      <c r="L95" s="4">
        <v>18.13</v>
      </c>
      <c r="M95" s="4">
        <v>17.12</v>
      </c>
      <c r="N95" s="4">
        <v>-0.34</v>
      </c>
      <c r="O95" s="4">
        <v>-0.25</v>
      </c>
      <c r="P95" s="5">
        <v>0.04</v>
      </c>
    </row>
    <row r="96" spans="1:16">
      <c r="A96" s="27" t="s">
        <v>168</v>
      </c>
      <c r="B96" s="4" t="s">
        <v>147</v>
      </c>
      <c r="C96" s="4" t="s">
        <v>71</v>
      </c>
      <c r="D96" s="4" t="s">
        <v>77</v>
      </c>
      <c r="E96" s="4">
        <v>2172</v>
      </c>
      <c r="F96" s="4">
        <v>1303</v>
      </c>
      <c r="G96" s="4">
        <v>35</v>
      </c>
      <c r="H96" s="4">
        <v>35</v>
      </c>
      <c r="I96" s="4">
        <v>650</v>
      </c>
      <c r="J96" s="4">
        <v>45.49</v>
      </c>
      <c r="K96" s="4">
        <v>37.87</v>
      </c>
      <c r="L96" s="4">
        <v>18.18</v>
      </c>
      <c r="M96" s="4">
        <v>17.17</v>
      </c>
      <c r="N96" s="4">
        <v>-0.34</v>
      </c>
      <c r="O96" s="4">
        <v>-0.25</v>
      </c>
      <c r="P96" s="5">
        <v>0.04</v>
      </c>
    </row>
    <row r="97" spans="1:16">
      <c r="A97" s="27" t="s">
        <v>169</v>
      </c>
      <c r="B97" s="4" t="s">
        <v>147</v>
      </c>
      <c r="C97" s="4" t="s">
        <v>71</v>
      </c>
      <c r="D97" s="4" t="s">
        <v>77</v>
      </c>
      <c r="E97" s="4">
        <v>2172</v>
      </c>
      <c r="F97" s="4">
        <v>1303</v>
      </c>
      <c r="G97" s="4">
        <v>35</v>
      </c>
      <c r="H97" s="4">
        <v>35</v>
      </c>
      <c r="I97" s="4">
        <v>655</v>
      </c>
      <c r="J97" s="4">
        <v>45.69</v>
      </c>
      <c r="K97" s="4">
        <v>38.05</v>
      </c>
      <c r="L97" s="4">
        <v>18.23</v>
      </c>
      <c r="M97" s="4">
        <v>17.22</v>
      </c>
      <c r="N97" s="4">
        <v>-0.34</v>
      </c>
      <c r="O97" s="4">
        <v>-0.25</v>
      </c>
      <c r="P97" s="5">
        <v>0.04</v>
      </c>
    </row>
    <row r="98" spans="1:16">
      <c r="A98" s="27" t="s">
        <v>170</v>
      </c>
      <c r="B98" s="4" t="s">
        <v>147</v>
      </c>
      <c r="C98" s="4" t="s">
        <v>71</v>
      </c>
      <c r="D98" s="4" t="s">
        <v>77</v>
      </c>
      <c r="E98" s="4">
        <v>2172</v>
      </c>
      <c r="F98" s="4">
        <v>1303</v>
      </c>
      <c r="G98" s="4">
        <v>35</v>
      </c>
      <c r="H98" s="4">
        <v>35</v>
      </c>
      <c r="I98" s="4">
        <v>660</v>
      </c>
      <c r="J98" s="4">
        <v>45.89</v>
      </c>
      <c r="K98" s="4">
        <v>38.23</v>
      </c>
      <c r="L98" s="4">
        <v>18.28</v>
      </c>
      <c r="M98" s="4">
        <v>17.27</v>
      </c>
      <c r="N98" s="4">
        <v>-0.34</v>
      </c>
      <c r="O98" s="4">
        <v>-0.25</v>
      </c>
      <c r="P98" s="5">
        <v>0.04</v>
      </c>
    </row>
    <row r="99" spans="1:16">
      <c r="A99" s="27" t="s">
        <v>171</v>
      </c>
      <c r="B99" s="4" t="s">
        <v>147</v>
      </c>
      <c r="C99" s="4" t="s">
        <v>71</v>
      </c>
      <c r="D99" s="4" t="s">
        <v>77</v>
      </c>
      <c r="E99" s="4">
        <v>2172</v>
      </c>
      <c r="F99" s="4">
        <v>1303</v>
      </c>
      <c r="G99" s="4">
        <v>35</v>
      </c>
      <c r="H99" s="4">
        <v>35</v>
      </c>
      <c r="I99" s="4">
        <v>665</v>
      </c>
      <c r="J99" s="4">
        <v>46.09</v>
      </c>
      <c r="K99" s="4">
        <v>38.41</v>
      </c>
      <c r="L99" s="4">
        <v>18.33</v>
      </c>
      <c r="M99" s="4">
        <v>17.32</v>
      </c>
      <c r="N99" s="4">
        <v>-0.34</v>
      </c>
      <c r="O99" s="4">
        <v>-0.25</v>
      </c>
      <c r="P99" s="5">
        <v>0.04</v>
      </c>
    </row>
    <row r="100" spans="1:16">
      <c r="A100" s="27" t="s">
        <v>172</v>
      </c>
      <c r="B100" s="4" t="s">
        <v>173</v>
      </c>
      <c r="C100" s="4" t="s">
        <v>71</v>
      </c>
      <c r="D100" s="4" t="s">
        <v>77</v>
      </c>
      <c r="E100" s="4">
        <v>2279</v>
      </c>
      <c r="F100" s="4">
        <v>1134</v>
      </c>
      <c r="G100" s="4">
        <v>35</v>
      </c>
      <c r="H100" s="4">
        <v>27.6</v>
      </c>
      <c r="I100" s="4">
        <v>535</v>
      </c>
      <c r="J100" s="4">
        <v>49.34</v>
      </c>
      <c r="K100" s="4">
        <v>40.66</v>
      </c>
      <c r="L100" s="4">
        <v>13.79</v>
      </c>
      <c r="M100" s="4">
        <v>13.16</v>
      </c>
      <c r="N100" s="4">
        <v>-0.35</v>
      </c>
      <c r="O100" s="4">
        <v>-0.27</v>
      </c>
      <c r="P100" s="5">
        <v>0.048</v>
      </c>
    </row>
    <row r="101" spans="1:16">
      <c r="A101" s="27" t="s">
        <v>174</v>
      </c>
      <c r="B101" s="4" t="s">
        <v>173</v>
      </c>
      <c r="C101" s="4" t="s">
        <v>71</v>
      </c>
      <c r="D101" s="4" t="s">
        <v>77</v>
      </c>
      <c r="E101" s="4">
        <v>2279</v>
      </c>
      <c r="F101" s="4">
        <v>1134</v>
      </c>
      <c r="G101" s="4">
        <v>35</v>
      </c>
      <c r="H101" s="4">
        <v>27.6</v>
      </c>
      <c r="I101" s="4">
        <v>540</v>
      </c>
      <c r="J101" s="4">
        <v>49.42</v>
      </c>
      <c r="K101" s="4">
        <v>40.71</v>
      </c>
      <c r="L101" s="4">
        <v>13.85</v>
      </c>
      <c r="M101" s="4">
        <v>13.27</v>
      </c>
      <c r="N101" s="4">
        <v>-0.35</v>
      </c>
      <c r="O101" s="4">
        <v>-0.27</v>
      </c>
      <c r="P101" s="5">
        <v>0.048</v>
      </c>
    </row>
    <row r="102" spans="1:16">
      <c r="A102" s="27" t="s">
        <v>175</v>
      </c>
      <c r="B102" s="4" t="s">
        <v>173</v>
      </c>
      <c r="C102" s="4" t="s">
        <v>71</v>
      </c>
      <c r="D102" s="4" t="s">
        <v>77</v>
      </c>
      <c r="E102" s="4">
        <v>2279</v>
      </c>
      <c r="F102" s="4">
        <v>1134</v>
      </c>
      <c r="G102" s="4">
        <v>35</v>
      </c>
      <c r="H102" s="4">
        <v>27.6</v>
      </c>
      <c r="I102" s="4">
        <v>545</v>
      </c>
      <c r="J102" s="4">
        <v>49.51</v>
      </c>
      <c r="K102" s="4">
        <v>40.76</v>
      </c>
      <c r="L102" s="4">
        <v>13.94</v>
      </c>
      <c r="M102" s="4">
        <v>13.38</v>
      </c>
      <c r="N102" s="4">
        <v>-0.35</v>
      </c>
      <c r="O102" s="4">
        <v>-0.27</v>
      </c>
      <c r="P102" s="5">
        <v>0.048</v>
      </c>
    </row>
    <row r="103" spans="1:16">
      <c r="A103" s="27" t="s">
        <v>176</v>
      </c>
      <c r="B103" s="4" t="s">
        <v>173</v>
      </c>
      <c r="C103" s="4" t="s">
        <v>71</v>
      </c>
      <c r="D103" s="4" t="s">
        <v>77</v>
      </c>
      <c r="E103" s="4">
        <v>2279</v>
      </c>
      <c r="F103" s="4">
        <v>1134</v>
      </c>
      <c r="G103" s="4">
        <v>35</v>
      </c>
      <c r="H103" s="4">
        <v>27.6</v>
      </c>
      <c r="I103" s="4">
        <v>550</v>
      </c>
      <c r="J103" s="4">
        <v>49.6</v>
      </c>
      <c r="K103" s="4">
        <v>40.83</v>
      </c>
      <c r="L103" s="4">
        <v>14.04</v>
      </c>
      <c r="M103" s="4">
        <v>13.48</v>
      </c>
      <c r="N103" s="4">
        <v>-0.35</v>
      </c>
      <c r="O103" s="4">
        <v>-0.27</v>
      </c>
      <c r="P103" s="5">
        <v>0.048</v>
      </c>
    </row>
    <row r="104" spans="1:16">
      <c r="A104" s="27" t="s">
        <v>177</v>
      </c>
      <c r="B104" s="4" t="s">
        <v>173</v>
      </c>
      <c r="C104" s="4" t="s">
        <v>71</v>
      </c>
      <c r="D104" s="4" t="s">
        <v>77</v>
      </c>
      <c r="E104" s="4">
        <v>2279</v>
      </c>
      <c r="F104" s="4">
        <v>1134</v>
      </c>
      <c r="G104" s="4">
        <v>35</v>
      </c>
      <c r="H104" s="4">
        <v>27.6</v>
      </c>
      <c r="I104" s="4">
        <v>555</v>
      </c>
      <c r="J104" s="4">
        <v>49.68</v>
      </c>
      <c r="K104" s="4">
        <v>40.89</v>
      </c>
      <c r="L104" s="4">
        <v>14.13</v>
      </c>
      <c r="M104" s="4">
        <v>13.58</v>
      </c>
      <c r="N104" s="4">
        <v>-0.35</v>
      </c>
      <c r="O104" s="4">
        <v>-0.27</v>
      </c>
      <c r="P104" s="5">
        <v>0.048</v>
      </c>
    </row>
    <row r="105" spans="1:16">
      <c r="A105" s="27" t="s">
        <v>178</v>
      </c>
      <c r="B105" s="4" t="s">
        <v>179</v>
      </c>
      <c r="C105" s="4" t="s">
        <v>71</v>
      </c>
      <c r="D105" s="4" t="s">
        <v>77</v>
      </c>
      <c r="E105" s="4">
        <v>2286</v>
      </c>
      <c r="F105" s="4">
        <v>1135</v>
      </c>
      <c r="G105" s="4">
        <v>35</v>
      </c>
      <c r="H105" s="4">
        <v>29</v>
      </c>
      <c r="I105" s="4">
        <v>530</v>
      </c>
      <c r="J105" s="4">
        <v>49</v>
      </c>
      <c r="K105" s="4">
        <v>40.8</v>
      </c>
      <c r="L105" s="4">
        <v>13.76</v>
      </c>
      <c r="M105" s="4">
        <v>13</v>
      </c>
      <c r="N105" s="4">
        <v>-0.36</v>
      </c>
      <c r="O105" s="4">
        <v>-0.26</v>
      </c>
      <c r="P105" s="5">
        <v>0.043</v>
      </c>
    </row>
    <row r="106" spans="1:16">
      <c r="A106" s="27" t="s">
        <v>180</v>
      </c>
      <c r="B106" s="4" t="s">
        <v>179</v>
      </c>
      <c r="C106" s="4" t="s">
        <v>71</v>
      </c>
      <c r="D106" s="4" t="s">
        <v>77</v>
      </c>
      <c r="E106" s="4">
        <v>2286</v>
      </c>
      <c r="F106" s="4">
        <v>1135</v>
      </c>
      <c r="G106" s="4">
        <v>35</v>
      </c>
      <c r="H106" s="4">
        <v>29</v>
      </c>
      <c r="I106" s="4">
        <v>535</v>
      </c>
      <c r="J106" s="4">
        <v>49.2</v>
      </c>
      <c r="K106" s="4">
        <v>41</v>
      </c>
      <c r="L106" s="4">
        <v>13.81</v>
      </c>
      <c r="M106" s="4">
        <v>13.05</v>
      </c>
      <c r="N106" s="4">
        <v>-0.36</v>
      </c>
      <c r="O106" s="4">
        <v>-0.26</v>
      </c>
      <c r="P106" s="5">
        <v>0.043</v>
      </c>
    </row>
    <row r="107" spans="1:16">
      <c r="A107" s="27" t="s">
        <v>181</v>
      </c>
      <c r="B107" s="4" t="s">
        <v>179</v>
      </c>
      <c r="C107" s="4" t="s">
        <v>71</v>
      </c>
      <c r="D107" s="4" t="s">
        <v>77</v>
      </c>
      <c r="E107" s="4">
        <v>2286</v>
      </c>
      <c r="F107" s="4">
        <v>1135</v>
      </c>
      <c r="G107" s="4">
        <v>35</v>
      </c>
      <c r="H107" s="4">
        <v>29</v>
      </c>
      <c r="I107" s="4">
        <v>540</v>
      </c>
      <c r="J107" s="4">
        <v>49.4</v>
      </c>
      <c r="K107" s="4">
        <v>41.2</v>
      </c>
      <c r="L107" s="4">
        <v>13.87</v>
      </c>
      <c r="M107" s="4">
        <v>13.11</v>
      </c>
      <c r="N107" s="4">
        <v>-0.36</v>
      </c>
      <c r="O107" s="4">
        <v>-0.26</v>
      </c>
      <c r="P107" s="5">
        <v>0.043</v>
      </c>
    </row>
    <row r="108" spans="1:16">
      <c r="A108" s="27" t="s">
        <v>182</v>
      </c>
      <c r="B108" s="4" t="s">
        <v>179</v>
      </c>
      <c r="C108" s="4" t="s">
        <v>71</v>
      </c>
      <c r="D108" s="4" t="s">
        <v>77</v>
      </c>
      <c r="E108" s="4">
        <v>2286</v>
      </c>
      <c r="F108" s="4">
        <v>1135</v>
      </c>
      <c r="G108" s="4">
        <v>35</v>
      </c>
      <c r="H108" s="4">
        <v>29</v>
      </c>
      <c r="I108" s="4">
        <v>545</v>
      </c>
      <c r="J108" s="4">
        <v>49.6</v>
      </c>
      <c r="K108" s="4">
        <v>41.4</v>
      </c>
      <c r="L108" s="4">
        <v>13.93</v>
      </c>
      <c r="M108" s="4">
        <v>13.17</v>
      </c>
      <c r="N108" s="4">
        <v>-0.36</v>
      </c>
      <c r="O108" s="4">
        <v>-0.26</v>
      </c>
      <c r="P108" s="5">
        <v>0.043</v>
      </c>
    </row>
    <row r="109" spans="1:16">
      <c r="A109" s="27" t="s">
        <v>183</v>
      </c>
      <c r="B109" s="4" t="s">
        <v>179</v>
      </c>
      <c r="C109" s="4" t="s">
        <v>71</v>
      </c>
      <c r="D109" s="4" t="s">
        <v>77</v>
      </c>
      <c r="E109" s="4">
        <v>2286</v>
      </c>
      <c r="F109" s="4">
        <v>1135</v>
      </c>
      <c r="G109" s="4">
        <v>35</v>
      </c>
      <c r="H109" s="4">
        <v>29</v>
      </c>
      <c r="I109" s="4">
        <v>550</v>
      </c>
      <c r="J109" s="4">
        <v>49.8</v>
      </c>
      <c r="K109" s="4">
        <v>41.6</v>
      </c>
      <c r="L109" s="4">
        <v>13.99</v>
      </c>
      <c r="M109" s="4">
        <v>13.23</v>
      </c>
      <c r="N109" s="4">
        <v>-0.36</v>
      </c>
      <c r="O109" s="4">
        <v>-0.26</v>
      </c>
      <c r="P109" s="5">
        <v>0.043</v>
      </c>
    </row>
    <row r="110" spans="1:16">
      <c r="A110" s="27" t="s">
        <v>184</v>
      </c>
      <c r="B110" s="4" t="s">
        <v>185</v>
      </c>
      <c r="C110" s="4" t="s">
        <v>71</v>
      </c>
      <c r="D110" s="4" t="s">
        <v>72</v>
      </c>
      <c r="E110" s="4">
        <v>2024</v>
      </c>
      <c r="F110" s="4">
        <v>1004</v>
      </c>
      <c r="G110" s="4">
        <v>35</v>
      </c>
      <c r="H110" s="4">
        <v>22.8</v>
      </c>
      <c r="I110" s="4">
        <v>340</v>
      </c>
      <c r="J110" s="4">
        <v>46.2</v>
      </c>
      <c r="K110" s="4">
        <v>37.5</v>
      </c>
      <c r="L110" s="4">
        <v>9.53</v>
      </c>
      <c r="M110" s="4">
        <v>9.06</v>
      </c>
      <c r="N110" s="4">
        <v>-0.38</v>
      </c>
      <c r="O110" s="4">
        <v>-0.31</v>
      </c>
      <c r="P110" s="5">
        <v>0.05</v>
      </c>
    </row>
    <row r="111" spans="1:16">
      <c r="A111" s="27" t="s">
        <v>186</v>
      </c>
      <c r="B111" s="4" t="s">
        <v>185</v>
      </c>
      <c r="C111" s="4" t="s">
        <v>71</v>
      </c>
      <c r="D111" s="4" t="s">
        <v>72</v>
      </c>
      <c r="E111" s="4">
        <v>2024</v>
      </c>
      <c r="F111" s="4">
        <v>1004</v>
      </c>
      <c r="G111" s="4">
        <v>35</v>
      </c>
      <c r="H111" s="4">
        <v>22.8</v>
      </c>
      <c r="I111" s="4">
        <v>345</v>
      </c>
      <c r="J111" s="4">
        <v>46.4</v>
      </c>
      <c r="K111" s="4">
        <v>37.7</v>
      </c>
      <c r="L111" s="4">
        <v>9.62</v>
      </c>
      <c r="M111" s="4">
        <v>9.15</v>
      </c>
      <c r="N111" s="4">
        <v>-0.38</v>
      </c>
      <c r="O111" s="4">
        <v>-0.31</v>
      </c>
      <c r="P111" s="5">
        <v>0.05</v>
      </c>
    </row>
    <row r="112" spans="1:16">
      <c r="A112" s="27" t="s">
        <v>187</v>
      </c>
      <c r="B112" s="4" t="s">
        <v>185</v>
      </c>
      <c r="C112" s="4" t="s">
        <v>71</v>
      </c>
      <c r="D112" s="4" t="s">
        <v>72</v>
      </c>
      <c r="E112" s="4">
        <v>2024</v>
      </c>
      <c r="F112" s="4">
        <v>1004</v>
      </c>
      <c r="G112" s="4">
        <v>35</v>
      </c>
      <c r="H112" s="4">
        <v>22.8</v>
      </c>
      <c r="I112" s="4">
        <v>350</v>
      </c>
      <c r="J112" s="4">
        <v>46.7</v>
      </c>
      <c r="K112" s="4">
        <v>37.9</v>
      </c>
      <c r="L112" s="4">
        <v>9.71</v>
      </c>
      <c r="M112" s="4">
        <v>9.23</v>
      </c>
      <c r="N112" s="4">
        <v>-0.38</v>
      </c>
      <c r="O112" s="4">
        <v>-0.31</v>
      </c>
      <c r="P112" s="5">
        <v>0.05</v>
      </c>
    </row>
    <row r="113" spans="1:16">
      <c r="A113" s="27" t="s">
        <v>188</v>
      </c>
      <c r="B113" s="4" t="s">
        <v>185</v>
      </c>
      <c r="C113" s="4" t="s">
        <v>71</v>
      </c>
      <c r="D113" s="4" t="s">
        <v>72</v>
      </c>
      <c r="E113" s="4">
        <v>2024</v>
      </c>
      <c r="F113" s="4">
        <v>1004</v>
      </c>
      <c r="G113" s="4">
        <v>35</v>
      </c>
      <c r="H113" s="4">
        <v>22.8</v>
      </c>
      <c r="I113" s="4">
        <v>355</v>
      </c>
      <c r="J113" s="4">
        <v>47</v>
      </c>
      <c r="K113" s="4">
        <v>38.1</v>
      </c>
      <c r="L113" s="4">
        <v>9.81</v>
      </c>
      <c r="M113" s="4">
        <v>9.32</v>
      </c>
      <c r="N113" s="4">
        <v>-0.38</v>
      </c>
      <c r="O113" s="4">
        <v>-0.31</v>
      </c>
      <c r="P113" s="5">
        <v>0.05</v>
      </c>
    </row>
    <row r="114" spans="1:16">
      <c r="A114" s="27" t="s">
        <v>189</v>
      </c>
      <c r="B114" s="4" t="s">
        <v>185</v>
      </c>
      <c r="C114" s="4" t="s">
        <v>71</v>
      </c>
      <c r="D114" s="4" t="s">
        <v>77</v>
      </c>
      <c r="E114" s="4">
        <v>2024</v>
      </c>
      <c r="F114" s="4">
        <v>1004</v>
      </c>
      <c r="G114" s="4">
        <v>35</v>
      </c>
      <c r="H114" s="4">
        <v>22.8</v>
      </c>
      <c r="I114" s="4">
        <v>390</v>
      </c>
      <c r="J114" s="4">
        <v>48.8</v>
      </c>
      <c r="K114" s="4">
        <v>40</v>
      </c>
      <c r="L114" s="4">
        <v>10.3</v>
      </c>
      <c r="M114" s="4">
        <v>9.75</v>
      </c>
      <c r="N114" s="4">
        <v>-0.37</v>
      </c>
      <c r="O114" s="4">
        <v>-0.29</v>
      </c>
      <c r="P114" s="5">
        <v>0.05</v>
      </c>
    </row>
    <row r="115" spans="1:16">
      <c r="A115" s="27" t="s">
        <v>190</v>
      </c>
      <c r="B115" s="4" t="s">
        <v>185</v>
      </c>
      <c r="C115" s="4" t="s">
        <v>71</v>
      </c>
      <c r="D115" s="4" t="s">
        <v>77</v>
      </c>
      <c r="E115" s="4">
        <v>2024</v>
      </c>
      <c r="F115" s="4">
        <v>1004</v>
      </c>
      <c r="G115" s="4">
        <v>35</v>
      </c>
      <c r="H115" s="4">
        <v>22.8</v>
      </c>
      <c r="I115" s="4">
        <v>395</v>
      </c>
      <c r="J115" s="4">
        <v>48.7</v>
      </c>
      <c r="K115" s="4">
        <v>40.1</v>
      </c>
      <c r="L115" s="4">
        <v>10.37</v>
      </c>
      <c r="M115" s="4">
        <v>9.86</v>
      </c>
      <c r="N115" s="4">
        <v>-0.37</v>
      </c>
      <c r="O115" s="4">
        <v>-0.29</v>
      </c>
      <c r="P115" s="5">
        <v>0.05</v>
      </c>
    </row>
    <row r="116" spans="1:16">
      <c r="A116" s="27" t="s">
        <v>191</v>
      </c>
      <c r="B116" s="4" t="s">
        <v>185</v>
      </c>
      <c r="C116" s="4" t="s">
        <v>71</v>
      </c>
      <c r="D116" s="4" t="s">
        <v>77</v>
      </c>
      <c r="E116" s="4">
        <v>2024</v>
      </c>
      <c r="F116" s="4">
        <v>1004</v>
      </c>
      <c r="G116" s="4">
        <v>35</v>
      </c>
      <c r="H116" s="4">
        <v>22.8</v>
      </c>
      <c r="I116" s="4">
        <v>400</v>
      </c>
      <c r="J116" s="4">
        <v>49</v>
      </c>
      <c r="K116" s="4">
        <v>40.3</v>
      </c>
      <c r="L116" s="4">
        <v>10.45</v>
      </c>
      <c r="M116" s="4">
        <v>9.92</v>
      </c>
      <c r="N116" s="4">
        <v>-0.37</v>
      </c>
      <c r="O116" s="4">
        <v>-0.29</v>
      </c>
      <c r="P116" s="5">
        <v>0.05</v>
      </c>
    </row>
    <row r="117" spans="1:16">
      <c r="A117" s="27" t="s">
        <v>192</v>
      </c>
      <c r="B117" s="4" t="s">
        <v>185</v>
      </c>
      <c r="C117" s="4" t="s">
        <v>71</v>
      </c>
      <c r="D117" s="4" t="s">
        <v>77</v>
      </c>
      <c r="E117" s="4">
        <v>2024</v>
      </c>
      <c r="F117" s="4">
        <v>1004</v>
      </c>
      <c r="G117" s="4">
        <v>35</v>
      </c>
      <c r="H117" s="4">
        <v>22.8</v>
      </c>
      <c r="I117" s="4">
        <v>405</v>
      </c>
      <c r="J117" s="4">
        <v>49.2</v>
      </c>
      <c r="K117" s="4">
        <v>40.5</v>
      </c>
      <c r="L117" s="4">
        <v>10.52</v>
      </c>
      <c r="M117" s="4">
        <v>10</v>
      </c>
      <c r="N117" s="4">
        <v>-0.37</v>
      </c>
      <c r="O117" s="4">
        <v>-0.29</v>
      </c>
      <c r="P117" s="5">
        <v>0.05</v>
      </c>
    </row>
    <row r="118" spans="1:16">
      <c r="A118" s="27" t="s">
        <v>193</v>
      </c>
      <c r="B118" s="4" t="s">
        <v>185</v>
      </c>
      <c r="C118" s="4" t="s">
        <v>71</v>
      </c>
      <c r="D118" s="4" t="s">
        <v>77</v>
      </c>
      <c r="E118" s="4">
        <v>2024</v>
      </c>
      <c r="F118" s="4">
        <v>1004</v>
      </c>
      <c r="G118" s="4">
        <v>35</v>
      </c>
      <c r="H118" s="4">
        <v>22.8</v>
      </c>
      <c r="I118" s="4">
        <v>410</v>
      </c>
      <c r="J118" s="4">
        <v>49.4</v>
      </c>
      <c r="K118" s="4">
        <v>40.7</v>
      </c>
      <c r="L118" s="4">
        <v>10.59</v>
      </c>
      <c r="M118" s="4">
        <v>10.07</v>
      </c>
      <c r="N118" s="4">
        <v>-0.37</v>
      </c>
      <c r="O118" s="4">
        <v>-0.29</v>
      </c>
      <c r="P118" s="5">
        <v>0.05</v>
      </c>
    </row>
    <row r="119" spans="1:16">
      <c r="A119" s="27" t="s">
        <v>194</v>
      </c>
      <c r="B119" s="4" t="s">
        <v>185</v>
      </c>
      <c r="C119" s="4" t="s">
        <v>71</v>
      </c>
      <c r="D119" s="4" t="s">
        <v>77</v>
      </c>
      <c r="E119" s="4">
        <v>2024</v>
      </c>
      <c r="F119" s="4">
        <v>1004</v>
      </c>
      <c r="G119" s="4">
        <v>35</v>
      </c>
      <c r="H119" s="4">
        <v>22.8</v>
      </c>
      <c r="I119" s="4">
        <v>415</v>
      </c>
      <c r="J119" s="4">
        <v>49.6</v>
      </c>
      <c r="K119" s="4">
        <v>40.9</v>
      </c>
      <c r="L119" s="4">
        <v>10.66</v>
      </c>
      <c r="M119" s="4">
        <v>10.15</v>
      </c>
      <c r="N119" s="4">
        <v>-0.37</v>
      </c>
      <c r="O119" s="4">
        <v>-0.29</v>
      </c>
      <c r="P119" s="5">
        <v>0.05</v>
      </c>
    </row>
    <row r="120" spans="1:16">
      <c r="A120" s="27" t="s">
        <v>195</v>
      </c>
      <c r="B120" s="4" t="s">
        <v>185</v>
      </c>
      <c r="C120" s="4" t="s">
        <v>71</v>
      </c>
      <c r="D120" s="4" t="s">
        <v>77</v>
      </c>
      <c r="E120" s="4">
        <v>1754</v>
      </c>
      <c r="F120" s="4">
        <v>1096</v>
      </c>
      <c r="G120" s="4">
        <v>30</v>
      </c>
      <c r="H120" s="4">
        <v>21</v>
      </c>
      <c r="I120" s="4">
        <v>390</v>
      </c>
      <c r="J120" s="4">
        <v>40.8</v>
      </c>
      <c r="K120" s="4">
        <v>33.8</v>
      </c>
      <c r="L120" s="4">
        <v>12.14</v>
      </c>
      <c r="M120" s="4">
        <v>11.54</v>
      </c>
      <c r="N120" s="4">
        <v>-0.34</v>
      </c>
      <c r="O120" s="4">
        <v>-0.25</v>
      </c>
      <c r="P120" s="5">
        <v>0.04</v>
      </c>
    </row>
    <row r="121" spans="1:16">
      <c r="A121" s="27" t="s">
        <v>196</v>
      </c>
      <c r="B121" s="4" t="s">
        <v>185</v>
      </c>
      <c r="C121" s="4" t="s">
        <v>71</v>
      </c>
      <c r="D121" s="4" t="s">
        <v>77</v>
      </c>
      <c r="E121" s="4">
        <v>1754</v>
      </c>
      <c r="F121" s="4">
        <v>1096</v>
      </c>
      <c r="G121" s="4">
        <v>30</v>
      </c>
      <c r="H121" s="4">
        <v>21</v>
      </c>
      <c r="I121" s="4">
        <v>395</v>
      </c>
      <c r="J121" s="4">
        <v>41</v>
      </c>
      <c r="K121" s="4">
        <v>34</v>
      </c>
      <c r="L121" s="4">
        <v>12.21</v>
      </c>
      <c r="M121" s="4">
        <v>11.62</v>
      </c>
      <c r="N121" s="4">
        <v>-0.34</v>
      </c>
      <c r="O121" s="4">
        <v>-0.25</v>
      </c>
      <c r="P121" s="5">
        <v>0.04</v>
      </c>
    </row>
    <row r="122" spans="1:16">
      <c r="A122" s="27" t="s">
        <v>197</v>
      </c>
      <c r="B122" s="4" t="s">
        <v>185</v>
      </c>
      <c r="C122" s="4" t="s">
        <v>71</v>
      </c>
      <c r="D122" s="4" t="s">
        <v>77</v>
      </c>
      <c r="E122" s="4">
        <v>1754</v>
      </c>
      <c r="F122" s="4">
        <v>1096</v>
      </c>
      <c r="G122" s="4">
        <v>30</v>
      </c>
      <c r="H122" s="4">
        <v>21</v>
      </c>
      <c r="I122" s="4">
        <v>400</v>
      </c>
      <c r="J122" s="4">
        <v>41.2</v>
      </c>
      <c r="K122" s="4">
        <v>34.2</v>
      </c>
      <c r="L122" s="4">
        <v>12.28</v>
      </c>
      <c r="M122" s="4">
        <v>11.7</v>
      </c>
      <c r="N122" s="4">
        <v>-0.34</v>
      </c>
      <c r="O122" s="4">
        <v>-0.25</v>
      </c>
      <c r="P122" s="5">
        <v>0.04</v>
      </c>
    </row>
    <row r="123" spans="1:16">
      <c r="A123" s="27" t="s">
        <v>198</v>
      </c>
      <c r="B123" s="4" t="s">
        <v>185</v>
      </c>
      <c r="C123" s="4" t="s">
        <v>71</v>
      </c>
      <c r="D123" s="4" t="s">
        <v>77</v>
      </c>
      <c r="E123" s="4">
        <v>1754</v>
      </c>
      <c r="F123" s="4">
        <v>1096</v>
      </c>
      <c r="G123" s="4">
        <v>30</v>
      </c>
      <c r="H123" s="4">
        <v>21</v>
      </c>
      <c r="I123" s="4">
        <v>405</v>
      </c>
      <c r="J123" s="4">
        <v>41.4</v>
      </c>
      <c r="K123" s="4">
        <v>34.4</v>
      </c>
      <c r="L123" s="4">
        <v>12.34</v>
      </c>
      <c r="M123" s="4">
        <v>11.77</v>
      </c>
      <c r="N123" s="4">
        <v>-0.34</v>
      </c>
      <c r="O123" s="4">
        <v>-0.25</v>
      </c>
      <c r="P123" s="5">
        <v>0.04</v>
      </c>
    </row>
    <row r="124" spans="1:16">
      <c r="A124" s="27" t="s">
        <v>199</v>
      </c>
      <c r="B124" s="4" t="s">
        <v>185</v>
      </c>
      <c r="C124" s="4" t="s">
        <v>71</v>
      </c>
      <c r="D124" s="4" t="s">
        <v>77</v>
      </c>
      <c r="E124" s="4">
        <v>2102</v>
      </c>
      <c r="F124" s="4">
        <v>1040</v>
      </c>
      <c r="G124" s="4">
        <v>35</v>
      </c>
      <c r="H124" s="4">
        <v>24</v>
      </c>
      <c r="I124" s="4">
        <v>430</v>
      </c>
      <c r="J124" s="4">
        <v>46</v>
      </c>
      <c r="K124" s="4">
        <v>38</v>
      </c>
      <c r="L124" s="4">
        <v>9.03</v>
      </c>
      <c r="M124" s="4">
        <v>8.56</v>
      </c>
      <c r="N124" s="4">
        <v>-0.36</v>
      </c>
      <c r="O124" s="4">
        <v>-0.26</v>
      </c>
      <c r="P124" s="5">
        <v>0.04</v>
      </c>
    </row>
    <row r="125" spans="1:16">
      <c r="A125" s="27" t="s">
        <v>200</v>
      </c>
      <c r="B125" s="4" t="s">
        <v>185</v>
      </c>
      <c r="C125" s="4" t="s">
        <v>71</v>
      </c>
      <c r="D125" s="4" t="s">
        <v>77</v>
      </c>
      <c r="E125" s="4">
        <v>2102</v>
      </c>
      <c r="F125" s="4">
        <v>1040</v>
      </c>
      <c r="G125" s="4">
        <v>35</v>
      </c>
      <c r="H125" s="4">
        <v>24</v>
      </c>
      <c r="I125" s="4">
        <v>435</v>
      </c>
      <c r="J125" s="4">
        <v>46.3</v>
      </c>
      <c r="K125" s="4">
        <v>38.2</v>
      </c>
      <c r="L125" s="4">
        <v>9.11</v>
      </c>
      <c r="M125" s="4">
        <v>8.61</v>
      </c>
      <c r="N125" s="4">
        <v>-0.36</v>
      </c>
      <c r="O125" s="4">
        <v>-0.26</v>
      </c>
      <c r="P125" s="5">
        <v>0.04</v>
      </c>
    </row>
    <row r="126" spans="1:16">
      <c r="A126" s="27" t="s">
        <v>201</v>
      </c>
      <c r="B126" s="4" t="s">
        <v>185</v>
      </c>
      <c r="C126" s="4" t="s">
        <v>71</v>
      </c>
      <c r="D126" s="4" t="s">
        <v>77</v>
      </c>
      <c r="E126" s="4">
        <v>2102</v>
      </c>
      <c r="F126" s="4">
        <v>1040</v>
      </c>
      <c r="G126" s="4">
        <v>35</v>
      </c>
      <c r="H126" s="4">
        <v>24</v>
      </c>
      <c r="I126" s="4">
        <v>440</v>
      </c>
      <c r="J126" s="4">
        <v>46.4</v>
      </c>
      <c r="K126" s="4">
        <v>38.4</v>
      </c>
      <c r="L126" s="4">
        <v>9.17</v>
      </c>
      <c r="M126" s="4">
        <v>8.68</v>
      </c>
      <c r="N126" s="4">
        <v>-0.36</v>
      </c>
      <c r="O126" s="4">
        <v>-0.26</v>
      </c>
      <c r="P126" s="5">
        <v>0.04</v>
      </c>
    </row>
    <row r="127" spans="1:16">
      <c r="A127" s="22" t="s">
        <v>202</v>
      </c>
      <c r="B127" s="4" t="s">
        <v>185</v>
      </c>
      <c r="C127" s="4" t="s">
        <v>71</v>
      </c>
      <c r="D127" s="4" t="s">
        <v>77</v>
      </c>
      <c r="E127" s="4">
        <v>2102</v>
      </c>
      <c r="F127" s="4">
        <v>1040</v>
      </c>
      <c r="G127" s="4">
        <v>35</v>
      </c>
      <c r="H127" s="4">
        <v>24</v>
      </c>
      <c r="I127" s="4">
        <v>445</v>
      </c>
      <c r="J127" s="4">
        <v>46.6</v>
      </c>
      <c r="K127" s="4">
        <v>38.5</v>
      </c>
      <c r="L127" s="4">
        <v>9.23</v>
      </c>
      <c r="M127" s="4">
        <v>8.73</v>
      </c>
      <c r="N127" s="4">
        <v>-0.36</v>
      </c>
      <c r="O127" s="4">
        <v>-0.26</v>
      </c>
      <c r="P127" s="5">
        <v>0.04</v>
      </c>
    </row>
    <row r="128" spans="1:16">
      <c r="A128" s="22" t="s">
        <v>203</v>
      </c>
      <c r="B128" s="4" t="s">
        <v>185</v>
      </c>
      <c r="C128" s="4" t="s">
        <v>71</v>
      </c>
      <c r="D128" s="4" t="s">
        <v>77</v>
      </c>
      <c r="E128" s="4">
        <v>2102</v>
      </c>
      <c r="F128" s="4">
        <v>1040</v>
      </c>
      <c r="G128" s="4">
        <v>35</v>
      </c>
      <c r="H128" s="4">
        <v>24</v>
      </c>
      <c r="I128" s="4">
        <v>450</v>
      </c>
      <c r="J128" s="4">
        <v>46.8</v>
      </c>
      <c r="K128" s="4">
        <v>38.7</v>
      </c>
      <c r="L128" s="4">
        <v>9.28</v>
      </c>
      <c r="M128" s="4">
        <v>8.8</v>
      </c>
      <c r="N128" s="4">
        <v>-0.36</v>
      </c>
      <c r="O128" s="4">
        <v>-0.26</v>
      </c>
      <c r="P128" s="5">
        <v>0.04</v>
      </c>
    </row>
    <row r="129" spans="1:16">
      <c r="A129" s="22" t="s">
        <v>204</v>
      </c>
      <c r="B129" s="4" t="s">
        <v>185</v>
      </c>
      <c r="C129" s="4" t="s">
        <v>71</v>
      </c>
      <c r="D129" s="4" t="s">
        <v>77</v>
      </c>
      <c r="E129" s="4">
        <v>2187</v>
      </c>
      <c r="F129" s="4">
        <v>1102</v>
      </c>
      <c r="G129" s="4">
        <v>35</v>
      </c>
      <c r="H129" s="4">
        <v>26.5</v>
      </c>
      <c r="I129" s="4">
        <v>485</v>
      </c>
      <c r="J129" s="4">
        <v>51.1</v>
      </c>
      <c r="K129" s="4">
        <v>42.2</v>
      </c>
      <c r="L129" s="4">
        <v>12.07</v>
      </c>
      <c r="M129" s="4">
        <v>11.49</v>
      </c>
      <c r="N129" s="4">
        <v>-0.34</v>
      </c>
      <c r="O129" s="4">
        <v>-0.25</v>
      </c>
      <c r="P129" s="5">
        <v>0.04</v>
      </c>
    </row>
    <row r="130" spans="1:16">
      <c r="A130" s="22" t="s">
        <v>205</v>
      </c>
      <c r="B130" s="4" t="s">
        <v>185</v>
      </c>
      <c r="C130" s="4" t="s">
        <v>71</v>
      </c>
      <c r="D130" s="4" t="s">
        <v>77</v>
      </c>
      <c r="E130" s="4">
        <v>2187</v>
      </c>
      <c r="F130" s="4">
        <v>1102</v>
      </c>
      <c r="G130" s="4">
        <v>35</v>
      </c>
      <c r="H130" s="4">
        <v>26.5</v>
      </c>
      <c r="I130" s="4">
        <v>490</v>
      </c>
      <c r="J130" s="4">
        <v>51.3</v>
      </c>
      <c r="K130" s="4">
        <v>42.4</v>
      </c>
      <c r="L130" s="4">
        <v>12.14</v>
      </c>
      <c r="M130" s="4">
        <v>11.56</v>
      </c>
      <c r="N130" s="4">
        <v>-0.34</v>
      </c>
      <c r="O130" s="4">
        <v>-0.25</v>
      </c>
      <c r="P130" s="5">
        <v>0.04</v>
      </c>
    </row>
    <row r="131" spans="1:16">
      <c r="A131" s="22" t="s">
        <v>206</v>
      </c>
      <c r="B131" s="4" t="s">
        <v>185</v>
      </c>
      <c r="C131" s="4" t="s">
        <v>71</v>
      </c>
      <c r="D131" s="4" t="s">
        <v>77</v>
      </c>
      <c r="E131" s="4">
        <v>2187</v>
      </c>
      <c r="F131" s="4">
        <v>1102</v>
      </c>
      <c r="G131" s="4">
        <v>35</v>
      </c>
      <c r="H131" s="4">
        <v>26.5</v>
      </c>
      <c r="I131" s="4">
        <v>495</v>
      </c>
      <c r="J131" s="4">
        <v>51.5</v>
      </c>
      <c r="K131" s="4">
        <v>42.6</v>
      </c>
      <c r="L131" s="4">
        <v>12.21</v>
      </c>
      <c r="M131" s="4">
        <v>11.63</v>
      </c>
      <c r="N131" s="4">
        <v>-0.34</v>
      </c>
      <c r="O131" s="4">
        <v>-0.25</v>
      </c>
      <c r="P131" s="5">
        <v>0.04</v>
      </c>
    </row>
    <row r="132" spans="1:16">
      <c r="A132" s="22" t="s">
        <v>207</v>
      </c>
      <c r="B132" s="4" t="s">
        <v>185</v>
      </c>
      <c r="C132" s="4" t="s">
        <v>71</v>
      </c>
      <c r="D132" s="4" t="s">
        <v>77</v>
      </c>
      <c r="E132" s="4">
        <v>2187</v>
      </c>
      <c r="F132" s="4">
        <v>1102</v>
      </c>
      <c r="G132" s="4">
        <v>35</v>
      </c>
      <c r="H132" s="4">
        <v>26.5</v>
      </c>
      <c r="I132" s="4">
        <v>500</v>
      </c>
      <c r="J132" s="4">
        <v>51.7</v>
      </c>
      <c r="K132" s="4">
        <v>42.8</v>
      </c>
      <c r="L132" s="4">
        <v>12.28</v>
      </c>
      <c r="M132" s="4">
        <v>11.69</v>
      </c>
      <c r="N132" s="4">
        <v>-0.34</v>
      </c>
      <c r="O132" s="4">
        <v>-0.25</v>
      </c>
      <c r="P132" s="5">
        <v>0.04</v>
      </c>
    </row>
    <row r="133" spans="1:16">
      <c r="A133" s="22" t="s">
        <v>208</v>
      </c>
      <c r="B133" s="4" t="s">
        <v>185</v>
      </c>
      <c r="C133" s="4" t="s">
        <v>71</v>
      </c>
      <c r="D133" s="4" t="s">
        <v>77</v>
      </c>
      <c r="E133" s="4">
        <v>2187</v>
      </c>
      <c r="F133" s="4">
        <v>1102</v>
      </c>
      <c r="G133" s="4">
        <v>35</v>
      </c>
      <c r="H133" s="4">
        <v>26.5</v>
      </c>
      <c r="I133" s="4">
        <v>505</v>
      </c>
      <c r="J133" s="4">
        <v>51.9</v>
      </c>
      <c r="K133" s="4">
        <v>43</v>
      </c>
      <c r="L133" s="4">
        <v>12.35</v>
      </c>
      <c r="M133" s="4">
        <v>11.75</v>
      </c>
      <c r="N133" s="4">
        <v>-0.34</v>
      </c>
      <c r="O133" s="4">
        <v>-0.25</v>
      </c>
      <c r="P133" s="5">
        <v>0.04</v>
      </c>
    </row>
    <row r="134" spans="1:16">
      <c r="A134" s="22" t="s">
        <v>209</v>
      </c>
      <c r="B134" s="4" t="s">
        <v>185</v>
      </c>
      <c r="C134" s="4" t="s">
        <v>71</v>
      </c>
      <c r="D134" s="4" t="s">
        <v>77</v>
      </c>
      <c r="E134" s="4">
        <v>2187</v>
      </c>
      <c r="F134" s="4">
        <v>1102</v>
      </c>
      <c r="G134" s="4">
        <v>35</v>
      </c>
      <c r="H134" s="4">
        <v>26.5</v>
      </c>
      <c r="I134" s="4">
        <v>510</v>
      </c>
      <c r="J134" s="4">
        <v>52.1</v>
      </c>
      <c r="K134" s="4">
        <v>43.2</v>
      </c>
      <c r="L134" s="4">
        <v>12.42</v>
      </c>
      <c r="M134" s="4">
        <v>11.81</v>
      </c>
      <c r="N134" s="4">
        <v>-0.34</v>
      </c>
      <c r="O134" s="4">
        <v>-0.25</v>
      </c>
      <c r="P134" s="5">
        <v>0.04</v>
      </c>
    </row>
    <row r="135" spans="1:16">
      <c r="A135" s="22" t="s">
        <v>210</v>
      </c>
      <c r="B135" s="4" t="s">
        <v>185</v>
      </c>
      <c r="C135" s="4" t="s">
        <v>211</v>
      </c>
      <c r="D135" s="4" t="s">
        <v>77</v>
      </c>
      <c r="E135" s="4">
        <v>2384</v>
      </c>
      <c r="F135" s="4">
        <v>1096</v>
      </c>
      <c r="G135" s="4">
        <v>35</v>
      </c>
      <c r="H135" s="4">
        <v>32.3</v>
      </c>
      <c r="I135" s="4">
        <v>525</v>
      </c>
      <c r="J135" s="4">
        <v>37.1</v>
      </c>
      <c r="K135" s="4">
        <v>30.8</v>
      </c>
      <c r="L135" s="4">
        <v>18.14</v>
      </c>
      <c r="M135" s="4">
        <v>17.04</v>
      </c>
      <c r="N135" s="4">
        <v>-0.34</v>
      </c>
      <c r="O135" s="4">
        <v>-0.25</v>
      </c>
      <c r="P135" s="5">
        <v>0.04</v>
      </c>
    </row>
    <row r="136" spans="1:16">
      <c r="A136" s="29" t="s">
        <v>212</v>
      </c>
      <c r="B136" s="4" t="s">
        <v>185</v>
      </c>
      <c r="C136" s="4" t="s">
        <v>211</v>
      </c>
      <c r="D136" s="4" t="s">
        <v>77</v>
      </c>
      <c r="E136" s="4">
        <v>2384</v>
      </c>
      <c r="F136" s="4">
        <v>1096</v>
      </c>
      <c r="G136" s="4">
        <v>35</v>
      </c>
      <c r="H136" s="4">
        <v>32.3</v>
      </c>
      <c r="I136" s="4">
        <v>530</v>
      </c>
      <c r="J136" s="4">
        <v>37.3</v>
      </c>
      <c r="K136" s="4">
        <v>31</v>
      </c>
      <c r="L136" s="4">
        <v>18.19</v>
      </c>
      <c r="M136" s="4">
        <v>17.11</v>
      </c>
      <c r="N136" s="4">
        <v>-0.34</v>
      </c>
      <c r="O136" s="4">
        <v>-0.25</v>
      </c>
      <c r="P136" s="5">
        <v>0.04</v>
      </c>
    </row>
    <row r="137" spans="1:16">
      <c r="A137" s="29" t="s">
        <v>213</v>
      </c>
      <c r="B137" s="4" t="s">
        <v>185</v>
      </c>
      <c r="C137" s="4" t="s">
        <v>211</v>
      </c>
      <c r="D137" s="4" t="s">
        <v>77</v>
      </c>
      <c r="E137" s="4">
        <v>2384</v>
      </c>
      <c r="F137" s="4">
        <v>1096</v>
      </c>
      <c r="G137" s="4">
        <v>35</v>
      </c>
      <c r="H137" s="4">
        <v>32.3</v>
      </c>
      <c r="I137" s="4">
        <v>535</v>
      </c>
      <c r="J137" s="4">
        <v>37.5</v>
      </c>
      <c r="K137" s="4">
        <v>31.2</v>
      </c>
      <c r="L137" s="4">
        <v>18.24</v>
      </c>
      <c r="M137" s="4">
        <v>17.16</v>
      </c>
      <c r="N137" s="4">
        <v>-0.34</v>
      </c>
      <c r="O137" s="4">
        <v>-0.25</v>
      </c>
      <c r="P137" s="5">
        <v>0.04</v>
      </c>
    </row>
    <row r="138" spans="1:16">
      <c r="A138" s="29" t="s">
        <v>214</v>
      </c>
      <c r="B138" s="4" t="s">
        <v>185</v>
      </c>
      <c r="C138" s="4" t="s">
        <v>211</v>
      </c>
      <c r="D138" s="4" t="s">
        <v>77</v>
      </c>
      <c r="E138" s="4">
        <v>2384</v>
      </c>
      <c r="F138" s="4">
        <v>1096</v>
      </c>
      <c r="G138" s="4">
        <v>35</v>
      </c>
      <c r="H138" s="4">
        <v>32.3</v>
      </c>
      <c r="I138" s="4">
        <v>540</v>
      </c>
      <c r="J138" s="4">
        <v>37.7</v>
      </c>
      <c r="K138" s="4">
        <v>31.4</v>
      </c>
      <c r="L138" s="4">
        <v>18.3</v>
      </c>
      <c r="M138" s="4">
        <v>17.21</v>
      </c>
      <c r="N138" s="4">
        <v>-0.34</v>
      </c>
      <c r="O138" s="4">
        <v>-0.25</v>
      </c>
      <c r="P138" s="5">
        <v>0.04</v>
      </c>
    </row>
    <row r="139" spans="1:16">
      <c r="A139" s="29" t="s">
        <v>215</v>
      </c>
      <c r="B139" s="4" t="s">
        <v>185</v>
      </c>
      <c r="C139" s="4" t="s">
        <v>211</v>
      </c>
      <c r="D139" s="4" t="s">
        <v>77</v>
      </c>
      <c r="E139" s="4">
        <v>2384</v>
      </c>
      <c r="F139" s="4">
        <v>1096</v>
      </c>
      <c r="G139" s="4">
        <v>35</v>
      </c>
      <c r="H139" s="4">
        <v>32.3</v>
      </c>
      <c r="I139" s="4">
        <v>545</v>
      </c>
      <c r="J139" s="4">
        <v>37.9</v>
      </c>
      <c r="K139" s="4">
        <v>31.6</v>
      </c>
      <c r="L139" s="4">
        <v>18.35</v>
      </c>
      <c r="M139" s="4">
        <v>17.24</v>
      </c>
      <c r="N139" s="4">
        <v>-0.34</v>
      </c>
      <c r="O139" s="4">
        <v>-0.25</v>
      </c>
      <c r="P139" s="5">
        <v>0.04</v>
      </c>
    </row>
    <row r="140" spans="1:16">
      <c r="A140" s="29" t="s">
        <v>216</v>
      </c>
      <c r="B140" s="4" t="s">
        <v>185</v>
      </c>
      <c r="C140" s="4" t="s">
        <v>211</v>
      </c>
      <c r="D140" s="4" t="s">
        <v>77</v>
      </c>
      <c r="E140" s="4">
        <v>2384</v>
      </c>
      <c r="F140" s="4">
        <v>1096</v>
      </c>
      <c r="G140" s="4">
        <v>35</v>
      </c>
      <c r="H140" s="4">
        <v>32.3</v>
      </c>
      <c r="I140" s="4">
        <v>550</v>
      </c>
      <c r="J140" s="4">
        <v>38.1</v>
      </c>
      <c r="K140" s="4">
        <v>31.8</v>
      </c>
      <c r="L140" s="4">
        <v>18.39</v>
      </c>
      <c r="M140" s="4">
        <v>17.29</v>
      </c>
      <c r="N140" s="4">
        <v>-0.34</v>
      </c>
      <c r="O140" s="4">
        <v>-0.25</v>
      </c>
      <c r="P140" s="5">
        <v>0.04</v>
      </c>
    </row>
    <row r="141" spans="1:16">
      <c r="A141" s="29" t="s">
        <v>217</v>
      </c>
      <c r="B141" s="4" t="s">
        <v>185</v>
      </c>
      <c r="C141" s="4" t="s">
        <v>211</v>
      </c>
      <c r="D141" s="4" t="s">
        <v>77</v>
      </c>
      <c r="E141" s="4">
        <v>2172</v>
      </c>
      <c r="F141" s="4">
        <v>1303</v>
      </c>
      <c r="G141" s="4">
        <v>33</v>
      </c>
      <c r="H141" s="4">
        <v>34.9</v>
      </c>
      <c r="I141" s="4">
        <v>585</v>
      </c>
      <c r="J141" s="4">
        <v>41.1</v>
      </c>
      <c r="K141" s="4">
        <v>34</v>
      </c>
      <c r="L141" s="4">
        <v>18.26</v>
      </c>
      <c r="M141" s="4">
        <v>17.21</v>
      </c>
      <c r="N141" s="4">
        <v>-0.34</v>
      </c>
      <c r="O141" s="4">
        <v>-0.25</v>
      </c>
      <c r="P141" s="5">
        <v>0.04</v>
      </c>
    </row>
    <row r="142" spans="1:16">
      <c r="A142" s="29" t="s">
        <v>218</v>
      </c>
      <c r="B142" s="4" t="s">
        <v>185</v>
      </c>
      <c r="C142" s="4" t="s">
        <v>211</v>
      </c>
      <c r="D142" s="4" t="s">
        <v>77</v>
      </c>
      <c r="E142" s="4">
        <v>2172</v>
      </c>
      <c r="F142" s="4">
        <v>1303</v>
      </c>
      <c r="G142" s="4">
        <v>33</v>
      </c>
      <c r="H142" s="4">
        <v>34.9</v>
      </c>
      <c r="I142" s="4">
        <v>590</v>
      </c>
      <c r="J142" s="4">
        <v>41.3</v>
      </c>
      <c r="K142" s="4">
        <v>34.2</v>
      </c>
      <c r="L142" s="4">
        <v>18.31</v>
      </c>
      <c r="M142" s="4">
        <v>17.25</v>
      </c>
      <c r="N142" s="4">
        <v>-0.34</v>
      </c>
      <c r="O142" s="4">
        <v>-0.25</v>
      </c>
      <c r="P142" s="5">
        <v>0.04</v>
      </c>
    </row>
    <row r="143" spans="1:16">
      <c r="A143" s="29" t="s">
        <v>219</v>
      </c>
      <c r="B143" s="4" t="s">
        <v>185</v>
      </c>
      <c r="C143" s="4" t="s">
        <v>211</v>
      </c>
      <c r="D143" s="4" t="s">
        <v>77</v>
      </c>
      <c r="E143" s="4">
        <v>2172</v>
      </c>
      <c r="F143" s="4">
        <v>1303</v>
      </c>
      <c r="G143" s="4">
        <v>33</v>
      </c>
      <c r="H143" s="4">
        <v>34.9</v>
      </c>
      <c r="I143" s="4">
        <v>595</v>
      </c>
      <c r="J143" s="4">
        <v>41.5</v>
      </c>
      <c r="K143" s="4">
        <v>34.4</v>
      </c>
      <c r="L143" s="4">
        <v>18.36</v>
      </c>
      <c r="M143" s="4">
        <v>17.3</v>
      </c>
      <c r="N143" s="4">
        <v>-0.34</v>
      </c>
      <c r="O143" s="4">
        <v>-0.25</v>
      </c>
      <c r="P143" s="5">
        <v>0.04</v>
      </c>
    </row>
    <row r="144" spans="1:16">
      <c r="A144" s="29" t="s">
        <v>220</v>
      </c>
      <c r="B144" s="4" t="s">
        <v>185</v>
      </c>
      <c r="C144" s="4" t="s">
        <v>211</v>
      </c>
      <c r="D144" s="4" t="s">
        <v>77</v>
      </c>
      <c r="E144" s="4">
        <v>2172</v>
      </c>
      <c r="F144" s="4">
        <v>1303</v>
      </c>
      <c r="G144" s="4">
        <v>33</v>
      </c>
      <c r="H144" s="4">
        <v>34.9</v>
      </c>
      <c r="I144" s="4">
        <v>600</v>
      </c>
      <c r="J144" s="4">
        <v>41.7</v>
      </c>
      <c r="K144" s="4">
        <v>34.6</v>
      </c>
      <c r="L144" s="4">
        <v>18.42</v>
      </c>
      <c r="M144" s="4">
        <v>17.34</v>
      </c>
      <c r="N144" s="4">
        <v>-0.34</v>
      </c>
      <c r="O144" s="4">
        <v>-0.25</v>
      </c>
      <c r="P144" s="5">
        <v>0.04</v>
      </c>
    </row>
    <row r="145" spans="1:16">
      <c r="A145" s="29" t="s">
        <v>221</v>
      </c>
      <c r="B145" s="4" t="s">
        <v>185</v>
      </c>
      <c r="C145" s="4" t="s">
        <v>211</v>
      </c>
      <c r="D145" s="4" t="s">
        <v>77</v>
      </c>
      <c r="E145" s="4">
        <v>2172</v>
      </c>
      <c r="F145" s="4">
        <v>1303</v>
      </c>
      <c r="G145" s="4">
        <v>33</v>
      </c>
      <c r="H145" s="4">
        <v>34.9</v>
      </c>
      <c r="I145" s="4">
        <v>605</v>
      </c>
      <c r="J145" s="4">
        <v>41.9</v>
      </c>
      <c r="K145" s="4">
        <v>34.8</v>
      </c>
      <c r="L145" s="4">
        <v>18.48</v>
      </c>
      <c r="M145" s="4">
        <v>17.39</v>
      </c>
      <c r="N145" s="4">
        <v>-0.34</v>
      </c>
      <c r="O145" s="4">
        <v>-0.25</v>
      </c>
      <c r="P145" s="5">
        <v>0.04</v>
      </c>
    </row>
    <row r="146" spans="1:16">
      <c r="A146" s="22" t="s">
        <v>222</v>
      </c>
      <c r="B146" s="4" t="s">
        <v>185</v>
      </c>
      <c r="C146" s="4" t="s">
        <v>211</v>
      </c>
      <c r="D146" s="4" t="s">
        <v>77</v>
      </c>
      <c r="E146" s="4">
        <v>2384</v>
      </c>
      <c r="F146" s="4">
        <v>1303</v>
      </c>
      <c r="G146" s="4">
        <v>33</v>
      </c>
      <c r="H146" s="4">
        <v>38.3</v>
      </c>
      <c r="I146" s="4">
        <v>670</v>
      </c>
      <c r="J146" s="4">
        <v>47</v>
      </c>
      <c r="K146" s="4">
        <v>39.2</v>
      </c>
      <c r="L146" s="4">
        <v>18.1</v>
      </c>
      <c r="M146" s="4">
        <v>17.09</v>
      </c>
      <c r="N146" s="4">
        <v>-0.3</v>
      </c>
      <c r="O146" s="4">
        <v>-0.24</v>
      </c>
      <c r="P146" s="5">
        <v>0.04</v>
      </c>
    </row>
    <row r="147" spans="1:16">
      <c r="A147" s="22" t="s">
        <v>223</v>
      </c>
      <c r="B147" s="4" t="s">
        <v>185</v>
      </c>
      <c r="C147" s="4" t="s">
        <v>211</v>
      </c>
      <c r="D147" s="4" t="s">
        <v>77</v>
      </c>
      <c r="E147" s="4">
        <v>2384</v>
      </c>
      <c r="F147" s="4">
        <v>1303</v>
      </c>
      <c r="G147" s="4">
        <v>33</v>
      </c>
      <c r="H147" s="4">
        <v>38.3</v>
      </c>
      <c r="I147" s="4">
        <v>675</v>
      </c>
      <c r="J147" s="4">
        <v>47.2</v>
      </c>
      <c r="K147" s="4">
        <v>39.4</v>
      </c>
      <c r="L147" s="4">
        <v>18.14</v>
      </c>
      <c r="M147" s="4">
        <v>17.12</v>
      </c>
      <c r="N147" s="4">
        <v>-0.3</v>
      </c>
      <c r="O147" s="4">
        <v>-0.24</v>
      </c>
      <c r="P147" s="5">
        <v>0.04</v>
      </c>
    </row>
    <row r="148" spans="1:16">
      <c r="A148" s="22" t="s">
        <v>224</v>
      </c>
      <c r="B148" s="4" t="s">
        <v>185</v>
      </c>
      <c r="C148" s="4" t="s">
        <v>211</v>
      </c>
      <c r="D148" s="4" t="s">
        <v>77</v>
      </c>
      <c r="E148" s="4">
        <v>2384</v>
      </c>
      <c r="F148" s="4">
        <v>1303</v>
      </c>
      <c r="G148" s="4">
        <v>33</v>
      </c>
      <c r="H148" s="4">
        <v>38.3</v>
      </c>
      <c r="I148" s="4">
        <v>680</v>
      </c>
      <c r="J148" s="4">
        <v>47.4</v>
      </c>
      <c r="K148" s="4">
        <v>39.6</v>
      </c>
      <c r="L148" s="4">
        <v>18.18</v>
      </c>
      <c r="M148" s="4">
        <v>17.16</v>
      </c>
      <c r="N148" s="4">
        <v>-0.3</v>
      </c>
      <c r="O148" s="4">
        <v>-0.24</v>
      </c>
      <c r="P148" s="5">
        <v>0.04</v>
      </c>
    </row>
    <row r="149" spans="1:16">
      <c r="A149" s="22" t="s">
        <v>225</v>
      </c>
      <c r="B149" s="4" t="s">
        <v>185</v>
      </c>
      <c r="C149" s="4" t="s">
        <v>211</v>
      </c>
      <c r="D149" s="4" t="s">
        <v>77</v>
      </c>
      <c r="E149" s="4">
        <v>2384</v>
      </c>
      <c r="F149" s="4">
        <v>1303</v>
      </c>
      <c r="G149" s="4">
        <v>33</v>
      </c>
      <c r="H149" s="4">
        <v>38.3</v>
      </c>
      <c r="I149" s="4">
        <v>685</v>
      </c>
      <c r="J149" s="4">
        <v>47.7</v>
      </c>
      <c r="K149" s="4">
        <v>39.8</v>
      </c>
      <c r="L149" s="4">
        <v>18.21</v>
      </c>
      <c r="M149" s="4">
        <v>17.19</v>
      </c>
      <c r="N149" s="4">
        <v>-0.3</v>
      </c>
      <c r="O149" s="4">
        <v>-0.24</v>
      </c>
      <c r="P149" s="5">
        <v>0.04</v>
      </c>
    </row>
    <row r="150" spans="1:16">
      <c r="A150" s="22" t="s">
        <v>226</v>
      </c>
      <c r="B150" s="4" t="s">
        <v>185</v>
      </c>
      <c r="C150" s="4" t="s">
        <v>211</v>
      </c>
      <c r="D150" s="4" t="s">
        <v>77</v>
      </c>
      <c r="E150" s="4">
        <v>2384</v>
      </c>
      <c r="F150" s="4">
        <v>1303</v>
      </c>
      <c r="G150" s="4">
        <v>33</v>
      </c>
      <c r="H150" s="4">
        <v>38.3</v>
      </c>
      <c r="I150" s="4">
        <v>690</v>
      </c>
      <c r="J150" s="4">
        <v>47.9</v>
      </c>
      <c r="K150" s="4">
        <v>40.1</v>
      </c>
      <c r="L150" s="4">
        <v>18.25</v>
      </c>
      <c r="M150" s="4">
        <v>17.23</v>
      </c>
      <c r="N150" s="4">
        <v>-0.3</v>
      </c>
      <c r="O150" s="4">
        <v>-0.24</v>
      </c>
      <c r="P150" s="5">
        <v>0.04</v>
      </c>
    </row>
    <row r="151" spans="1:16">
      <c r="A151" s="22" t="s">
        <v>227</v>
      </c>
      <c r="B151" s="4" t="s">
        <v>185</v>
      </c>
      <c r="C151" s="4" t="s">
        <v>211</v>
      </c>
      <c r="D151" s="4" t="s">
        <v>77</v>
      </c>
      <c r="E151" s="4">
        <v>2384</v>
      </c>
      <c r="F151" s="4">
        <v>1303</v>
      </c>
      <c r="G151" s="4">
        <v>33</v>
      </c>
      <c r="H151" s="4">
        <v>38.3</v>
      </c>
      <c r="I151" s="4">
        <v>695</v>
      </c>
      <c r="J151" s="4">
        <v>48.3</v>
      </c>
      <c r="K151" s="4">
        <v>40.3</v>
      </c>
      <c r="L151" s="4">
        <v>18.28</v>
      </c>
      <c r="M151" s="4">
        <v>17.25</v>
      </c>
      <c r="N151" s="4">
        <v>-0.3</v>
      </c>
      <c r="O151" s="4">
        <v>-0.24</v>
      </c>
      <c r="P151" s="5">
        <v>0.04</v>
      </c>
    </row>
    <row r="152" spans="1:16">
      <c r="A152" s="29" t="s">
        <v>6</v>
      </c>
      <c r="B152" s="4" t="s">
        <v>228</v>
      </c>
      <c r="C152" s="4" t="s">
        <v>71</v>
      </c>
      <c r="D152" s="4" t="s">
        <v>77</v>
      </c>
      <c r="E152" s="4">
        <v>2278</v>
      </c>
      <c r="F152" s="4">
        <v>1134</v>
      </c>
      <c r="G152" s="4">
        <v>30</v>
      </c>
      <c r="H152" s="4">
        <v>27.3</v>
      </c>
      <c r="I152" s="4">
        <v>550</v>
      </c>
      <c r="J152" s="4">
        <v>49.9</v>
      </c>
      <c r="K152" s="4">
        <v>41.96</v>
      </c>
      <c r="L152" s="4">
        <v>14</v>
      </c>
      <c r="M152" s="4">
        <v>13.11</v>
      </c>
      <c r="N152" s="4">
        <v>-0.35</v>
      </c>
      <c r="O152" s="4">
        <v>-0.275</v>
      </c>
      <c r="P152" s="5">
        <v>0.045</v>
      </c>
    </row>
    <row r="153" spans="1:16">
      <c r="A153" s="29" t="s">
        <v>229</v>
      </c>
      <c r="B153" s="4" t="s">
        <v>228</v>
      </c>
      <c r="C153" s="4" t="s">
        <v>71</v>
      </c>
      <c r="D153" s="4" t="s">
        <v>77</v>
      </c>
      <c r="E153" s="4">
        <v>2278</v>
      </c>
      <c r="F153" s="4">
        <v>1134</v>
      </c>
      <c r="G153" s="4">
        <v>30</v>
      </c>
      <c r="H153" s="4">
        <v>27.3</v>
      </c>
      <c r="I153" s="4">
        <v>555</v>
      </c>
      <c r="J153" s="4">
        <v>50.02</v>
      </c>
      <c r="K153" s="4">
        <v>42.11</v>
      </c>
      <c r="L153" s="4">
        <v>14.07</v>
      </c>
      <c r="M153" s="4">
        <v>13.18</v>
      </c>
      <c r="N153" s="4">
        <v>-0.35</v>
      </c>
      <c r="O153" s="4">
        <v>-0.275</v>
      </c>
      <c r="P153" s="5">
        <v>0.045</v>
      </c>
    </row>
    <row r="154" spans="1:16">
      <c r="A154" s="22" t="s">
        <v>230</v>
      </c>
      <c r="B154" s="23" t="s">
        <v>231</v>
      </c>
      <c r="C154" s="4" t="s">
        <v>211</v>
      </c>
      <c r="D154" s="23" t="s">
        <v>77</v>
      </c>
      <c r="E154" s="4">
        <v>2278</v>
      </c>
      <c r="F154" s="4">
        <v>1134</v>
      </c>
      <c r="G154" s="4">
        <v>30</v>
      </c>
      <c r="H154" s="4">
        <v>31.5</v>
      </c>
      <c r="I154" s="4">
        <v>555</v>
      </c>
      <c r="J154" s="4">
        <v>50.5</v>
      </c>
      <c r="K154" s="4">
        <v>41.8</v>
      </c>
      <c r="L154" s="4">
        <v>14.05</v>
      </c>
      <c r="M154" s="4">
        <v>13.28</v>
      </c>
      <c r="N154" s="4">
        <v>-0.3</v>
      </c>
      <c r="O154" s="4">
        <v>-0.25</v>
      </c>
      <c r="P154" s="5">
        <v>0.046</v>
      </c>
    </row>
    <row r="155" spans="1:16">
      <c r="A155" s="22" t="s">
        <v>232</v>
      </c>
      <c r="B155" s="23" t="s">
        <v>231</v>
      </c>
      <c r="C155" s="4" t="s">
        <v>211</v>
      </c>
      <c r="D155" s="23" t="s">
        <v>77</v>
      </c>
      <c r="E155" s="4">
        <v>2278</v>
      </c>
      <c r="F155" s="4">
        <v>1134</v>
      </c>
      <c r="G155" s="4">
        <v>30</v>
      </c>
      <c r="H155" s="4">
        <v>31.5</v>
      </c>
      <c r="I155" s="4">
        <v>560</v>
      </c>
      <c r="J155" s="4">
        <v>50.7</v>
      </c>
      <c r="K155" s="4">
        <v>42</v>
      </c>
      <c r="L155" s="4">
        <v>14.11</v>
      </c>
      <c r="M155" s="4">
        <v>13.34</v>
      </c>
      <c r="N155" s="4">
        <v>-0.3</v>
      </c>
      <c r="O155" s="4">
        <v>-0.25</v>
      </c>
      <c r="P155" s="5">
        <v>0.046</v>
      </c>
    </row>
    <row r="156" spans="1:16">
      <c r="A156" s="22" t="s">
        <v>233</v>
      </c>
      <c r="B156" s="23" t="s">
        <v>231</v>
      </c>
      <c r="C156" s="4" t="s">
        <v>211</v>
      </c>
      <c r="D156" s="23" t="s">
        <v>77</v>
      </c>
      <c r="E156" s="4">
        <v>2278</v>
      </c>
      <c r="F156" s="4">
        <v>1134</v>
      </c>
      <c r="G156" s="4">
        <v>30</v>
      </c>
      <c r="H156" s="4">
        <v>31.5</v>
      </c>
      <c r="I156" s="4">
        <v>565</v>
      </c>
      <c r="J156" s="4">
        <v>50.9</v>
      </c>
      <c r="K156" s="4">
        <v>42.2</v>
      </c>
      <c r="L156" s="4">
        <v>14.17</v>
      </c>
      <c r="M156" s="4">
        <v>13.39</v>
      </c>
      <c r="N156" s="4">
        <v>-0.3</v>
      </c>
      <c r="O156" s="4">
        <v>-0.25</v>
      </c>
      <c r="P156" s="5">
        <v>0.046</v>
      </c>
    </row>
    <row r="157" spans="1:16">
      <c r="A157" s="22" t="s">
        <v>234</v>
      </c>
      <c r="B157" s="23" t="s">
        <v>231</v>
      </c>
      <c r="C157" s="4" t="s">
        <v>211</v>
      </c>
      <c r="D157" s="23" t="s">
        <v>77</v>
      </c>
      <c r="E157" s="4">
        <v>2278</v>
      </c>
      <c r="F157" s="4">
        <v>1134</v>
      </c>
      <c r="G157" s="4">
        <v>30</v>
      </c>
      <c r="H157" s="4">
        <v>31.5</v>
      </c>
      <c r="I157" s="4">
        <v>570</v>
      </c>
      <c r="J157" s="4">
        <v>51.1</v>
      </c>
      <c r="K157" s="4">
        <v>42.4</v>
      </c>
      <c r="L157" s="4">
        <v>14.23</v>
      </c>
      <c r="M157" s="4">
        <v>13.45</v>
      </c>
      <c r="N157" s="4">
        <v>-0.3</v>
      </c>
      <c r="O157" s="4">
        <v>-0.25</v>
      </c>
      <c r="P157" s="5">
        <v>0.046</v>
      </c>
    </row>
    <row r="158" spans="1:16">
      <c r="A158" s="22" t="s">
        <v>235</v>
      </c>
      <c r="B158" s="23" t="s">
        <v>231</v>
      </c>
      <c r="C158" s="4" t="s">
        <v>211</v>
      </c>
      <c r="D158" s="23" t="s">
        <v>77</v>
      </c>
      <c r="E158" s="4">
        <v>2278</v>
      </c>
      <c r="F158" s="4">
        <v>1134</v>
      </c>
      <c r="G158" s="4">
        <v>30</v>
      </c>
      <c r="H158" s="4">
        <v>31.5</v>
      </c>
      <c r="I158" s="4">
        <v>575</v>
      </c>
      <c r="J158" s="4">
        <v>51.3</v>
      </c>
      <c r="K158" s="4">
        <v>42.6</v>
      </c>
      <c r="L158" s="4">
        <v>14.29</v>
      </c>
      <c r="M158" s="4">
        <v>13.5</v>
      </c>
      <c r="N158" s="4">
        <v>-0.3</v>
      </c>
      <c r="O158" s="4">
        <v>-0.25</v>
      </c>
      <c r="P158" s="5">
        <v>0.046</v>
      </c>
    </row>
    <row r="178" spans="1:16">
      <c r="A178" s="30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2"/>
    </row>
    <row r="193" spans="1:16">
      <c r="A193" s="30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2"/>
    </row>
  </sheetData>
  <sheetProtection algorithmName="SHA-512" hashValue="JxB74jPqQk1D6CfMx6cPbTfop5Nh/InGVCpB2fLnhbETcC7suuJT58AZ4cHZLl6SB4u2FYQ3nDktenTtbs35fw==" saltValue="DOKxs2JNLl3ZK73vhJQs5A==" spinCount="100000" sheet="1" objects="1" scenarios="1"/>
  <autoFilter xmlns:etc="http://www.wps.cn/officeDocument/2017/etCustomData" ref="A1:P192" etc:filterBottomFollowUsedRange="0">
    <extLst/>
  </autoFilter>
  <sortState ref="A2:P153">
    <sortCondition ref="B153"/>
  </sortState>
  <pageMargins left="0.511811024" right="0.511811024" top="0.787401575" bottom="0.787401575" header="0.31496062" footer="0.31496062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A1:AE147"/>
  <sheetViews>
    <sheetView workbookViewId="0">
      <pane ySplit="2" topLeftCell="A132" activePane="bottomLeft" state="frozen"/>
      <selection/>
      <selection pane="bottomLeft" activeCell="E133" sqref="E133"/>
    </sheetView>
  </sheetViews>
  <sheetFormatPr defaultColWidth="9" defaultRowHeight="15"/>
  <cols>
    <col min="1" max="1" width="21.4285714285714" style="3" customWidth="1"/>
    <col min="2" max="2" width="14.8571428571429" style="4" customWidth="1"/>
    <col min="3" max="6" width="14.7142857142857" style="4" customWidth="1"/>
    <col min="7" max="7" width="20.5714285714286" style="4" customWidth="1"/>
    <col min="8" max="8" width="5.57142857142857" style="4" customWidth="1"/>
    <col min="9" max="9" width="8.14285714285714" style="4" customWidth="1"/>
    <col min="10" max="10" width="8.71428571428571" style="4" customWidth="1"/>
    <col min="11" max="12" width="5.14285714285714" style="4" customWidth="1"/>
    <col min="13" max="13" width="14.8571428571429" style="4" customWidth="1"/>
    <col min="14" max="14" width="14.5714285714286" style="4" customWidth="1"/>
    <col min="15" max="15" width="14.1428571428571" style="4" customWidth="1"/>
    <col min="16" max="16" width="15.2857142857143" style="4" customWidth="1"/>
    <col min="17" max="17" width="23.7142857142857" style="4" customWidth="1"/>
    <col min="18" max="18" width="24.5714285714286" style="4" customWidth="1"/>
    <col min="19" max="19" width="25.5714285714286" style="4" customWidth="1"/>
    <col min="20" max="20" width="25.4285714285714" style="4" customWidth="1"/>
    <col min="21" max="21" width="25.1428571428571" style="4" customWidth="1"/>
    <col min="22" max="22" width="24.4285714285714" style="4" customWidth="1"/>
    <col min="23" max="23" width="26" style="4" customWidth="1"/>
    <col min="24" max="24" width="23.5714285714286" style="4" customWidth="1"/>
    <col min="25" max="25" width="27.8571428571429" style="4" customWidth="1"/>
    <col min="26" max="26" width="23.1428571428571" style="4" customWidth="1"/>
    <col min="27" max="27" width="18.1428571428571" style="4" customWidth="1"/>
    <col min="28" max="28" width="16.2857142857143" style="4" customWidth="1"/>
    <col min="29" max="29" width="22.2857142857143" style="4" customWidth="1"/>
    <col min="30" max="30" width="24.4285714285714" style="4" customWidth="1"/>
    <col min="31" max="31" width="20.5714285714286" style="5" customWidth="1"/>
    <col min="32" max="16384" width="9" style="6"/>
  </cols>
  <sheetData>
    <row r="1" s="1" customFormat="1" ht="15.75" spans="1:31">
      <c r="A1" s="7" t="s">
        <v>236</v>
      </c>
      <c r="B1" s="8"/>
      <c r="C1" s="9" t="s">
        <v>237</v>
      </c>
      <c r="D1" s="10"/>
      <c r="E1" s="10"/>
      <c r="F1" s="8"/>
      <c r="G1" s="11"/>
      <c r="H1" s="9" t="s">
        <v>238</v>
      </c>
      <c r="I1" s="10"/>
      <c r="J1" s="10"/>
      <c r="K1" s="10"/>
      <c r="L1" s="8"/>
      <c r="M1" s="9" t="s">
        <v>239</v>
      </c>
      <c r="N1" s="8"/>
      <c r="O1" s="9" t="s">
        <v>240</v>
      </c>
      <c r="P1" s="10"/>
      <c r="Q1" s="10"/>
      <c r="R1" s="10"/>
      <c r="S1" s="10"/>
      <c r="T1" s="10"/>
      <c r="U1" s="10"/>
      <c r="V1" s="10"/>
      <c r="W1" s="10"/>
      <c r="X1" s="10"/>
      <c r="Y1" s="8"/>
      <c r="Z1" s="9" t="s">
        <v>241</v>
      </c>
      <c r="AA1" s="10"/>
      <c r="AB1" s="10"/>
      <c r="AC1" s="10"/>
      <c r="AD1" s="10"/>
      <c r="AE1" s="15"/>
    </row>
    <row r="2" s="2" customFormat="1" ht="42" customHeight="1" spans="1:31">
      <c r="A2" s="12" t="s">
        <v>7</v>
      </c>
      <c r="B2" s="13" t="s">
        <v>54</v>
      </c>
      <c r="C2" s="13" t="s">
        <v>57</v>
      </c>
      <c r="D2" s="13" t="s">
        <v>58</v>
      </c>
      <c r="E2" s="13" t="s">
        <v>59</v>
      </c>
      <c r="F2" s="13" t="s">
        <v>60</v>
      </c>
      <c r="G2" s="13" t="s">
        <v>242</v>
      </c>
      <c r="H2" s="13" t="s">
        <v>243</v>
      </c>
      <c r="I2" s="13" t="s">
        <v>244</v>
      </c>
      <c r="J2" s="13" t="s">
        <v>245</v>
      </c>
      <c r="K2" s="13" t="s">
        <v>246</v>
      </c>
      <c r="L2" s="13" t="s">
        <v>247</v>
      </c>
      <c r="M2" s="13" t="s">
        <v>248</v>
      </c>
      <c r="N2" s="14" t="s">
        <v>9</v>
      </c>
      <c r="O2" s="13" t="s">
        <v>249</v>
      </c>
      <c r="P2" s="13" t="s">
        <v>250</v>
      </c>
      <c r="Q2" s="13" t="s">
        <v>251</v>
      </c>
      <c r="R2" s="13" t="s">
        <v>252</v>
      </c>
      <c r="S2" s="13" t="s">
        <v>253</v>
      </c>
      <c r="T2" s="13" t="s">
        <v>254</v>
      </c>
      <c r="U2" s="13" t="s">
        <v>255</v>
      </c>
      <c r="V2" s="13" t="s">
        <v>256</v>
      </c>
      <c r="W2" s="13" t="s">
        <v>257</v>
      </c>
      <c r="X2" s="13" t="s">
        <v>258</v>
      </c>
      <c r="Y2" s="13" t="s">
        <v>259</v>
      </c>
      <c r="Z2" s="13" t="s">
        <v>260</v>
      </c>
      <c r="AA2" s="13" t="s">
        <v>261</v>
      </c>
      <c r="AB2" s="13" t="s">
        <v>262</v>
      </c>
      <c r="AC2" s="13" t="s">
        <v>263</v>
      </c>
      <c r="AD2" s="13" t="s">
        <v>264</v>
      </c>
      <c r="AE2" s="16" t="s">
        <v>265</v>
      </c>
    </row>
    <row r="3" spans="1:31">
      <c r="A3" s="3" t="s">
        <v>266</v>
      </c>
      <c r="B3" s="4" t="s">
        <v>267</v>
      </c>
      <c r="C3" s="4">
        <v>476.5</v>
      </c>
      <c r="D3" s="4">
        <v>402</v>
      </c>
      <c r="E3" s="4">
        <v>148</v>
      </c>
      <c r="F3" s="4">
        <v>15.5</v>
      </c>
      <c r="G3" s="4" t="s">
        <v>268</v>
      </c>
      <c r="H3" s="4" t="s">
        <v>269</v>
      </c>
      <c r="I3" s="4" t="s">
        <v>269</v>
      </c>
      <c r="J3" s="4" t="s">
        <v>269</v>
      </c>
      <c r="K3" s="4" t="s">
        <v>269</v>
      </c>
      <c r="L3" s="4" t="s">
        <v>270</v>
      </c>
      <c r="M3" s="4">
        <v>3000</v>
      </c>
      <c r="N3" s="4">
        <v>3300</v>
      </c>
      <c r="O3" s="4">
        <v>1</v>
      </c>
      <c r="P3" s="4">
        <v>2</v>
      </c>
      <c r="Q3" s="4">
        <v>600</v>
      </c>
      <c r="R3" s="4">
        <v>120</v>
      </c>
      <c r="S3" s="4">
        <v>600</v>
      </c>
      <c r="T3" s="4">
        <v>120</v>
      </c>
      <c r="U3" s="4">
        <v>600</v>
      </c>
      <c r="V3" s="4">
        <v>120</v>
      </c>
      <c r="W3" s="4">
        <v>360</v>
      </c>
      <c r="X3" s="4">
        <v>15</v>
      </c>
      <c r="Y3" s="4">
        <v>12.5</v>
      </c>
      <c r="Z3" s="4" t="s">
        <v>269</v>
      </c>
      <c r="AA3" s="4" t="s">
        <v>270</v>
      </c>
      <c r="AB3" s="4" t="s">
        <v>270</v>
      </c>
      <c r="AC3" s="4">
        <v>240</v>
      </c>
      <c r="AD3" s="4">
        <v>220</v>
      </c>
      <c r="AE3" s="5">
        <v>14.3</v>
      </c>
    </row>
    <row r="4" spans="1:31">
      <c r="A4" s="3" t="s">
        <v>271</v>
      </c>
      <c r="B4" s="4" t="s">
        <v>267</v>
      </c>
      <c r="C4" s="4">
        <v>476.5</v>
      </c>
      <c r="D4" s="4">
        <v>402</v>
      </c>
      <c r="E4" s="4">
        <v>148</v>
      </c>
      <c r="F4" s="4">
        <v>15.5</v>
      </c>
      <c r="G4" s="4" t="s">
        <v>268</v>
      </c>
      <c r="H4" s="4" t="s">
        <v>269</v>
      </c>
      <c r="I4" s="4" t="s">
        <v>269</v>
      </c>
      <c r="J4" s="4" t="s">
        <v>269</v>
      </c>
      <c r="K4" s="4" t="s">
        <v>269</v>
      </c>
      <c r="L4" s="4" t="s">
        <v>270</v>
      </c>
      <c r="M4" s="4">
        <v>3600</v>
      </c>
      <c r="N4" s="4">
        <v>3960</v>
      </c>
      <c r="O4" s="4">
        <v>1</v>
      </c>
      <c r="P4" s="4">
        <v>2</v>
      </c>
      <c r="Q4" s="4">
        <v>600</v>
      </c>
      <c r="R4" s="4">
        <v>120</v>
      </c>
      <c r="S4" s="4">
        <v>600</v>
      </c>
      <c r="T4" s="4">
        <v>120</v>
      </c>
      <c r="U4" s="4">
        <v>600</v>
      </c>
      <c r="V4" s="4">
        <v>120</v>
      </c>
      <c r="W4" s="4">
        <v>360</v>
      </c>
      <c r="X4" s="4">
        <v>15</v>
      </c>
      <c r="Y4" s="4">
        <v>12.5</v>
      </c>
      <c r="Z4" s="4" t="s">
        <v>269</v>
      </c>
      <c r="AA4" s="4" t="s">
        <v>270</v>
      </c>
      <c r="AB4" s="4" t="s">
        <v>270</v>
      </c>
      <c r="AC4" s="4">
        <v>240</v>
      </c>
      <c r="AD4" s="4">
        <v>220</v>
      </c>
      <c r="AE4" s="5">
        <v>17.2</v>
      </c>
    </row>
    <row r="5" spans="1:31">
      <c r="A5" s="3" t="s">
        <v>272</v>
      </c>
      <c r="B5" s="4" t="s">
        <v>267</v>
      </c>
      <c r="C5" s="4">
        <v>476.5</v>
      </c>
      <c r="D5" s="4">
        <v>402</v>
      </c>
      <c r="E5" s="4">
        <v>148</v>
      </c>
      <c r="F5" s="4">
        <v>15.5</v>
      </c>
      <c r="G5" s="4" t="s">
        <v>268</v>
      </c>
      <c r="H5" s="4" t="s">
        <v>269</v>
      </c>
      <c r="I5" s="4" t="s">
        <v>269</v>
      </c>
      <c r="J5" s="4" t="s">
        <v>269</v>
      </c>
      <c r="K5" s="4" t="s">
        <v>269</v>
      </c>
      <c r="L5" s="4" t="s">
        <v>270</v>
      </c>
      <c r="M5" s="4">
        <v>4600</v>
      </c>
      <c r="N5" s="4">
        <v>5060</v>
      </c>
      <c r="O5" s="4">
        <v>1</v>
      </c>
      <c r="P5" s="4">
        <v>2</v>
      </c>
      <c r="Q5" s="4">
        <v>600</v>
      </c>
      <c r="R5" s="4">
        <v>120</v>
      </c>
      <c r="S5" s="4">
        <v>600</v>
      </c>
      <c r="T5" s="4">
        <v>120</v>
      </c>
      <c r="U5" s="4">
        <v>600</v>
      </c>
      <c r="V5" s="4">
        <v>120</v>
      </c>
      <c r="W5" s="4">
        <v>360</v>
      </c>
      <c r="X5" s="4">
        <v>15</v>
      </c>
      <c r="Y5" s="4">
        <v>12.5</v>
      </c>
      <c r="Z5" s="4" t="s">
        <v>269</v>
      </c>
      <c r="AA5" s="4" t="s">
        <v>270</v>
      </c>
      <c r="AB5" s="4" t="s">
        <v>270</v>
      </c>
      <c r="AC5" s="4">
        <v>240</v>
      </c>
      <c r="AD5" s="4">
        <v>220</v>
      </c>
      <c r="AE5" s="5">
        <v>22</v>
      </c>
    </row>
    <row r="6" spans="1:31">
      <c r="A6" s="3" t="s">
        <v>273</v>
      </c>
      <c r="B6" s="4" t="s">
        <v>267</v>
      </c>
      <c r="C6" s="4">
        <v>476.5</v>
      </c>
      <c r="D6" s="4">
        <v>402</v>
      </c>
      <c r="E6" s="4">
        <v>148</v>
      </c>
      <c r="F6" s="4">
        <v>15.5</v>
      </c>
      <c r="G6" s="4" t="s">
        <v>268</v>
      </c>
      <c r="H6" s="4" t="s">
        <v>269</v>
      </c>
      <c r="I6" s="4" t="s">
        <v>269</v>
      </c>
      <c r="J6" s="4" t="s">
        <v>269</v>
      </c>
      <c r="K6" s="4" t="s">
        <v>269</v>
      </c>
      <c r="L6" s="4" t="s">
        <v>270</v>
      </c>
      <c r="M6" s="4">
        <v>5000</v>
      </c>
      <c r="N6" s="4">
        <v>5500</v>
      </c>
      <c r="O6" s="4">
        <v>1</v>
      </c>
      <c r="P6" s="4">
        <v>2</v>
      </c>
      <c r="Q6" s="4">
        <v>600</v>
      </c>
      <c r="R6" s="4">
        <v>120</v>
      </c>
      <c r="S6" s="4">
        <v>600</v>
      </c>
      <c r="T6" s="4">
        <v>120</v>
      </c>
      <c r="U6" s="4">
        <v>600</v>
      </c>
      <c r="V6" s="4">
        <v>120</v>
      </c>
      <c r="W6" s="4">
        <v>360</v>
      </c>
      <c r="X6" s="4">
        <v>15</v>
      </c>
      <c r="Y6" s="4">
        <v>12.5</v>
      </c>
      <c r="Z6" s="4" t="s">
        <v>269</v>
      </c>
      <c r="AA6" s="4" t="s">
        <v>270</v>
      </c>
      <c r="AB6" s="4" t="s">
        <v>270</v>
      </c>
      <c r="AC6" s="4">
        <v>240</v>
      </c>
      <c r="AD6" s="4">
        <v>220</v>
      </c>
      <c r="AE6" s="5">
        <v>23.9</v>
      </c>
    </row>
    <row r="7" spans="1:31">
      <c r="A7" s="3" t="s">
        <v>274</v>
      </c>
      <c r="B7" s="4" t="s">
        <v>267</v>
      </c>
      <c r="C7" s="4">
        <v>476.5</v>
      </c>
      <c r="D7" s="4">
        <v>402</v>
      </c>
      <c r="E7" s="4">
        <v>148</v>
      </c>
      <c r="F7" s="4">
        <v>15.5</v>
      </c>
      <c r="G7" s="4" t="s">
        <v>268</v>
      </c>
      <c r="H7" s="4" t="s">
        <v>269</v>
      </c>
      <c r="I7" s="4" t="s">
        <v>269</v>
      </c>
      <c r="J7" s="4" t="s">
        <v>269</v>
      </c>
      <c r="K7" s="4" t="s">
        <v>269</v>
      </c>
      <c r="L7" s="4" t="s">
        <v>270</v>
      </c>
      <c r="M7" s="4">
        <v>5300</v>
      </c>
      <c r="N7" s="4">
        <v>5830</v>
      </c>
      <c r="O7" s="4">
        <v>1</v>
      </c>
      <c r="P7" s="4">
        <v>2</v>
      </c>
      <c r="Q7" s="4">
        <v>600</v>
      </c>
      <c r="R7" s="4">
        <v>120</v>
      </c>
      <c r="S7" s="4">
        <v>600</v>
      </c>
      <c r="T7" s="4">
        <v>120</v>
      </c>
      <c r="U7" s="4">
        <v>600</v>
      </c>
      <c r="V7" s="4">
        <v>120</v>
      </c>
      <c r="W7" s="4">
        <v>360</v>
      </c>
      <c r="X7" s="4">
        <v>15</v>
      </c>
      <c r="Y7" s="4">
        <v>12.5</v>
      </c>
      <c r="Z7" s="4" t="s">
        <v>269</v>
      </c>
      <c r="AA7" s="4" t="s">
        <v>270</v>
      </c>
      <c r="AB7" s="4" t="s">
        <v>270</v>
      </c>
      <c r="AC7" s="4">
        <v>240</v>
      </c>
      <c r="AD7" s="4">
        <v>220</v>
      </c>
      <c r="AE7" s="5">
        <v>25.3</v>
      </c>
    </row>
    <row r="8" spans="1:31">
      <c r="A8" s="3" t="s">
        <v>275</v>
      </c>
      <c r="B8" s="4" t="s">
        <v>267</v>
      </c>
      <c r="C8" s="4">
        <v>476.5</v>
      </c>
      <c r="D8" s="4">
        <v>402</v>
      </c>
      <c r="E8" s="4">
        <v>148</v>
      </c>
      <c r="F8" s="4">
        <v>15.5</v>
      </c>
      <c r="G8" s="4" t="s">
        <v>268</v>
      </c>
      <c r="H8" s="4" t="s">
        <v>269</v>
      </c>
      <c r="I8" s="4" t="s">
        <v>269</v>
      </c>
      <c r="J8" s="4" t="s">
        <v>269</v>
      </c>
      <c r="K8" s="4" t="s">
        <v>269</v>
      </c>
      <c r="L8" s="4" t="s">
        <v>270</v>
      </c>
      <c r="M8" s="4">
        <v>6000</v>
      </c>
      <c r="N8" s="4">
        <v>6000</v>
      </c>
      <c r="O8" s="4">
        <v>1</v>
      </c>
      <c r="P8" s="4">
        <v>2</v>
      </c>
      <c r="Q8" s="4">
        <v>600</v>
      </c>
      <c r="R8" s="4">
        <v>120</v>
      </c>
      <c r="S8" s="4">
        <v>600</v>
      </c>
      <c r="T8" s="4">
        <v>120</v>
      </c>
      <c r="U8" s="4">
        <v>600</v>
      </c>
      <c r="V8" s="4">
        <v>120</v>
      </c>
      <c r="W8" s="4">
        <v>360</v>
      </c>
      <c r="X8" s="4">
        <v>15</v>
      </c>
      <c r="Y8" s="4">
        <v>12.5</v>
      </c>
      <c r="Z8" s="4" t="s">
        <v>269</v>
      </c>
      <c r="AA8" s="4" t="s">
        <v>270</v>
      </c>
      <c r="AB8" s="4" t="s">
        <v>270</v>
      </c>
      <c r="AC8" s="4">
        <v>240</v>
      </c>
      <c r="AD8" s="4">
        <v>220</v>
      </c>
      <c r="AE8" s="5">
        <v>26.1</v>
      </c>
    </row>
    <row r="9" spans="1:31">
      <c r="A9" s="3" t="s">
        <v>276</v>
      </c>
      <c r="B9" s="4" t="s">
        <v>267</v>
      </c>
      <c r="C9" s="4">
        <v>290</v>
      </c>
      <c r="D9" s="4">
        <v>220</v>
      </c>
      <c r="E9" s="4">
        <v>116</v>
      </c>
      <c r="F9" s="4">
        <v>5.4</v>
      </c>
      <c r="G9" s="4" t="s">
        <v>268</v>
      </c>
      <c r="H9" s="4" t="s">
        <v>269</v>
      </c>
      <c r="I9" s="4" t="s">
        <v>269</v>
      </c>
      <c r="J9" s="4" t="s">
        <v>269</v>
      </c>
      <c r="K9" s="4" t="s">
        <v>269</v>
      </c>
      <c r="L9" s="4" t="s">
        <v>270</v>
      </c>
      <c r="M9" s="4">
        <v>3000</v>
      </c>
      <c r="N9" s="4">
        <v>3000</v>
      </c>
      <c r="O9" s="4">
        <v>1</v>
      </c>
      <c r="P9" s="4">
        <v>1</v>
      </c>
      <c r="Q9" s="4">
        <v>500</v>
      </c>
      <c r="R9" s="4">
        <v>60</v>
      </c>
      <c r="S9" s="4">
        <v>480</v>
      </c>
      <c r="T9" s="4">
        <v>50</v>
      </c>
      <c r="U9" s="4">
        <v>480</v>
      </c>
      <c r="V9" s="4">
        <v>50</v>
      </c>
      <c r="W9" s="4">
        <v>360</v>
      </c>
      <c r="X9" s="4">
        <v>18</v>
      </c>
      <c r="Y9" s="4">
        <v>14</v>
      </c>
      <c r="Z9" s="4" t="s">
        <v>269</v>
      </c>
      <c r="AA9" s="4" t="s">
        <v>270</v>
      </c>
      <c r="AB9" s="4" t="s">
        <v>270</v>
      </c>
      <c r="AC9" s="4">
        <v>240</v>
      </c>
      <c r="AD9" s="4">
        <v>220</v>
      </c>
      <c r="AE9" s="5">
        <v>14.3</v>
      </c>
    </row>
    <row r="10" spans="1:31">
      <c r="A10" s="3" t="s">
        <v>277</v>
      </c>
      <c r="B10" s="4" t="s">
        <v>267</v>
      </c>
      <c r="C10" s="4">
        <v>480</v>
      </c>
      <c r="D10" s="4">
        <v>370</v>
      </c>
      <c r="E10" s="4">
        <v>183.5</v>
      </c>
      <c r="F10" s="4">
        <v>17</v>
      </c>
      <c r="G10" s="4" t="s">
        <v>268</v>
      </c>
      <c r="H10" s="4" t="s">
        <v>269</v>
      </c>
      <c r="I10" s="4" t="s">
        <v>269</v>
      </c>
      <c r="J10" s="4" t="s">
        <v>269</v>
      </c>
      <c r="K10" s="4" t="s">
        <v>269</v>
      </c>
      <c r="L10" s="4" t="s">
        <v>270</v>
      </c>
      <c r="M10" s="4">
        <v>3000</v>
      </c>
      <c r="N10" s="4">
        <v>3000</v>
      </c>
      <c r="O10" s="4">
        <v>1</v>
      </c>
      <c r="P10" s="4">
        <v>2</v>
      </c>
      <c r="Q10" s="4">
        <v>1100</v>
      </c>
      <c r="R10" s="4">
        <v>140</v>
      </c>
      <c r="S10" s="4">
        <v>1000</v>
      </c>
      <c r="T10" s="4">
        <v>140</v>
      </c>
      <c r="U10" s="4">
        <v>850</v>
      </c>
      <c r="V10" s="4">
        <v>140</v>
      </c>
      <c r="W10" s="4">
        <v>600</v>
      </c>
      <c r="X10" s="4">
        <v>18.2</v>
      </c>
      <c r="Y10" s="4">
        <v>14</v>
      </c>
      <c r="Z10" s="4" t="s">
        <v>270</v>
      </c>
      <c r="AA10" s="4" t="s">
        <v>270</v>
      </c>
      <c r="AB10" s="4" t="s">
        <v>269</v>
      </c>
      <c r="AC10" s="4" t="s">
        <v>278</v>
      </c>
      <c r="AD10" s="4">
        <v>220</v>
      </c>
      <c r="AE10" s="5">
        <v>4.8</v>
      </c>
    </row>
    <row r="11" spans="1:31">
      <c r="A11" s="3" t="s">
        <v>279</v>
      </c>
      <c r="B11" s="4" t="s">
        <v>267</v>
      </c>
      <c r="C11" s="4">
        <v>480</v>
      </c>
      <c r="D11" s="4">
        <v>370</v>
      </c>
      <c r="E11" s="4">
        <v>183.5</v>
      </c>
      <c r="F11" s="4">
        <v>17</v>
      </c>
      <c r="G11" s="4" t="s">
        <v>268</v>
      </c>
      <c r="H11" s="4" t="s">
        <v>269</v>
      </c>
      <c r="I11" s="4" t="s">
        <v>269</v>
      </c>
      <c r="J11" s="4" t="s">
        <v>269</v>
      </c>
      <c r="K11" s="4" t="s">
        <v>269</v>
      </c>
      <c r="L11" s="4" t="s">
        <v>270</v>
      </c>
      <c r="M11" s="4">
        <v>4000</v>
      </c>
      <c r="N11" s="4">
        <v>4000</v>
      </c>
      <c r="O11" s="4">
        <v>1</v>
      </c>
      <c r="P11" s="4">
        <v>2</v>
      </c>
      <c r="Q11" s="4">
        <v>1100</v>
      </c>
      <c r="R11" s="4">
        <v>140</v>
      </c>
      <c r="S11" s="4">
        <v>1000</v>
      </c>
      <c r="T11" s="4">
        <v>140</v>
      </c>
      <c r="U11" s="4">
        <v>850</v>
      </c>
      <c r="V11" s="4">
        <v>155</v>
      </c>
      <c r="W11" s="4">
        <v>600</v>
      </c>
      <c r="X11" s="4">
        <v>18.2</v>
      </c>
      <c r="Y11" s="4">
        <v>14</v>
      </c>
      <c r="Z11" s="4" t="s">
        <v>270</v>
      </c>
      <c r="AA11" s="4" t="s">
        <v>270</v>
      </c>
      <c r="AB11" s="4" t="s">
        <v>269</v>
      </c>
      <c r="AC11" s="4">
        <v>240</v>
      </c>
      <c r="AD11" s="4">
        <v>240</v>
      </c>
      <c r="AE11" s="5">
        <v>6.4</v>
      </c>
    </row>
    <row r="12" spans="1:31">
      <c r="A12" s="3" t="s">
        <v>280</v>
      </c>
      <c r="B12" s="4" t="s">
        <v>267</v>
      </c>
      <c r="C12" s="4">
        <v>480</v>
      </c>
      <c r="D12" s="4">
        <v>370</v>
      </c>
      <c r="E12" s="4">
        <v>183.5</v>
      </c>
      <c r="F12" s="4">
        <v>17</v>
      </c>
      <c r="G12" s="4" t="s">
        <v>268</v>
      </c>
      <c r="H12" s="4" t="s">
        <v>269</v>
      </c>
      <c r="I12" s="4" t="s">
        <v>269</v>
      </c>
      <c r="J12" s="4" t="s">
        <v>269</v>
      </c>
      <c r="K12" s="4" t="s">
        <v>269</v>
      </c>
      <c r="L12" s="4" t="s">
        <v>270</v>
      </c>
      <c r="M12" s="4">
        <v>5000</v>
      </c>
      <c r="N12" s="4">
        <v>5000</v>
      </c>
      <c r="O12" s="4">
        <v>1</v>
      </c>
      <c r="P12" s="4">
        <v>2</v>
      </c>
      <c r="Q12" s="4">
        <v>1100</v>
      </c>
      <c r="R12" s="4">
        <v>140</v>
      </c>
      <c r="S12" s="4">
        <v>1000</v>
      </c>
      <c r="T12" s="4">
        <v>140</v>
      </c>
      <c r="U12" s="4">
        <v>850</v>
      </c>
      <c r="V12" s="4">
        <v>190</v>
      </c>
      <c r="W12" s="4">
        <v>600</v>
      </c>
      <c r="X12" s="4">
        <v>18.2</v>
      </c>
      <c r="Y12" s="4">
        <v>14</v>
      </c>
      <c r="Z12" s="4" t="s">
        <v>270</v>
      </c>
      <c r="AA12" s="4" t="s">
        <v>270</v>
      </c>
      <c r="AB12" s="4" t="s">
        <v>269</v>
      </c>
      <c r="AC12" s="4">
        <v>240</v>
      </c>
      <c r="AD12" s="4">
        <v>240</v>
      </c>
      <c r="AE12" s="5">
        <v>8</v>
      </c>
    </row>
    <row r="13" spans="1:31">
      <c r="A13" s="3" t="s">
        <v>281</v>
      </c>
      <c r="B13" s="4" t="s">
        <v>267</v>
      </c>
      <c r="C13" s="4">
        <v>480</v>
      </c>
      <c r="D13" s="4">
        <v>370</v>
      </c>
      <c r="E13" s="4">
        <v>183.5</v>
      </c>
      <c r="F13" s="4">
        <v>17</v>
      </c>
      <c r="G13" s="4" t="s">
        <v>268</v>
      </c>
      <c r="H13" s="4" t="s">
        <v>269</v>
      </c>
      <c r="I13" s="4" t="s">
        <v>269</v>
      </c>
      <c r="J13" s="4" t="s">
        <v>269</v>
      </c>
      <c r="K13" s="4" t="s">
        <v>269</v>
      </c>
      <c r="L13" s="4" t="s">
        <v>270</v>
      </c>
      <c r="M13" s="4">
        <v>6000</v>
      </c>
      <c r="N13" s="4">
        <v>6000</v>
      </c>
      <c r="O13" s="4">
        <v>1</v>
      </c>
      <c r="P13" s="4">
        <v>2</v>
      </c>
      <c r="Q13" s="4">
        <v>1100</v>
      </c>
      <c r="R13" s="4">
        <v>140</v>
      </c>
      <c r="S13" s="4">
        <v>1000</v>
      </c>
      <c r="T13" s="4">
        <v>140</v>
      </c>
      <c r="U13" s="4">
        <v>850</v>
      </c>
      <c r="V13" s="4">
        <v>230</v>
      </c>
      <c r="W13" s="4">
        <v>600</v>
      </c>
      <c r="X13" s="4">
        <v>18.2</v>
      </c>
      <c r="Y13" s="4">
        <v>14</v>
      </c>
      <c r="Z13" s="4" t="s">
        <v>270</v>
      </c>
      <c r="AA13" s="4" t="s">
        <v>270</v>
      </c>
      <c r="AB13" s="4" t="s">
        <v>269</v>
      </c>
      <c r="AC13" s="4">
        <v>240</v>
      </c>
      <c r="AD13" s="4">
        <v>240</v>
      </c>
      <c r="AE13" s="5">
        <v>9.6</v>
      </c>
    </row>
    <row r="14" spans="1:31">
      <c r="A14" s="3" t="s">
        <v>282</v>
      </c>
      <c r="B14" s="4" t="s">
        <v>267</v>
      </c>
      <c r="C14" s="4">
        <v>480</v>
      </c>
      <c r="D14" s="4">
        <v>370</v>
      </c>
      <c r="E14" s="4">
        <v>183.5</v>
      </c>
      <c r="F14" s="4">
        <v>17</v>
      </c>
      <c r="G14" s="4" t="s">
        <v>268</v>
      </c>
      <c r="H14" s="4" t="s">
        <v>269</v>
      </c>
      <c r="I14" s="4" t="s">
        <v>269</v>
      </c>
      <c r="J14" s="4" t="s">
        <v>269</v>
      </c>
      <c r="K14" s="4" t="s">
        <v>269</v>
      </c>
      <c r="L14" s="4" t="s">
        <v>270</v>
      </c>
      <c r="M14" s="4">
        <v>8000</v>
      </c>
      <c r="N14" s="4">
        <v>8000</v>
      </c>
      <c r="O14" s="4">
        <v>1</v>
      </c>
      <c r="P14" s="4">
        <v>2</v>
      </c>
      <c r="Q14" s="4">
        <v>1100</v>
      </c>
      <c r="R14" s="4">
        <v>140</v>
      </c>
      <c r="S14" s="4">
        <v>1000</v>
      </c>
      <c r="T14" s="4">
        <v>140</v>
      </c>
      <c r="U14" s="4">
        <v>850</v>
      </c>
      <c r="V14" s="4">
        <v>300</v>
      </c>
      <c r="W14" s="4">
        <v>600</v>
      </c>
      <c r="X14" s="4">
        <v>18.2</v>
      </c>
      <c r="Y14" s="4">
        <v>14</v>
      </c>
      <c r="Z14" s="4" t="s">
        <v>270</v>
      </c>
      <c r="AA14" s="4" t="s">
        <v>270</v>
      </c>
      <c r="AB14" s="4" t="s">
        <v>269</v>
      </c>
      <c r="AC14" s="4">
        <v>240</v>
      </c>
      <c r="AD14" s="4">
        <v>240</v>
      </c>
      <c r="AE14" s="5">
        <v>12.8</v>
      </c>
    </row>
    <row r="15" spans="1:31">
      <c r="A15" s="3" t="s">
        <v>283</v>
      </c>
      <c r="B15" s="4" t="s">
        <v>267</v>
      </c>
      <c r="C15" s="4">
        <v>475</v>
      </c>
      <c r="D15" s="4">
        <v>384</v>
      </c>
      <c r="E15" s="4">
        <v>186</v>
      </c>
      <c r="F15" s="4">
        <v>20</v>
      </c>
      <c r="G15" s="4" t="s">
        <v>268</v>
      </c>
      <c r="H15" s="4" t="s">
        <v>269</v>
      </c>
      <c r="I15" s="4" t="s">
        <v>269</v>
      </c>
      <c r="J15" s="4" t="s">
        <v>269</v>
      </c>
      <c r="K15" s="4" t="s">
        <v>269</v>
      </c>
      <c r="L15" s="4" t="s">
        <v>270</v>
      </c>
      <c r="M15" s="4">
        <v>8000</v>
      </c>
      <c r="N15" s="4">
        <v>8800</v>
      </c>
      <c r="O15" s="4">
        <v>2</v>
      </c>
      <c r="P15" s="4">
        <v>2</v>
      </c>
      <c r="Q15" s="4">
        <v>1100</v>
      </c>
      <c r="R15" s="4">
        <v>180</v>
      </c>
      <c r="S15" s="4">
        <v>850</v>
      </c>
      <c r="T15" s="4">
        <v>160</v>
      </c>
      <c r="U15" s="4">
        <v>850</v>
      </c>
      <c r="V15" s="4">
        <v>160</v>
      </c>
      <c r="W15" s="4">
        <v>600</v>
      </c>
      <c r="X15" s="4">
        <v>32.5</v>
      </c>
      <c r="Y15" s="4">
        <v>25</v>
      </c>
      <c r="Z15" s="4" t="s">
        <v>270</v>
      </c>
      <c r="AA15" s="4" t="s">
        <v>270</v>
      </c>
      <c r="AB15" s="4" t="s">
        <v>269</v>
      </c>
      <c r="AC15" s="4">
        <v>400</v>
      </c>
      <c r="AD15" s="4">
        <v>240</v>
      </c>
      <c r="AE15" s="5">
        <v>12.8</v>
      </c>
    </row>
    <row r="16" spans="1:31">
      <c r="A16" s="3" t="s">
        <v>284</v>
      </c>
      <c r="B16" s="4" t="s">
        <v>267</v>
      </c>
      <c r="C16" s="4">
        <v>480</v>
      </c>
      <c r="D16" s="4">
        <v>370</v>
      </c>
      <c r="E16" s="4">
        <v>183.5</v>
      </c>
      <c r="F16" s="4">
        <v>17</v>
      </c>
      <c r="G16" s="4" t="s">
        <v>268</v>
      </c>
      <c r="H16" s="4" t="s">
        <v>269</v>
      </c>
      <c r="I16" s="4" t="s">
        <v>269</v>
      </c>
      <c r="J16" s="4" t="s">
        <v>269</v>
      </c>
      <c r="K16" s="4" t="s">
        <v>269</v>
      </c>
      <c r="L16" s="4" t="s">
        <v>270</v>
      </c>
      <c r="M16" s="4">
        <v>10000</v>
      </c>
      <c r="N16" s="4">
        <v>10000</v>
      </c>
      <c r="O16" s="4">
        <v>1</v>
      </c>
      <c r="P16" s="4">
        <v>2</v>
      </c>
      <c r="Q16" s="4">
        <v>1100</v>
      </c>
      <c r="R16" s="4">
        <v>140</v>
      </c>
      <c r="S16" s="4">
        <v>1000</v>
      </c>
      <c r="T16" s="4">
        <v>140</v>
      </c>
      <c r="U16" s="4">
        <v>850</v>
      </c>
      <c r="V16" s="4">
        <v>380</v>
      </c>
      <c r="W16" s="4">
        <v>600</v>
      </c>
      <c r="X16" s="4">
        <v>18.2</v>
      </c>
      <c r="Y16" s="4">
        <v>14</v>
      </c>
      <c r="Z16" s="4" t="s">
        <v>270</v>
      </c>
      <c r="AA16" s="4" t="s">
        <v>270</v>
      </c>
      <c r="AB16" s="4" t="s">
        <v>269</v>
      </c>
      <c r="AC16" s="4">
        <v>240</v>
      </c>
      <c r="AD16" s="4">
        <v>240</v>
      </c>
      <c r="AE16" s="5">
        <v>15.9</v>
      </c>
    </row>
    <row r="17" spans="1:31">
      <c r="A17" s="3" t="s">
        <v>285</v>
      </c>
      <c r="B17" s="4" t="s">
        <v>267</v>
      </c>
      <c r="C17" s="4">
        <v>475</v>
      </c>
      <c r="D17" s="4">
        <v>384</v>
      </c>
      <c r="E17" s="4">
        <v>186</v>
      </c>
      <c r="F17" s="4">
        <v>20</v>
      </c>
      <c r="G17" s="4" t="s">
        <v>268</v>
      </c>
      <c r="H17" s="4" t="s">
        <v>269</v>
      </c>
      <c r="I17" s="4" t="s">
        <v>269</v>
      </c>
      <c r="J17" s="4" t="s">
        <v>269</v>
      </c>
      <c r="K17" s="4" t="s">
        <v>269</v>
      </c>
      <c r="L17" s="4" t="s">
        <v>270</v>
      </c>
      <c r="M17" s="4">
        <v>10000</v>
      </c>
      <c r="N17" s="4">
        <v>11000</v>
      </c>
      <c r="O17" s="4">
        <v>2</v>
      </c>
      <c r="P17" s="4">
        <v>2</v>
      </c>
      <c r="Q17" s="4">
        <v>1100</v>
      </c>
      <c r="R17" s="4">
        <v>180</v>
      </c>
      <c r="S17" s="4">
        <v>850</v>
      </c>
      <c r="T17" s="4">
        <v>160</v>
      </c>
      <c r="U17" s="4">
        <v>850</v>
      </c>
      <c r="V17" s="4">
        <v>200</v>
      </c>
      <c r="W17" s="4">
        <v>600</v>
      </c>
      <c r="X17" s="4">
        <v>32.5</v>
      </c>
      <c r="Y17" s="4">
        <v>25</v>
      </c>
      <c r="Z17" s="4" t="s">
        <v>270</v>
      </c>
      <c r="AA17" s="4" t="s">
        <v>270</v>
      </c>
      <c r="AB17" s="4" t="s">
        <v>269</v>
      </c>
      <c r="AC17" s="4">
        <v>400</v>
      </c>
      <c r="AD17" s="4">
        <v>240</v>
      </c>
      <c r="AE17" s="5">
        <v>15.9</v>
      </c>
    </row>
    <row r="18" spans="1:31">
      <c r="A18" s="3" t="s">
        <v>286</v>
      </c>
      <c r="B18" s="4" t="s">
        <v>267</v>
      </c>
      <c r="C18" s="4">
        <v>480</v>
      </c>
      <c r="D18" s="4">
        <v>370</v>
      </c>
      <c r="E18" s="4">
        <v>183.5</v>
      </c>
      <c r="F18" s="4">
        <v>21</v>
      </c>
      <c r="G18" s="4" t="s">
        <v>268</v>
      </c>
      <c r="H18" s="4" t="s">
        <v>269</v>
      </c>
      <c r="I18" s="4" t="s">
        <v>269</v>
      </c>
      <c r="J18" s="4" t="s">
        <v>269</v>
      </c>
      <c r="K18" s="4" t="s">
        <v>269</v>
      </c>
      <c r="L18" s="4" t="s">
        <v>270</v>
      </c>
      <c r="M18" s="4">
        <v>12000</v>
      </c>
      <c r="N18" s="4">
        <v>12000</v>
      </c>
      <c r="O18" s="4">
        <v>1</v>
      </c>
      <c r="P18" s="4">
        <v>2</v>
      </c>
      <c r="Q18" s="4">
        <v>1100</v>
      </c>
      <c r="R18" s="4">
        <v>140</v>
      </c>
      <c r="S18" s="4">
        <v>1000</v>
      </c>
      <c r="T18" s="4">
        <v>140</v>
      </c>
      <c r="U18" s="4">
        <v>850</v>
      </c>
      <c r="V18" s="4">
        <v>455</v>
      </c>
      <c r="W18" s="4">
        <v>600</v>
      </c>
      <c r="X18" s="4">
        <v>18.2</v>
      </c>
      <c r="Y18" s="4">
        <v>14</v>
      </c>
      <c r="Z18" s="4" t="s">
        <v>270</v>
      </c>
      <c r="AA18" s="4" t="s">
        <v>270</v>
      </c>
      <c r="AB18" s="4" t="s">
        <v>269</v>
      </c>
      <c r="AC18" s="4">
        <v>240</v>
      </c>
      <c r="AD18" s="4">
        <v>240</v>
      </c>
      <c r="AE18" s="5">
        <v>19.1</v>
      </c>
    </row>
    <row r="19" spans="1:31">
      <c r="A19" s="3" t="s">
        <v>287</v>
      </c>
      <c r="B19" s="4" t="s">
        <v>267</v>
      </c>
      <c r="C19" s="4">
        <v>475</v>
      </c>
      <c r="D19" s="4">
        <v>384</v>
      </c>
      <c r="E19" s="4">
        <v>186</v>
      </c>
      <c r="F19" s="4">
        <v>20</v>
      </c>
      <c r="G19" s="4" t="s">
        <v>268</v>
      </c>
      <c r="H19" s="4" t="s">
        <v>269</v>
      </c>
      <c r="I19" s="4" t="s">
        <v>269</v>
      </c>
      <c r="J19" s="4" t="s">
        <v>269</v>
      </c>
      <c r="K19" s="4" t="s">
        <v>269</v>
      </c>
      <c r="L19" s="4" t="s">
        <v>270</v>
      </c>
      <c r="M19" s="4">
        <v>12000</v>
      </c>
      <c r="N19" s="4">
        <v>13200</v>
      </c>
      <c r="O19" s="4">
        <v>2</v>
      </c>
      <c r="P19" s="4">
        <v>2</v>
      </c>
      <c r="Q19" s="4">
        <v>1100</v>
      </c>
      <c r="R19" s="4">
        <v>180</v>
      </c>
      <c r="S19" s="4">
        <v>850</v>
      </c>
      <c r="T19" s="4">
        <v>160</v>
      </c>
      <c r="U19" s="4">
        <v>850</v>
      </c>
      <c r="V19" s="4">
        <v>240</v>
      </c>
      <c r="W19" s="4">
        <v>600</v>
      </c>
      <c r="X19" s="4">
        <v>32.5</v>
      </c>
      <c r="Y19" s="4">
        <v>25</v>
      </c>
      <c r="Z19" s="4" t="s">
        <v>270</v>
      </c>
      <c r="AA19" s="4" t="s">
        <v>270</v>
      </c>
      <c r="AB19" s="4" t="s">
        <v>269</v>
      </c>
      <c r="AC19" s="4">
        <v>400</v>
      </c>
      <c r="AD19" s="4">
        <v>240</v>
      </c>
      <c r="AE19" s="5">
        <v>19.1</v>
      </c>
    </row>
    <row r="20" spans="1:31">
      <c r="A20" s="3" t="s">
        <v>288</v>
      </c>
      <c r="B20" s="4" t="s">
        <v>267</v>
      </c>
      <c r="C20" s="4">
        <v>480</v>
      </c>
      <c r="D20" s="4">
        <v>370</v>
      </c>
      <c r="E20" s="4">
        <v>183.5</v>
      </c>
      <c r="F20" s="4">
        <v>21</v>
      </c>
      <c r="G20" s="4" t="s">
        <v>289</v>
      </c>
      <c r="H20" s="4" t="s">
        <v>269</v>
      </c>
      <c r="I20" s="4" t="s">
        <v>269</v>
      </c>
      <c r="J20" s="4" t="s">
        <v>269</v>
      </c>
      <c r="K20" s="4" t="s">
        <v>269</v>
      </c>
      <c r="L20" s="4" t="s">
        <v>270</v>
      </c>
      <c r="M20" s="4">
        <v>15000</v>
      </c>
      <c r="N20" s="4">
        <v>15000</v>
      </c>
      <c r="O20" s="4">
        <v>2</v>
      </c>
      <c r="P20" s="4">
        <v>2</v>
      </c>
      <c r="Q20" s="4">
        <v>1100</v>
      </c>
      <c r="R20" s="4">
        <v>140</v>
      </c>
      <c r="S20" s="4">
        <v>1000</v>
      </c>
      <c r="T20" s="4">
        <v>140</v>
      </c>
      <c r="U20" s="4">
        <v>850</v>
      </c>
      <c r="V20" s="4">
        <v>275</v>
      </c>
      <c r="W20" s="4">
        <v>600</v>
      </c>
      <c r="X20" s="4">
        <v>36.4</v>
      </c>
      <c r="Y20" s="4">
        <v>28</v>
      </c>
      <c r="Z20" s="4" t="s">
        <v>270</v>
      </c>
      <c r="AA20" s="4" t="s">
        <v>270</v>
      </c>
      <c r="AB20" s="4" t="s">
        <v>269</v>
      </c>
      <c r="AC20" s="4">
        <v>240</v>
      </c>
      <c r="AD20" s="4">
        <v>240</v>
      </c>
      <c r="AE20" s="5">
        <v>23.9</v>
      </c>
    </row>
    <row r="21" spans="1:31">
      <c r="A21" s="3" t="s">
        <v>290</v>
      </c>
      <c r="B21" s="4" t="s">
        <v>267</v>
      </c>
      <c r="C21" s="4">
        <v>475</v>
      </c>
      <c r="D21" s="4">
        <v>384</v>
      </c>
      <c r="E21" s="4">
        <v>186</v>
      </c>
      <c r="F21" s="4">
        <v>24</v>
      </c>
      <c r="G21" s="4" t="s">
        <v>289</v>
      </c>
      <c r="H21" s="4" t="s">
        <v>269</v>
      </c>
      <c r="I21" s="4" t="s">
        <v>269</v>
      </c>
      <c r="J21" s="4" t="s">
        <v>269</v>
      </c>
      <c r="K21" s="4" t="s">
        <v>269</v>
      </c>
      <c r="L21" s="4" t="s">
        <v>270</v>
      </c>
      <c r="M21" s="4">
        <v>15000</v>
      </c>
      <c r="N21" s="4">
        <v>16500</v>
      </c>
      <c r="O21" s="4">
        <v>2</v>
      </c>
      <c r="P21" s="4">
        <v>2</v>
      </c>
      <c r="Q21" s="4">
        <v>1100</v>
      </c>
      <c r="R21" s="4">
        <v>180</v>
      </c>
      <c r="S21" s="4">
        <v>850</v>
      </c>
      <c r="T21" s="4">
        <v>160</v>
      </c>
      <c r="U21" s="4">
        <v>850</v>
      </c>
      <c r="V21" s="4">
        <v>300</v>
      </c>
      <c r="W21" s="4">
        <v>600</v>
      </c>
      <c r="X21" s="4">
        <v>32.5</v>
      </c>
      <c r="Y21" s="4">
        <v>25</v>
      </c>
      <c r="Z21" s="4" t="s">
        <v>270</v>
      </c>
      <c r="AA21" s="4" t="s">
        <v>270</v>
      </c>
      <c r="AB21" s="4" t="s">
        <v>269</v>
      </c>
      <c r="AC21" s="4">
        <v>400</v>
      </c>
      <c r="AD21" s="4">
        <v>240</v>
      </c>
      <c r="AE21" s="5">
        <v>23.9</v>
      </c>
    </row>
    <row r="22" spans="1:31">
      <c r="A22" s="3" t="s">
        <v>291</v>
      </c>
      <c r="B22" s="4" t="s">
        <v>267</v>
      </c>
      <c r="C22" s="4">
        <v>480</v>
      </c>
      <c r="D22" s="4">
        <v>370</v>
      </c>
      <c r="E22" s="4">
        <v>183.5</v>
      </c>
      <c r="F22" s="4">
        <v>21</v>
      </c>
      <c r="G22" s="4" t="s">
        <v>289</v>
      </c>
      <c r="H22" s="4" t="s">
        <v>269</v>
      </c>
      <c r="I22" s="4" t="s">
        <v>269</v>
      </c>
      <c r="J22" s="4" t="s">
        <v>269</v>
      </c>
      <c r="K22" s="4" t="s">
        <v>269</v>
      </c>
      <c r="L22" s="4" t="s">
        <v>270</v>
      </c>
      <c r="M22" s="4">
        <v>17000</v>
      </c>
      <c r="N22" s="4">
        <v>17000</v>
      </c>
      <c r="O22" s="4">
        <v>2</v>
      </c>
      <c r="P22" s="4">
        <v>2</v>
      </c>
      <c r="Q22" s="4">
        <v>1100</v>
      </c>
      <c r="R22" s="4">
        <v>140</v>
      </c>
      <c r="S22" s="4">
        <v>1000</v>
      </c>
      <c r="T22" s="4">
        <v>140</v>
      </c>
      <c r="U22" s="4">
        <v>850</v>
      </c>
      <c r="V22" s="4">
        <v>315</v>
      </c>
      <c r="W22" s="4">
        <v>600</v>
      </c>
      <c r="X22" s="4">
        <v>36.4</v>
      </c>
      <c r="Y22" s="4">
        <v>28</v>
      </c>
      <c r="Z22" s="4" t="s">
        <v>270</v>
      </c>
      <c r="AA22" s="4" t="s">
        <v>270</v>
      </c>
      <c r="AB22" s="4" t="s">
        <v>269</v>
      </c>
      <c r="AC22" s="4">
        <v>240</v>
      </c>
      <c r="AD22" s="4">
        <v>240</v>
      </c>
      <c r="AE22" s="5">
        <v>27.1</v>
      </c>
    </row>
    <row r="23" spans="1:31">
      <c r="A23" s="3" t="s">
        <v>292</v>
      </c>
      <c r="B23" s="4" t="s">
        <v>267</v>
      </c>
      <c r="C23" s="4">
        <v>480</v>
      </c>
      <c r="D23" s="4">
        <v>370</v>
      </c>
      <c r="E23" s="4">
        <v>183.5</v>
      </c>
      <c r="F23" s="4">
        <v>21</v>
      </c>
      <c r="G23" s="4" t="s">
        <v>289</v>
      </c>
      <c r="H23" s="4" t="s">
        <v>269</v>
      </c>
      <c r="I23" s="4" t="s">
        <v>269</v>
      </c>
      <c r="J23" s="4" t="s">
        <v>269</v>
      </c>
      <c r="K23" s="4" t="s">
        <v>269</v>
      </c>
      <c r="L23" s="4" t="s">
        <v>270</v>
      </c>
      <c r="M23" s="4">
        <v>20000</v>
      </c>
      <c r="N23" s="4">
        <v>20000</v>
      </c>
      <c r="O23" s="4">
        <v>2</v>
      </c>
      <c r="P23" s="4">
        <v>2</v>
      </c>
      <c r="Q23" s="4">
        <v>1100</v>
      </c>
      <c r="R23" s="4">
        <v>140</v>
      </c>
      <c r="S23" s="4">
        <v>1000</v>
      </c>
      <c r="T23" s="4">
        <v>140</v>
      </c>
      <c r="U23" s="4">
        <v>850</v>
      </c>
      <c r="V23" s="4">
        <v>370</v>
      </c>
      <c r="W23" s="4">
        <v>600</v>
      </c>
      <c r="X23" s="4">
        <v>36.4</v>
      </c>
      <c r="Y23" s="4">
        <v>28</v>
      </c>
      <c r="Z23" s="4" t="s">
        <v>270</v>
      </c>
      <c r="AA23" s="4" t="s">
        <v>270</v>
      </c>
      <c r="AB23" s="4" t="s">
        <v>269</v>
      </c>
      <c r="AC23" s="4">
        <v>240</v>
      </c>
      <c r="AD23" s="4">
        <v>240</v>
      </c>
      <c r="AE23" s="5">
        <v>31.9</v>
      </c>
    </row>
    <row r="24" spans="1:31">
      <c r="A24" s="3" t="s">
        <v>293</v>
      </c>
      <c r="B24" s="4" t="s">
        <v>267</v>
      </c>
      <c r="C24" s="4">
        <v>480</v>
      </c>
      <c r="D24" s="4">
        <v>370</v>
      </c>
      <c r="E24" s="4">
        <v>183.5</v>
      </c>
      <c r="F24" s="4">
        <v>21</v>
      </c>
      <c r="G24" s="4" t="s">
        <v>289</v>
      </c>
      <c r="H24" s="4" t="s">
        <v>269</v>
      </c>
      <c r="I24" s="4" t="s">
        <v>269</v>
      </c>
      <c r="J24" s="4" t="s">
        <v>269</v>
      </c>
      <c r="K24" s="4" t="s">
        <v>269</v>
      </c>
      <c r="L24" s="4" t="s">
        <v>270</v>
      </c>
      <c r="M24" s="4">
        <v>23000</v>
      </c>
      <c r="N24" s="4">
        <v>23000</v>
      </c>
      <c r="O24" s="4">
        <v>2</v>
      </c>
      <c r="P24" s="4">
        <v>2</v>
      </c>
      <c r="Q24" s="4">
        <v>1100</v>
      </c>
      <c r="R24" s="4">
        <v>140</v>
      </c>
      <c r="S24" s="4">
        <v>1000</v>
      </c>
      <c r="T24" s="4">
        <v>140</v>
      </c>
      <c r="U24" s="4">
        <v>850</v>
      </c>
      <c r="V24" s="4">
        <v>430</v>
      </c>
      <c r="W24" s="4">
        <v>600</v>
      </c>
      <c r="X24" s="4">
        <v>36.4</v>
      </c>
      <c r="Y24" s="4">
        <v>28</v>
      </c>
      <c r="Z24" s="4" t="s">
        <v>270</v>
      </c>
      <c r="AA24" s="4" t="s">
        <v>270</v>
      </c>
      <c r="AB24" s="4" t="s">
        <v>269</v>
      </c>
      <c r="AC24" s="4">
        <v>240</v>
      </c>
      <c r="AD24" s="4">
        <v>240</v>
      </c>
      <c r="AE24" s="5">
        <v>36.7</v>
      </c>
    </row>
    <row r="25" spans="1:31">
      <c r="A25" s="3" t="s">
        <v>294</v>
      </c>
      <c r="B25" s="4" t="s">
        <v>267</v>
      </c>
      <c r="C25" s="4">
        <v>480</v>
      </c>
      <c r="D25" s="4">
        <v>370</v>
      </c>
      <c r="E25" s="4">
        <v>183.5</v>
      </c>
      <c r="F25" s="4">
        <v>21</v>
      </c>
      <c r="G25" s="4" t="s">
        <v>289</v>
      </c>
      <c r="H25" s="4" t="s">
        <v>269</v>
      </c>
      <c r="I25" s="4" t="s">
        <v>269</v>
      </c>
      <c r="J25" s="4" t="s">
        <v>269</v>
      </c>
      <c r="K25" s="4" t="s">
        <v>269</v>
      </c>
      <c r="L25" s="4" t="s">
        <v>270</v>
      </c>
      <c r="M25" s="4">
        <v>25000</v>
      </c>
      <c r="N25" s="4">
        <v>25000</v>
      </c>
      <c r="O25" s="4">
        <v>2</v>
      </c>
      <c r="P25" s="4">
        <v>2</v>
      </c>
      <c r="Q25" s="4">
        <v>1100</v>
      </c>
      <c r="R25" s="4">
        <v>140</v>
      </c>
      <c r="S25" s="4">
        <v>1000</v>
      </c>
      <c r="T25" s="4">
        <v>140</v>
      </c>
      <c r="U25" s="4">
        <v>850</v>
      </c>
      <c r="V25" s="4">
        <v>460</v>
      </c>
      <c r="W25" s="4">
        <v>600</v>
      </c>
      <c r="X25" s="4">
        <v>36.4</v>
      </c>
      <c r="Y25" s="4">
        <v>28</v>
      </c>
      <c r="Z25" s="4" t="s">
        <v>270</v>
      </c>
      <c r="AA25" s="4" t="s">
        <v>270</v>
      </c>
      <c r="AB25" s="4" t="s">
        <v>269</v>
      </c>
      <c r="AC25" s="4">
        <v>240</v>
      </c>
      <c r="AD25" s="4">
        <v>240</v>
      </c>
      <c r="AE25" s="5">
        <v>39.9</v>
      </c>
    </row>
    <row r="26" spans="1:31">
      <c r="A26" s="3" t="s">
        <v>295</v>
      </c>
      <c r="B26" s="4" t="s">
        <v>267</v>
      </c>
      <c r="C26" s="4">
        <v>402</v>
      </c>
      <c r="D26" s="4">
        <v>476.5</v>
      </c>
      <c r="E26" s="4">
        <v>148</v>
      </c>
      <c r="F26" s="4">
        <v>15.5</v>
      </c>
      <c r="G26" s="4" t="s">
        <v>268</v>
      </c>
      <c r="H26" s="4" t="s">
        <v>269</v>
      </c>
      <c r="I26" s="4" t="s">
        <v>269</v>
      </c>
      <c r="J26" s="4" t="s">
        <v>269</v>
      </c>
      <c r="K26" s="4" t="s">
        <v>269</v>
      </c>
      <c r="L26" s="4" t="s">
        <v>270</v>
      </c>
      <c r="M26" s="4">
        <v>3000</v>
      </c>
      <c r="N26" s="4">
        <v>3300</v>
      </c>
      <c r="O26" s="4">
        <v>1</v>
      </c>
      <c r="P26" s="4">
        <v>2</v>
      </c>
      <c r="Q26" s="4">
        <v>600</v>
      </c>
      <c r="R26" s="4">
        <v>120</v>
      </c>
      <c r="S26" s="4">
        <v>550</v>
      </c>
      <c r="T26" s="4">
        <v>80</v>
      </c>
      <c r="U26" s="4">
        <v>550</v>
      </c>
      <c r="V26" s="4">
        <v>80</v>
      </c>
      <c r="W26" s="4">
        <v>360</v>
      </c>
      <c r="X26" s="4">
        <v>18</v>
      </c>
      <c r="Y26" s="4">
        <v>14</v>
      </c>
      <c r="Z26" s="4" t="s">
        <v>269</v>
      </c>
      <c r="AA26" s="4" t="s">
        <v>270</v>
      </c>
      <c r="AB26" s="4" t="s">
        <v>270</v>
      </c>
      <c r="AC26" s="4">
        <v>230</v>
      </c>
      <c r="AD26" s="4">
        <v>230</v>
      </c>
      <c r="AE26" s="5">
        <v>14.3</v>
      </c>
    </row>
    <row r="27" spans="1:31">
      <c r="A27" s="3" t="s">
        <v>296</v>
      </c>
      <c r="B27" s="4" t="s">
        <v>267</v>
      </c>
      <c r="C27" s="4">
        <v>402</v>
      </c>
      <c r="D27" s="4">
        <v>476.5</v>
      </c>
      <c r="E27" s="4">
        <v>148</v>
      </c>
      <c r="F27" s="4">
        <v>15.5</v>
      </c>
      <c r="G27" s="4" t="s">
        <v>268</v>
      </c>
      <c r="H27" s="4" t="s">
        <v>269</v>
      </c>
      <c r="I27" s="4" t="s">
        <v>269</v>
      </c>
      <c r="J27" s="4" t="s">
        <v>269</v>
      </c>
      <c r="K27" s="4" t="s">
        <v>269</v>
      </c>
      <c r="L27" s="4" t="s">
        <v>270</v>
      </c>
      <c r="M27" s="4">
        <v>5000</v>
      </c>
      <c r="N27" s="4">
        <v>5500</v>
      </c>
      <c r="O27" s="4">
        <v>1</v>
      </c>
      <c r="P27" s="4">
        <v>2</v>
      </c>
      <c r="Q27" s="4">
        <v>600</v>
      </c>
      <c r="R27" s="4">
        <v>120</v>
      </c>
      <c r="S27" s="4">
        <v>550</v>
      </c>
      <c r="T27" s="4">
        <v>80</v>
      </c>
      <c r="U27" s="4">
        <v>550</v>
      </c>
      <c r="V27" s="4">
        <v>80</v>
      </c>
      <c r="W27" s="4">
        <v>360</v>
      </c>
      <c r="X27" s="4">
        <v>18</v>
      </c>
      <c r="Y27" s="4">
        <v>14</v>
      </c>
      <c r="Z27" s="4" t="s">
        <v>269</v>
      </c>
      <c r="AA27" s="4" t="s">
        <v>270</v>
      </c>
      <c r="AB27" s="4" t="s">
        <v>270</v>
      </c>
      <c r="AC27" s="4">
        <v>230</v>
      </c>
      <c r="AD27" s="4">
        <v>230</v>
      </c>
      <c r="AE27" s="5">
        <v>23.9</v>
      </c>
    </row>
    <row r="28" spans="1:31">
      <c r="A28" s="3" t="s">
        <v>297</v>
      </c>
      <c r="B28" s="4" t="s">
        <v>267</v>
      </c>
      <c r="C28" s="4">
        <v>402</v>
      </c>
      <c r="D28" s="4">
        <v>476.5</v>
      </c>
      <c r="E28" s="4">
        <v>148</v>
      </c>
      <c r="F28" s="4">
        <v>15.5</v>
      </c>
      <c r="G28" s="4" t="s">
        <v>268</v>
      </c>
      <c r="H28" s="4" t="s">
        <v>269</v>
      </c>
      <c r="I28" s="4" t="s">
        <v>269</v>
      </c>
      <c r="J28" s="4" t="s">
        <v>269</v>
      </c>
      <c r="K28" s="4" t="s">
        <v>269</v>
      </c>
      <c r="L28" s="4" t="s">
        <v>270</v>
      </c>
      <c r="M28" s="4">
        <v>6000</v>
      </c>
      <c r="N28" s="4">
        <v>6000</v>
      </c>
      <c r="O28" s="4">
        <v>1</v>
      </c>
      <c r="P28" s="4">
        <v>2</v>
      </c>
      <c r="Q28" s="4">
        <v>600</v>
      </c>
      <c r="R28" s="4">
        <v>120</v>
      </c>
      <c r="S28" s="4">
        <v>550</v>
      </c>
      <c r="T28" s="4">
        <v>80</v>
      </c>
      <c r="U28" s="4">
        <v>550</v>
      </c>
      <c r="V28" s="4">
        <v>80</v>
      </c>
      <c r="W28" s="4">
        <v>360</v>
      </c>
      <c r="X28" s="4">
        <v>18</v>
      </c>
      <c r="Y28" s="4">
        <v>14</v>
      </c>
      <c r="Z28" s="4" t="s">
        <v>269</v>
      </c>
      <c r="AA28" s="4" t="s">
        <v>270</v>
      </c>
      <c r="AB28" s="4" t="s">
        <v>270</v>
      </c>
      <c r="AC28" s="4">
        <v>230</v>
      </c>
      <c r="AD28" s="4">
        <v>230</v>
      </c>
      <c r="AE28" s="5">
        <v>26.1</v>
      </c>
    </row>
    <row r="29" spans="1:31">
      <c r="A29" s="3" t="s">
        <v>298</v>
      </c>
      <c r="B29" s="4" t="s">
        <v>267</v>
      </c>
      <c r="C29" s="4">
        <v>440</v>
      </c>
      <c r="D29" s="4">
        <v>380</v>
      </c>
      <c r="E29" s="4">
        <v>168</v>
      </c>
      <c r="F29" s="4">
        <v>19</v>
      </c>
      <c r="G29" s="4" t="s">
        <v>268</v>
      </c>
      <c r="H29" s="4" t="s">
        <v>269</v>
      </c>
      <c r="I29" s="4" t="s">
        <v>269</v>
      </c>
      <c r="J29" s="4" t="s">
        <v>269</v>
      </c>
      <c r="K29" s="4" t="s">
        <v>269</v>
      </c>
      <c r="L29" s="4" t="s">
        <v>270</v>
      </c>
      <c r="M29" s="4">
        <v>7000</v>
      </c>
      <c r="N29" s="4">
        <v>7700</v>
      </c>
      <c r="O29" s="4">
        <v>1</v>
      </c>
      <c r="P29" s="4">
        <v>3</v>
      </c>
      <c r="Q29" s="4">
        <v>600</v>
      </c>
      <c r="R29" s="4">
        <v>120</v>
      </c>
      <c r="S29" s="4">
        <v>550</v>
      </c>
      <c r="T29" s="4">
        <v>80</v>
      </c>
      <c r="U29" s="4">
        <v>550</v>
      </c>
      <c r="V29" s="4">
        <v>80</v>
      </c>
      <c r="W29" s="4">
        <v>360</v>
      </c>
      <c r="X29" s="4">
        <v>18</v>
      </c>
      <c r="Y29" s="4">
        <v>14</v>
      </c>
      <c r="Z29" s="4" t="s">
        <v>269</v>
      </c>
      <c r="AA29" s="4" t="s">
        <v>270</v>
      </c>
      <c r="AB29" s="4" t="s">
        <v>270</v>
      </c>
      <c r="AC29" s="4">
        <v>230</v>
      </c>
      <c r="AD29" s="4">
        <v>230</v>
      </c>
      <c r="AE29" s="5">
        <v>33.5</v>
      </c>
    </row>
    <row r="30" spans="1:31">
      <c r="A30" s="3" t="s">
        <v>299</v>
      </c>
      <c r="B30" s="4" t="s">
        <v>267</v>
      </c>
      <c r="C30" s="4">
        <v>440</v>
      </c>
      <c r="D30" s="4">
        <v>380</v>
      </c>
      <c r="E30" s="4">
        <v>168</v>
      </c>
      <c r="F30" s="4">
        <v>19</v>
      </c>
      <c r="G30" s="4" t="s">
        <v>268</v>
      </c>
      <c r="H30" s="4" t="s">
        <v>269</v>
      </c>
      <c r="I30" s="4" t="s">
        <v>269</v>
      </c>
      <c r="J30" s="4" t="s">
        <v>269</v>
      </c>
      <c r="K30" s="4" t="s">
        <v>269</v>
      </c>
      <c r="L30" s="4" t="s">
        <v>270</v>
      </c>
      <c r="M30" s="4">
        <v>8000</v>
      </c>
      <c r="N30" s="4">
        <v>8800</v>
      </c>
      <c r="O30" s="4">
        <v>1</v>
      </c>
      <c r="P30" s="4">
        <v>3</v>
      </c>
      <c r="Q30" s="4">
        <v>600</v>
      </c>
      <c r="R30" s="4">
        <v>120</v>
      </c>
      <c r="S30" s="4">
        <v>550</v>
      </c>
      <c r="T30" s="4">
        <v>80</v>
      </c>
      <c r="U30" s="4">
        <v>550</v>
      </c>
      <c r="V30" s="4">
        <v>80</v>
      </c>
      <c r="W30" s="4">
        <v>360</v>
      </c>
      <c r="X30" s="4">
        <v>18</v>
      </c>
      <c r="Y30" s="4">
        <v>14</v>
      </c>
      <c r="Z30" s="4" t="s">
        <v>269</v>
      </c>
      <c r="AA30" s="4" t="s">
        <v>270</v>
      </c>
      <c r="AB30" s="4" t="s">
        <v>270</v>
      </c>
      <c r="AC30" s="4">
        <v>230</v>
      </c>
      <c r="AD30" s="4">
        <v>230</v>
      </c>
      <c r="AE30" s="5">
        <v>38.3</v>
      </c>
    </row>
    <row r="31" spans="1:31">
      <c r="A31" s="3" t="s">
        <v>300</v>
      </c>
      <c r="B31" s="4" t="s">
        <v>267</v>
      </c>
      <c r="C31" s="4">
        <v>440</v>
      </c>
      <c r="D31" s="4">
        <v>380</v>
      </c>
      <c r="E31" s="4">
        <v>168</v>
      </c>
      <c r="F31" s="4">
        <v>19</v>
      </c>
      <c r="G31" s="4" t="s">
        <v>268</v>
      </c>
      <c r="H31" s="4" t="s">
        <v>269</v>
      </c>
      <c r="I31" s="4" t="s">
        <v>269</v>
      </c>
      <c r="J31" s="4" t="s">
        <v>269</v>
      </c>
      <c r="K31" s="4" t="s">
        <v>269</v>
      </c>
      <c r="L31" s="4" t="s">
        <v>270</v>
      </c>
      <c r="M31" s="4">
        <v>9000</v>
      </c>
      <c r="N31" s="4">
        <v>9900</v>
      </c>
      <c r="O31" s="4">
        <v>1</v>
      </c>
      <c r="P31" s="4">
        <v>3</v>
      </c>
      <c r="Q31" s="4">
        <v>600</v>
      </c>
      <c r="R31" s="4">
        <v>120</v>
      </c>
      <c r="S31" s="4">
        <v>550</v>
      </c>
      <c r="T31" s="4">
        <v>80</v>
      </c>
      <c r="U31" s="4">
        <v>550</v>
      </c>
      <c r="V31" s="4">
        <v>80</v>
      </c>
      <c r="W31" s="4">
        <v>360</v>
      </c>
      <c r="X31" s="4">
        <v>18</v>
      </c>
      <c r="Y31" s="4">
        <v>14</v>
      </c>
      <c r="Z31" s="4" t="s">
        <v>269</v>
      </c>
      <c r="AA31" s="4" t="s">
        <v>270</v>
      </c>
      <c r="AB31" s="4" t="s">
        <v>270</v>
      </c>
      <c r="AC31" s="4">
        <v>230</v>
      </c>
      <c r="AD31" s="4">
        <v>230</v>
      </c>
      <c r="AE31" s="5">
        <v>43</v>
      </c>
    </row>
    <row r="32" spans="1:31">
      <c r="A32" s="3" t="s">
        <v>301</v>
      </c>
      <c r="B32" s="4" t="s">
        <v>267</v>
      </c>
      <c r="C32" s="4">
        <v>440</v>
      </c>
      <c r="D32" s="4">
        <v>380</v>
      </c>
      <c r="E32" s="4">
        <v>168</v>
      </c>
      <c r="F32" s="4">
        <v>19</v>
      </c>
      <c r="G32" s="4" t="s">
        <v>268</v>
      </c>
      <c r="H32" s="4" t="s">
        <v>269</v>
      </c>
      <c r="I32" s="4" t="s">
        <v>269</v>
      </c>
      <c r="J32" s="4" t="s">
        <v>269</v>
      </c>
      <c r="K32" s="4" t="s">
        <v>269</v>
      </c>
      <c r="L32" s="4" t="s">
        <v>270</v>
      </c>
      <c r="M32" s="4">
        <v>10000</v>
      </c>
      <c r="N32" s="4">
        <v>10500</v>
      </c>
      <c r="O32" s="4">
        <v>1</v>
      </c>
      <c r="P32" s="4">
        <v>3</v>
      </c>
      <c r="Q32" s="4">
        <v>600</v>
      </c>
      <c r="R32" s="4">
        <v>120</v>
      </c>
      <c r="S32" s="4">
        <v>550</v>
      </c>
      <c r="T32" s="4">
        <v>80</v>
      </c>
      <c r="U32" s="4">
        <v>550</v>
      </c>
      <c r="V32" s="4">
        <v>80</v>
      </c>
      <c r="W32" s="4">
        <v>360</v>
      </c>
      <c r="X32" s="4">
        <v>18</v>
      </c>
      <c r="Y32" s="4">
        <v>14</v>
      </c>
      <c r="Z32" s="4" t="s">
        <v>269</v>
      </c>
      <c r="AA32" s="4" t="s">
        <v>270</v>
      </c>
      <c r="AB32" s="4" t="s">
        <v>270</v>
      </c>
      <c r="AC32" s="4">
        <v>240</v>
      </c>
      <c r="AD32" s="4">
        <v>220</v>
      </c>
      <c r="AE32" s="5">
        <v>47.7</v>
      </c>
    </row>
    <row r="33" spans="1:31">
      <c r="A33" s="3" t="s">
        <v>302</v>
      </c>
      <c r="B33" s="4" t="s">
        <v>267</v>
      </c>
      <c r="C33" s="4">
        <v>440</v>
      </c>
      <c r="D33" s="4">
        <v>380</v>
      </c>
      <c r="E33" s="4">
        <v>168</v>
      </c>
      <c r="F33" s="4">
        <v>19</v>
      </c>
      <c r="G33" s="4" t="s">
        <v>268</v>
      </c>
      <c r="H33" s="4" t="s">
        <v>269</v>
      </c>
      <c r="I33" s="4" t="s">
        <v>269</v>
      </c>
      <c r="J33" s="4" t="s">
        <v>269</v>
      </c>
      <c r="K33" s="4" t="s">
        <v>269</v>
      </c>
      <c r="L33" s="4" t="s">
        <v>270</v>
      </c>
      <c r="M33" s="4">
        <v>10500</v>
      </c>
      <c r="N33" s="4">
        <v>10500</v>
      </c>
      <c r="O33" s="4">
        <v>1</v>
      </c>
      <c r="P33" s="4">
        <v>3</v>
      </c>
      <c r="Q33" s="4">
        <v>600</v>
      </c>
      <c r="R33" s="4">
        <v>120</v>
      </c>
      <c r="S33" s="4">
        <v>550</v>
      </c>
      <c r="T33" s="4">
        <v>80</v>
      </c>
      <c r="U33" s="4">
        <v>550</v>
      </c>
      <c r="V33" s="4">
        <v>80</v>
      </c>
      <c r="W33" s="4">
        <v>360</v>
      </c>
      <c r="X33" s="4">
        <v>18</v>
      </c>
      <c r="Y33" s="4">
        <v>14</v>
      </c>
      <c r="Z33" s="4" t="s">
        <v>269</v>
      </c>
      <c r="AA33" s="4" t="s">
        <v>270</v>
      </c>
      <c r="AB33" s="4" t="s">
        <v>270</v>
      </c>
      <c r="AC33" s="4">
        <v>230</v>
      </c>
      <c r="AD33" s="4">
        <v>230</v>
      </c>
      <c r="AE33" s="5">
        <v>47.7</v>
      </c>
    </row>
    <row r="34" spans="1:31">
      <c r="A34" s="3" t="s">
        <v>303</v>
      </c>
      <c r="B34" s="4" t="s">
        <v>267</v>
      </c>
      <c r="C34" s="4">
        <v>675</v>
      </c>
      <c r="D34" s="4">
        <v>630</v>
      </c>
      <c r="E34" s="4">
        <v>360</v>
      </c>
      <c r="F34" s="4">
        <v>90</v>
      </c>
      <c r="G34" s="4" t="s">
        <v>289</v>
      </c>
      <c r="H34" s="4" t="s">
        <v>304</v>
      </c>
      <c r="I34" s="4" t="s">
        <v>304</v>
      </c>
      <c r="J34" s="4" t="s">
        <v>270</v>
      </c>
      <c r="K34" s="4" t="s">
        <v>304</v>
      </c>
      <c r="L34" s="4" t="s">
        <v>304</v>
      </c>
      <c r="M34" s="4">
        <v>75000</v>
      </c>
      <c r="N34" s="4">
        <v>75000</v>
      </c>
      <c r="O34" s="4">
        <v>2</v>
      </c>
      <c r="P34" s="4">
        <v>9</v>
      </c>
      <c r="Q34" s="4">
        <v>1100</v>
      </c>
      <c r="R34" s="4">
        <v>250</v>
      </c>
      <c r="S34" s="4">
        <v>1000</v>
      </c>
      <c r="T34" s="4">
        <v>200</v>
      </c>
      <c r="U34" s="4">
        <v>850</v>
      </c>
      <c r="V34" s="4">
        <v>550</v>
      </c>
      <c r="W34" s="4">
        <v>600</v>
      </c>
      <c r="X34" s="4">
        <v>40</v>
      </c>
      <c r="Y34" s="4">
        <v>26</v>
      </c>
      <c r="Z34" s="4" t="s">
        <v>270</v>
      </c>
      <c r="AA34" s="4" t="s">
        <v>269</v>
      </c>
      <c r="AB34" s="4" t="s">
        <v>269</v>
      </c>
      <c r="AC34" s="4">
        <v>460</v>
      </c>
      <c r="AD34" s="4">
        <v>320</v>
      </c>
      <c r="AE34" s="5">
        <v>113.7</v>
      </c>
    </row>
    <row r="35" spans="1:31">
      <c r="A35" s="3" t="s">
        <v>305</v>
      </c>
      <c r="B35" s="4" t="s">
        <v>267</v>
      </c>
      <c r="C35" s="4">
        <v>675</v>
      </c>
      <c r="D35" s="4">
        <v>630</v>
      </c>
      <c r="E35" s="4">
        <v>360</v>
      </c>
      <c r="F35" s="4">
        <v>90</v>
      </c>
      <c r="G35" s="4" t="s">
        <v>289</v>
      </c>
      <c r="H35" s="4" t="s">
        <v>304</v>
      </c>
      <c r="I35" s="4" t="s">
        <v>304</v>
      </c>
      <c r="J35" s="4" t="s">
        <v>270</v>
      </c>
      <c r="K35" s="4" t="s">
        <v>304</v>
      </c>
      <c r="L35" s="4" t="s">
        <v>304</v>
      </c>
      <c r="M35" s="4">
        <v>100000</v>
      </c>
      <c r="N35" s="4">
        <v>110000</v>
      </c>
      <c r="O35" s="4">
        <v>2</v>
      </c>
      <c r="P35" s="4">
        <v>9</v>
      </c>
      <c r="Q35" s="4">
        <v>1100</v>
      </c>
      <c r="R35" s="4">
        <v>250</v>
      </c>
      <c r="S35" s="4">
        <v>1000</v>
      </c>
      <c r="T35" s="4">
        <v>200</v>
      </c>
      <c r="U35" s="4">
        <v>850</v>
      </c>
      <c r="V35" s="4">
        <v>550</v>
      </c>
      <c r="W35" s="4">
        <v>600</v>
      </c>
      <c r="X35" s="4">
        <v>40</v>
      </c>
      <c r="Y35" s="4">
        <v>26</v>
      </c>
      <c r="Z35" s="4" t="s">
        <v>270</v>
      </c>
      <c r="AA35" s="4" t="s">
        <v>269</v>
      </c>
      <c r="AB35" s="4" t="s">
        <v>269</v>
      </c>
      <c r="AC35" s="4">
        <v>460</v>
      </c>
      <c r="AD35" s="4">
        <v>320</v>
      </c>
      <c r="AE35" s="5">
        <v>166.6</v>
      </c>
    </row>
    <row r="36" spans="1:31">
      <c r="A36" s="3" t="s">
        <v>306</v>
      </c>
      <c r="B36" s="4" t="s">
        <v>307</v>
      </c>
      <c r="C36" s="4">
        <v>295</v>
      </c>
      <c r="D36" s="4">
        <v>230</v>
      </c>
      <c r="E36" s="4">
        <v>113</v>
      </c>
      <c r="F36" s="4">
        <v>5.8</v>
      </c>
      <c r="G36" s="4" t="s">
        <v>268</v>
      </c>
      <c r="H36" s="4" t="s">
        <v>269</v>
      </c>
      <c r="I36" s="4" t="s">
        <v>269</v>
      </c>
      <c r="J36" s="4" t="s">
        <v>269</v>
      </c>
      <c r="K36" s="4" t="s">
        <v>269</v>
      </c>
      <c r="L36" s="4" t="s">
        <v>270</v>
      </c>
      <c r="M36" s="4">
        <v>700</v>
      </c>
      <c r="N36" s="4">
        <v>800</v>
      </c>
      <c r="O36" s="4">
        <v>1</v>
      </c>
      <c r="P36" s="4">
        <v>1</v>
      </c>
      <c r="Q36" s="4">
        <v>500</v>
      </c>
      <c r="R36" s="4">
        <v>40</v>
      </c>
      <c r="S36" s="4">
        <v>450</v>
      </c>
      <c r="T36" s="4">
        <v>40</v>
      </c>
      <c r="U36" s="4">
        <v>450</v>
      </c>
      <c r="V36" s="4">
        <v>40</v>
      </c>
      <c r="W36" s="4">
        <v>360</v>
      </c>
      <c r="X36" s="4">
        <v>25</v>
      </c>
      <c r="Y36" s="4">
        <v>16</v>
      </c>
      <c r="Z36" s="4" t="s">
        <v>269</v>
      </c>
      <c r="AA36" s="4" t="s">
        <v>270</v>
      </c>
      <c r="AB36" s="4" t="s">
        <v>270</v>
      </c>
      <c r="AC36" s="4">
        <v>240</v>
      </c>
      <c r="AD36" s="4">
        <v>220</v>
      </c>
      <c r="AE36" s="5">
        <v>3.2</v>
      </c>
    </row>
    <row r="37" spans="1:31">
      <c r="A37" s="3" t="s">
        <v>308</v>
      </c>
      <c r="B37" s="4" t="s">
        <v>307</v>
      </c>
      <c r="C37" s="4">
        <v>295</v>
      </c>
      <c r="D37" s="4">
        <v>230</v>
      </c>
      <c r="E37" s="4">
        <v>113</v>
      </c>
      <c r="F37" s="4">
        <v>5.8</v>
      </c>
      <c r="G37" s="4" t="s">
        <v>268</v>
      </c>
      <c r="H37" s="4" t="s">
        <v>269</v>
      </c>
      <c r="I37" s="4" t="s">
        <v>269</v>
      </c>
      <c r="J37" s="4" t="s">
        <v>269</v>
      </c>
      <c r="K37" s="4" t="s">
        <v>269</v>
      </c>
      <c r="L37" s="4" t="s">
        <v>270</v>
      </c>
      <c r="M37" s="4">
        <v>1000</v>
      </c>
      <c r="N37" s="4">
        <v>1100</v>
      </c>
      <c r="O37" s="4">
        <v>1</v>
      </c>
      <c r="P37" s="4">
        <v>1</v>
      </c>
      <c r="Q37" s="4">
        <v>500</v>
      </c>
      <c r="R37" s="4">
        <v>40</v>
      </c>
      <c r="S37" s="4">
        <v>450</v>
      </c>
      <c r="T37" s="4">
        <v>40</v>
      </c>
      <c r="U37" s="4">
        <v>450</v>
      </c>
      <c r="V37" s="4">
        <v>40</v>
      </c>
      <c r="W37" s="4">
        <v>360</v>
      </c>
      <c r="X37" s="4">
        <v>25</v>
      </c>
      <c r="Y37" s="4">
        <v>16</v>
      </c>
      <c r="Z37" s="4" t="s">
        <v>269</v>
      </c>
      <c r="AA37" s="4" t="s">
        <v>270</v>
      </c>
      <c r="AB37" s="4" t="s">
        <v>270</v>
      </c>
      <c r="AC37" s="4">
        <v>240</v>
      </c>
      <c r="AD37" s="4">
        <v>220</v>
      </c>
      <c r="AE37" s="5">
        <v>4.6</v>
      </c>
    </row>
    <row r="38" spans="1:31">
      <c r="A38" s="3" t="s">
        <v>309</v>
      </c>
      <c r="B38" s="4" t="s">
        <v>307</v>
      </c>
      <c r="C38" s="4">
        <v>295</v>
      </c>
      <c r="D38" s="4">
        <v>230</v>
      </c>
      <c r="E38" s="4">
        <v>113</v>
      </c>
      <c r="F38" s="4">
        <v>5.8</v>
      </c>
      <c r="G38" s="4" t="s">
        <v>268</v>
      </c>
      <c r="H38" s="4" t="s">
        <v>269</v>
      </c>
      <c r="I38" s="4" t="s">
        <v>269</v>
      </c>
      <c r="J38" s="4" t="s">
        <v>269</v>
      </c>
      <c r="K38" s="4" t="s">
        <v>269</v>
      </c>
      <c r="L38" s="4" t="s">
        <v>270</v>
      </c>
      <c r="M38" s="4">
        <v>1500</v>
      </c>
      <c r="N38" s="4">
        <v>1650</v>
      </c>
      <c r="O38" s="4">
        <v>1</v>
      </c>
      <c r="P38" s="4">
        <v>1</v>
      </c>
      <c r="Q38" s="4">
        <v>500</v>
      </c>
      <c r="R38" s="4">
        <v>50</v>
      </c>
      <c r="S38" s="4">
        <v>450</v>
      </c>
      <c r="T38" s="4">
        <v>50</v>
      </c>
      <c r="U38" s="4">
        <v>450</v>
      </c>
      <c r="V38" s="4">
        <v>50</v>
      </c>
      <c r="W38" s="4">
        <v>360</v>
      </c>
      <c r="X38" s="4">
        <v>25</v>
      </c>
      <c r="Y38" s="4">
        <v>16</v>
      </c>
      <c r="Z38" s="4" t="s">
        <v>269</v>
      </c>
      <c r="AA38" s="4" t="s">
        <v>270</v>
      </c>
      <c r="AB38" s="4" t="s">
        <v>270</v>
      </c>
      <c r="AC38" s="4">
        <v>240</v>
      </c>
      <c r="AD38" s="4">
        <v>220</v>
      </c>
      <c r="AE38" s="5">
        <v>6.9</v>
      </c>
    </row>
    <row r="39" spans="1:31">
      <c r="A39" s="3" t="s">
        <v>310</v>
      </c>
      <c r="B39" s="4" t="s">
        <v>307</v>
      </c>
      <c r="C39" s="4">
        <v>295</v>
      </c>
      <c r="D39" s="4">
        <v>230</v>
      </c>
      <c r="E39" s="4">
        <v>113</v>
      </c>
      <c r="F39" s="4">
        <v>5.8</v>
      </c>
      <c r="G39" s="4" t="s">
        <v>268</v>
      </c>
      <c r="H39" s="4" t="s">
        <v>269</v>
      </c>
      <c r="I39" s="4" t="s">
        <v>269</v>
      </c>
      <c r="J39" s="4" t="s">
        <v>269</v>
      </c>
      <c r="K39" s="4" t="s">
        <v>269</v>
      </c>
      <c r="L39" s="4" t="s">
        <v>270</v>
      </c>
      <c r="M39" s="4">
        <v>2000</v>
      </c>
      <c r="N39" s="4">
        <v>2200</v>
      </c>
      <c r="O39" s="4">
        <v>1</v>
      </c>
      <c r="P39" s="4">
        <v>1</v>
      </c>
      <c r="Q39" s="4">
        <v>500</v>
      </c>
      <c r="R39" s="4">
        <v>50</v>
      </c>
      <c r="S39" s="4">
        <v>450</v>
      </c>
      <c r="T39" s="4">
        <v>50</v>
      </c>
      <c r="U39" s="4">
        <v>450</v>
      </c>
      <c r="V39" s="4">
        <v>50</v>
      </c>
      <c r="W39" s="4">
        <v>360</v>
      </c>
      <c r="X39" s="4">
        <v>25</v>
      </c>
      <c r="Y39" s="4">
        <v>16</v>
      </c>
      <c r="Z39" s="4" t="s">
        <v>269</v>
      </c>
      <c r="AA39" s="4" t="s">
        <v>270</v>
      </c>
      <c r="AB39" s="4" t="s">
        <v>270</v>
      </c>
      <c r="AC39" s="4">
        <v>240</v>
      </c>
      <c r="AD39" s="4">
        <v>220</v>
      </c>
      <c r="AE39" s="5">
        <v>9.1</v>
      </c>
    </row>
    <row r="40" spans="1:31">
      <c r="A40" s="3" t="s">
        <v>311</v>
      </c>
      <c r="B40" s="4" t="s">
        <v>307</v>
      </c>
      <c r="C40" s="4">
        <v>295</v>
      </c>
      <c r="D40" s="4">
        <v>230</v>
      </c>
      <c r="E40" s="4">
        <v>113</v>
      </c>
      <c r="F40" s="4">
        <v>5.8</v>
      </c>
      <c r="G40" s="4" t="s">
        <v>268</v>
      </c>
      <c r="H40" s="4" t="s">
        <v>269</v>
      </c>
      <c r="I40" s="4" t="s">
        <v>269</v>
      </c>
      <c r="J40" s="4" t="s">
        <v>269</v>
      </c>
      <c r="K40" s="4" t="s">
        <v>269</v>
      </c>
      <c r="L40" s="4" t="s">
        <v>270</v>
      </c>
      <c r="M40" s="4">
        <v>2500</v>
      </c>
      <c r="N40" s="4">
        <v>2750</v>
      </c>
      <c r="O40" s="4">
        <v>1</v>
      </c>
      <c r="P40" s="4">
        <v>1</v>
      </c>
      <c r="Q40" s="4">
        <v>500</v>
      </c>
      <c r="R40" s="4">
        <v>50</v>
      </c>
      <c r="S40" s="4">
        <v>450</v>
      </c>
      <c r="T40" s="4">
        <v>50</v>
      </c>
      <c r="U40" s="4">
        <v>450</v>
      </c>
      <c r="V40" s="4">
        <v>50</v>
      </c>
      <c r="W40" s="4">
        <v>360</v>
      </c>
      <c r="X40" s="4">
        <v>25</v>
      </c>
      <c r="Y40" s="4">
        <v>16</v>
      </c>
      <c r="Z40" s="4" t="s">
        <v>269</v>
      </c>
      <c r="AA40" s="4" t="s">
        <v>270</v>
      </c>
      <c r="AB40" s="4" t="s">
        <v>270</v>
      </c>
      <c r="AC40" s="4">
        <v>240</v>
      </c>
      <c r="AD40" s="4">
        <v>220</v>
      </c>
      <c r="AE40" s="5">
        <v>11.4</v>
      </c>
    </row>
    <row r="41" spans="1:31">
      <c r="A41" s="3" t="s">
        <v>312</v>
      </c>
      <c r="B41" s="4" t="s">
        <v>307</v>
      </c>
      <c r="C41" s="4">
        <v>113</v>
      </c>
      <c r="D41" s="4">
        <v>295</v>
      </c>
      <c r="E41" s="4">
        <v>230</v>
      </c>
      <c r="F41" s="4">
        <v>5.8</v>
      </c>
      <c r="G41" s="4" t="s">
        <v>268</v>
      </c>
      <c r="H41" s="4" t="s">
        <v>269</v>
      </c>
      <c r="I41" s="4" t="s">
        <v>269</v>
      </c>
      <c r="J41" s="4" t="s">
        <v>269</v>
      </c>
      <c r="K41" s="4" t="s">
        <v>269</v>
      </c>
      <c r="L41" s="4" t="s">
        <v>270</v>
      </c>
      <c r="M41" s="4">
        <v>2500</v>
      </c>
      <c r="N41" s="4">
        <v>2750</v>
      </c>
      <c r="O41" s="4">
        <v>1</v>
      </c>
      <c r="P41" s="4">
        <v>1</v>
      </c>
      <c r="Q41" s="4">
        <v>600</v>
      </c>
      <c r="R41" s="4">
        <v>50</v>
      </c>
      <c r="S41" s="4">
        <v>550</v>
      </c>
      <c r="T41" s="4">
        <v>50</v>
      </c>
      <c r="U41" s="4">
        <v>550</v>
      </c>
      <c r="V41" s="4">
        <v>50</v>
      </c>
      <c r="W41" s="4">
        <v>360</v>
      </c>
      <c r="X41" s="4">
        <v>25</v>
      </c>
      <c r="Y41" s="4">
        <v>16</v>
      </c>
      <c r="Z41" s="4" t="s">
        <v>269</v>
      </c>
      <c r="AA41" s="4" t="s">
        <v>270</v>
      </c>
      <c r="AB41" s="4" t="s">
        <v>270</v>
      </c>
      <c r="AC41" s="4">
        <v>230</v>
      </c>
      <c r="AD41" s="4">
        <v>220</v>
      </c>
      <c r="AE41" s="5">
        <v>12</v>
      </c>
    </row>
    <row r="42" spans="1:31">
      <c r="A42" s="3" t="s">
        <v>313</v>
      </c>
      <c r="B42" s="4" t="s">
        <v>307</v>
      </c>
      <c r="C42" s="4">
        <v>433</v>
      </c>
      <c r="D42" s="4">
        <v>354</v>
      </c>
      <c r="E42" s="4">
        <v>147</v>
      </c>
      <c r="F42" s="4">
        <v>13</v>
      </c>
      <c r="G42" s="4" t="s">
        <v>268</v>
      </c>
      <c r="H42" s="4" t="s">
        <v>269</v>
      </c>
      <c r="I42" s="4" t="s">
        <v>269</v>
      </c>
      <c r="J42" s="4" t="s">
        <v>269</v>
      </c>
      <c r="K42" s="4" t="s">
        <v>269</v>
      </c>
      <c r="L42" s="4" t="s">
        <v>270</v>
      </c>
      <c r="M42" s="4">
        <v>2900</v>
      </c>
      <c r="N42" s="4">
        <v>2900</v>
      </c>
      <c r="O42" s="4">
        <v>1</v>
      </c>
      <c r="P42" s="4">
        <v>2</v>
      </c>
      <c r="Q42" s="4">
        <v>535</v>
      </c>
      <c r="R42" s="4">
        <v>80</v>
      </c>
      <c r="S42" s="4">
        <v>435</v>
      </c>
      <c r="T42" s="4">
        <v>80</v>
      </c>
      <c r="U42" s="4">
        <v>435</v>
      </c>
      <c r="V42" s="4">
        <v>80</v>
      </c>
      <c r="W42" s="4">
        <v>230</v>
      </c>
      <c r="X42" s="4">
        <v>15.6</v>
      </c>
      <c r="Y42" s="4">
        <v>12.5</v>
      </c>
      <c r="Z42" s="4" t="s">
        <v>269</v>
      </c>
      <c r="AA42" s="4" t="s">
        <v>270</v>
      </c>
      <c r="AB42" s="4" t="s">
        <v>270</v>
      </c>
      <c r="AC42" s="4">
        <v>127</v>
      </c>
      <c r="AD42" s="4">
        <v>127</v>
      </c>
      <c r="AE42" s="5">
        <v>22.9</v>
      </c>
    </row>
    <row r="43" spans="1:31">
      <c r="A43" s="3" t="s">
        <v>314</v>
      </c>
      <c r="B43" s="4" t="s">
        <v>307</v>
      </c>
      <c r="C43" s="4">
        <v>295</v>
      </c>
      <c r="D43" s="4">
        <v>230</v>
      </c>
      <c r="E43" s="4">
        <v>113</v>
      </c>
      <c r="F43" s="4">
        <v>5.8</v>
      </c>
      <c r="G43" s="4" t="s">
        <v>268</v>
      </c>
      <c r="H43" s="4" t="s">
        <v>269</v>
      </c>
      <c r="I43" s="4" t="s">
        <v>269</v>
      </c>
      <c r="J43" s="4" t="s">
        <v>269</v>
      </c>
      <c r="K43" s="4" t="s">
        <v>269</v>
      </c>
      <c r="L43" s="4" t="s">
        <v>270</v>
      </c>
      <c r="M43" s="4">
        <v>3000</v>
      </c>
      <c r="N43" s="4">
        <v>3300</v>
      </c>
      <c r="O43" s="4">
        <v>1</v>
      </c>
      <c r="P43" s="4">
        <v>1</v>
      </c>
      <c r="Q43" s="4">
        <v>500</v>
      </c>
      <c r="R43" s="4">
        <v>50</v>
      </c>
      <c r="S43" s="4">
        <v>450</v>
      </c>
      <c r="T43" s="4">
        <v>50</v>
      </c>
      <c r="U43" s="4">
        <v>450</v>
      </c>
      <c r="V43" s="4">
        <v>50</v>
      </c>
      <c r="W43" s="4">
        <v>360</v>
      </c>
      <c r="X43" s="4">
        <v>25</v>
      </c>
      <c r="Y43" s="4">
        <v>16</v>
      </c>
      <c r="Z43" s="4" t="s">
        <v>269</v>
      </c>
      <c r="AA43" s="4" t="s">
        <v>270</v>
      </c>
      <c r="AB43" s="4" t="s">
        <v>270</v>
      </c>
      <c r="AC43" s="4">
        <v>240</v>
      </c>
      <c r="AD43" s="4">
        <v>220</v>
      </c>
      <c r="AE43" s="5">
        <v>13.7</v>
      </c>
    </row>
    <row r="44" spans="1:31">
      <c r="A44" s="3" t="s">
        <v>315</v>
      </c>
      <c r="B44" s="4" t="s">
        <v>307</v>
      </c>
      <c r="C44" s="4">
        <v>113</v>
      </c>
      <c r="D44" s="4">
        <v>295</v>
      </c>
      <c r="E44" s="4">
        <v>230</v>
      </c>
      <c r="F44" s="4">
        <v>5.8</v>
      </c>
      <c r="G44" s="4" t="s">
        <v>268</v>
      </c>
      <c r="H44" s="4" t="s">
        <v>269</v>
      </c>
      <c r="I44" s="4" t="s">
        <v>269</v>
      </c>
      <c r="J44" s="4" t="s">
        <v>269</v>
      </c>
      <c r="K44" s="4" t="s">
        <v>269</v>
      </c>
      <c r="L44" s="4" t="s">
        <v>270</v>
      </c>
      <c r="M44" s="4">
        <v>3000</v>
      </c>
      <c r="N44" s="4">
        <v>3300</v>
      </c>
      <c r="O44" s="4">
        <v>1</v>
      </c>
      <c r="P44" s="4">
        <v>1</v>
      </c>
      <c r="Q44" s="4">
        <v>600</v>
      </c>
      <c r="R44" s="4">
        <v>50</v>
      </c>
      <c r="S44" s="4">
        <v>550</v>
      </c>
      <c r="T44" s="4">
        <v>50</v>
      </c>
      <c r="U44" s="4">
        <v>550</v>
      </c>
      <c r="V44" s="4">
        <v>50</v>
      </c>
      <c r="W44" s="4">
        <v>360</v>
      </c>
      <c r="X44" s="4">
        <v>25</v>
      </c>
      <c r="Y44" s="4">
        <v>16</v>
      </c>
      <c r="Z44" s="4" t="s">
        <v>269</v>
      </c>
      <c r="AA44" s="4" t="s">
        <v>270</v>
      </c>
      <c r="AB44" s="4" t="s">
        <v>270</v>
      </c>
      <c r="AC44" s="4">
        <v>230</v>
      </c>
      <c r="AD44" s="4">
        <v>220</v>
      </c>
      <c r="AE44" s="5">
        <v>14.3</v>
      </c>
    </row>
    <row r="45" spans="1:31">
      <c r="A45" s="3" t="s">
        <v>316</v>
      </c>
      <c r="B45" s="4" t="s">
        <v>307</v>
      </c>
      <c r="C45" s="4">
        <v>433</v>
      </c>
      <c r="D45" s="4">
        <v>354</v>
      </c>
      <c r="E45" s="4">
        <v>147</v>
      </c>
      <c r="F45" s="4">
        <v>13</v>
      </c>
      <c r="G45" s="4" t="s">
        <v>268</v>
      </c>
      <c r="H45" s="4" t="s">
        <v>269</v>
      </c>
      <c r="I45" s="4" t="s">
        <v>269</v>
      </c>
      <c r="J45" s="4" t="s">
        <v>269</v>
      </c>
      <c r="K45" s="4" t="s">
        <v>269</v>
      </c>
      <c r="L45" s="4" t="s">
        <v>270</v>
      </c>
      <c r="M45" s="4">
        <v>3000</v>
      </c>
      <c r="N45" s="4">
        <v>3000</v>
      </c>
      <c r="O45" s="4">
        <v>1</v>
      </c>
      <c r="P45" s="4">
        <v>2</v>
      </c>
      <c r="Q45" s="4">
        <v>600</v>
      </c>
      <c r="R45" s="4">
        <v>80</v>
      </c>
      <c r="S45" s="4">
        <v>550</v>
      </c>
      <c r="T45" s="4">
        <v>80</v>
      </c>
      <c r="U45" s="4">
        <v>550</v>
      </c>
      <c r="V45" s="4">
        <v>80</v>
      </c>
      <c r="W45" s="4">
        <v>360</v>
      </c>
      <c r="X45" s="4">
        <v>13.8</v>
      </c>
      <c r="Y45" s="4">
        <v>11</v>
      </c>
      <c r="Z45" s="4" t="s">
        <v>269</v>
      </c>
      <c r="AA45" s="4" t="s">
        <v>270</v>
      </c>
      <c r="AB45" s="4" t="s">
        <v>270</v>
      </c>
      <c r="AC45" s="4">
        <v>230</v>
      </c>
      <c r="AD45" s="4">
        <v>220</v>
      </c>
      <c r="AE45" s="5">
        <v>13.6</v>
      </c>
    </row>
    <row r="46" spans="1:31">
      <c r="A46" s="3" t="s">
        <v>317</v>
      </c>
      <c r="B46" s="4" t="s">
        <v>307</v>
      </c>
      <c r="C46" s="4">
        <v>433</v>
      </c>
      <c r="D46" s="4">
        <v>354</v>
      </c>
      <c r="E46" s="4">
        <v>147</v>
      </c>
      <c r="F46" s="4">
        <v>13</v>
      </c>
      <c r="G46" s="4" t="s">
        <v>268</v>
      </c>
      <c r="H46" s="4" t="s">
        <v>269</v>
      </c>
      <c r="I46" s="4" t="s">
        <v>269</v>
      </c>
      <c r="J46" s="4" t="s">
        <v>269</v>
      </c>
      <c r="K46" s="4" t="s">
        <v>269</v>
      </c>
      <c r="L46" s="4" t="s">
        <v>270</v>
      </c>
      <c r="M46" s="4">
        <v>3000</v>
      </c>
      <c r="N46" s="4">
        <v>3000</v>
      </c>
      <c r="O46" s="4">
        <v>1</v>
      </c>
      <c r="P46" s="4">
        <v>2</v>
      </c>
      <c r="Q46" s="4">
        <v>600</v>
      </c>
      <c r="R46" s="4">
        <v>80</v>
      </c>
      <c r="S46" s="4">
        <v>550</v>
      </c>
      <c r="T46" s="4">
        <v>80</v>
      </c>
      <c r="U46" s="4">
        <v>550</v>
      </c>
      <c r="V46" s="4">
        <v>80</v>
      </c>
      <c r="W46" s="4">
        <v>360</v>
      </c>
      <c r="X46" s="4">
        <v>16.3</v>
      </c>
      <c r="Y46" s="4">
        <v>13</v>
      </c>
      <c r="Z46" s="4" t="s">
        <v>269</v>
      </c>
      <c r="AA46" s="4" t="s">
        <v>270</v>
      </c>
      <c r="AB46" s="4" t="s">
        <v>270</v>
      </c>
      <c r="AC46" s="4">
        <v>230</v>
      </c>
      <c r="AD46" s="4">
        <v>220</v>
      </c>
      <c r="AE46" s="5">
        <v>13.6</v>
      </c>
    </row>
    <row r="47" spans="1:31">
      <c r="A47" s="3" t="s">
        <v>318</v>
      </c>
      <c r="B47" s="4" t="s">
        <v>307</v>
      </c>
      <c r="C47" s="4">
        <v>295</v>
      </c>
      <c r="D47" s="4">
        <v>230</v>
      </c>
      <c r="E47" s="4">
        <v>113</v>
      </c>
      <c r="F47" s="4">
        <v>5.8</v>
      </c>
      <c r="G47" s="4" t="s">
        <v>268</v>
      </c>
      <c r="H47" s="4" t="s">
        <v>269</v>
      </c>
      <c r="I47" s="4" t="s">
        <v>269</v>
      </c>
      <c r="J47" s="4" t="s">
        <v>269</v>
      </c>
      <c r="K47" s="4" t="s">
        <v>269</v>
      </c>
      <c r="L47" s="4" t="s">
        <v>270</v>
      </c>
      <c r="M47" s="4">
        <v>3300</v>
      </c>
      <c r="N47" s="4">
        <v>3300</v>
      </c>
      <c r="O47" s="4">
        <v>1</v>
      </c>
      <c r="P47" s="4">
        <v>1</v>
      </c>
      <c r="Q47" s="4">
        <v>500</v>
      </c>
      <c r="R47" s="4">
        <v>50</v>
      </c>
      <c r="S47" s="4">
        <v>450</v>
      </c>
      <c r="T47" s="4">
        <v>50</v>
      </c>
      <c r="U47" s="4">
        <v>450</v>
      </c>
      <c r="V47" s="4">
        <v>50</v>
      </c>
      <c r="W47" s="4">
        <v>360</v>
      </c>
      <c r="X47" s="4">
        <v>25</v>
      </c>
      <c r="Y47" s="4">
        <v>16</v>
      </c>
      <c r="Z47" s="4" t="s">
        <v>269</v>
      </c>
      <c r="AA47" s="4" t="s">
        <v>270</v>
      </c>
      <c r="AB47" s="4" t="s">
        <v>270</v>
      </c>
      <c r="AC47" s="4">
        <v>240</v>
      </c>
      <c r="AD47" s="4">
        <v>220</v>
      </c>
      <c r="AE47" s="5">
        <v>15</v>
      </c>
    </row>
    <row r="48" spans="1:31">
      <c r="A48" s="3" t="s">
        <v>319</v>
      </c>
      <c r="B48" s="4" t="s">
        <v>307</v>
      </c>
      <c r="C48" s="4">
        <v>433</v>
      </c>
      <c r="D48" s="4">
        <v>354</v>
      </c>
      <c r="E48" s="4">
        <v>147</v>
      </c>
      <c r="F48" s="4">
        <v>13</v>
      </c>
      <c r="G48" s="4" t="s">
        <v>268</v>
      </c>
      <c r="H48" s="4" t="s">
        <v>269</v>
      </c>
      <c r="I48" s="4" t="s">
        <v>269</v>
      </c>
      <c r="J48" s="4" t="s">
        <v>269</v>
      </c>
      <c r="K48" s="4" t="s">
        <v>269</v>
      </c>
      <c r="L48" s="4" t="s">
        <v>270</v>
      </c>
      <c r="M48" s="4">
        <v>3680</v>
      </c>
      <c r="N48" s="4">
        <v>3600</v>
      </c>
      <c r="O48" s="4">
        <v>1</v>
      </c>
      <c r="P48" s="4">
        <v>2</v>
      </c>
      <c r="Q48" s="4">
        <v>600</v>
      </c>
      <c r="R48" s="4">
        <v>80</v>
      </c>
      <c r="S48" s="4">
        <v>550</v>
      </c>
      <c r="T48" s="4">
        <v>80</v>
      </c>
      <c r="U48" s="4">
        <v>550</v>
      </c>
      <c r="V48" s="4">
        <v>80</v>
      </c>
      <c r="W48" s="4">
        <v>360</v>
      </c>
      <c r="X48" s="4">
        <v>13.8</v>
      </c>
      <c r="Y48" s="4">
        <v>11</v>
      </c>
      <c r="Z48" s="4" t="s">
        <v>269</v>
      </c>
      <c r="AA48" s="4" t="s">
        <v>270</v>
      </c>
      <c r="AB48" s="4" t="s">
        <v>270</v>
      </c>
      <c r="AC48" s="4">
        <v>230</v>
      </c>
      <c r="AD48" s="4">
        <v>220</v>
      </c>
      <c r="AE48" s="5">
        <v>16</v>
      </c>
    </row>
    <row r="49" spans="1:31">
      <c r="A49" s="3" t="s">
        <v>320</v>
      </c>
      <c r="B49" s="4" t="s">
        <v>307</v>
      </c>
      <c r="C49" s="4">
        <v>433</v>
      </c>
      <c r="D49" s="4">
        <v>354</v>
      </c>
      <c r="E49" s="4">
        <v>147</v>
      </c>
      <c r="F49" s="4">
        <v>13</v>
      </c>
      <c r="G49" s="4" t="s">
        <v>268</v>
      </c>
      <c r="H49" s="4" t="s">
        <v>269</v>
      </c>
      <c r="I49" s="4" t="s">
        <v>269</v>
      </c>
      <c r="J49" s="4" t="s">
        <v>269</v>
      </c>
      <c r="K49" s="4" t="s">
        <v>269</v>
      </c>
      <c r="L49" s="4" t="s">
        <v>270</v>
      </c>
      <c r="M49" s="4">
        <v>3680</v>
      </c>
      <c r="N49" s="4">
        <v>3600</v>
      </c>
      <c r="O49" s="4">
        <v>1</v>
      </c>
      <c r="P49" s="4">
        <v>2</v>
      </c>
      <c r="Q49" s="4">
        <v>600</v>
      </c>
      <c r="R49" s="4">
        <v>80</v>
      </c>
      <c r="S49" s="4">
        <v>550</v>
      </c>
      <c r="T49" s="4">
        <v>80</v>
      </c>
      <c r="U49" s="4">
        <v>550</v>
      </c>
      <c r="V49" s="4">
        <v>80</v>
      </c>
      <c r="W49" s="4">
        <v>360</v>
      </c>
      <c r="X49" s="4">
        <v>16.3</v>
      </c>
      <c r="Y49" s="4">
        <v>13</v>
      </c>
      <c r="Z49" s="4" t="s">
        <v>269</v>
      </c>
      <c r="AA49" s="4" t="s">
        <v>270</v>
      </c>
      <c r="AB49" s="4" t="s">
        <v>270</v>
      </c>
      <c r="AC49" s="4">
        <v>230</v>
      </c>
      <c r="AD49" s="4">
        <v>220</v>
      </c>
      <c r="AE49" s="5">
        <v>16</v>
      </c>
    </row>
    <row r="50" spans="1:31">
      <c r="A50" s="3" t="s">
        <v>321</v>
      </c>
      <c r="B50" s="4" t="s">
        <v>307</v>
      </c>
      <c r="C50" s="4">
        <v>433</v>
      </c>
      <c r="D50" s="4">
        <v>354</v>
      </c>
      <c r="E50" s="4">
        <v>147</v>
      </c>
      <c r="F50" s="4">
        <v>13</v>
      </c>
      <c r="G50" s="4" t="s">
        <v>268</v>
      </c>
      <c r="H50" s="4" t="s">
        <v>269</v>
      </c>
      <c r="I50" s="4" t="s">
        <v>269</v>
      </c>
      <c r="J50" s="4" t="s">
        <v>269</v>
      </c>
      <c r="K50" s="4" t="s">
        <v>269</v>
      </c>
      <c r="L50" s="4" t="s">
        <v>270</v>
      </c>
      <c r="M50" s="4">
        <v>4200</v>
      </c>
      <c r="N50" s="4">
        <v>4200</v>
      </c>
      <c r="O50" s="4">
        <v>1</v>
      </c>
      <c r="P50" s="4">
        <v>2</v>
      </c>
      <c r="Q50" s="4">
        <v>600</v>
      </c>
      <c r="R50" s="4">
        <v>80</v>
      </c>
      <c r="S50" s="4">
        <v>550</v>
      </c>
      <c r="T50" s="4">
        <v>80</v>
      </c>
      <c r="U50" s="4">
        <v>550</v>
      </c>
      <c r="V50" s="4">
        <v>80</v>
      </c>
      <c r="W50" s="4">
        <v>360</v>
      </c>
      <c r="X50" s="4">
        <v>13.8</v>
      </c>
      <c r="Y50" s="4">
        <v>11</v>
      </c>
      <c r="Z50" s="4" t="s">
        <v>269</v>
      </c>
      <c r="AA50" s="4" t="s">
        <v>270</v>
      </c>
      <c r="AB50" s="4" t="s">
        <v>270</v>
      </c>
      <c r="AC50" s="4">
        <v>230</v>
      </c>
      <c r="AD50" s="4">
        <v>220</v>
      </c>
      <c r="AE50" s="5">
        <v>19</v>
      </c>
    </row>
    <row r="51" spans="1:31">
      <c r="A51" s="3" t="s">
        <v>322</v>
      </c>
      <c r="B51" s="4" t="s">
        <v>307</v>
      </c>
      <c r="C51" s="4">
        <v>433</v>
      </c>
      <c r="D51" s="4">
        <v>354</v>
      </c>
      <c r="E51" s="4">
        <v>147</v>
      </c>
      <c r="F51" s="4">
        <v>13</v>
      </c>
      <c r="G51" s="4" t="s">
        <v>268</v>
      </c>
      <c r="H51" s="4" t="s">
        <v>269</v>
      </c>
      <c r="I51" s="4" t="s">
        <v>269</v>
      </c>
      <c r="J51" s="4" t="s">
        <v>269</v>
      </c>
      <c r="K51" s="4" t="s">
        <v>269</v>
      </c>
      <c r="L51" s="4" t="s">
        <v>270</v>
      </c>
      <c r="M51" s="4">
        <v>4200</v>
      </c>
      <c r="N51" s="4">
        <v>4200</v>
      </c>
      <c r="O51" s="4">
        <v>1</v>
      </c>
      <c r="P51" s="4">
        <v>2</v>
      </c>
      <c r="Q51" s="4">
        <v>600</v>
      </c>
      <c r="R51" s="4">
        <v>80</v>
      </c>
      <c r="S51" s="4">
        <v>550</v>
      </c>
      <c r="T51" s="4">
        <v>80</v>
      </c>
      <c r="U51" s="4">
        <v>550</v>
      </c>
      <c r="V51" s="4">
        <v>80</v>
      </c>
      <c r="W51" s="4">
        <v>360</v>
      </c>
      <c r="X51" s="4">
        <v>16.3</v>
      </c>
      <c r="Y51" s="4">
        <v>13</v>
      </c>
      <c r="Z51" s="4" t="s">
        <v>269</v>
      </c>
      <c r="AA51" s="4" t="s">
        <v>270</v>
      </c>
      <c r="AB51" s="4" t="s">
        <v>270</v>
      </c>
      <c r="AC51" s="4">
        <v>230</v>
      </c>
      <c r="AD51" s="4">
        <v>220</v>
      </c>
      <c r="AE51" s="5">
        <v>19</v>
      </c>
    </row>
    <row r="52" spans="1:31">
      <c r="A52" s="3" t="s">
        <v>323</v>
      </c>
      <c r="B52" s="4" t="s">
        <v>307</v>
      </c>
      <c r="C52" s="4">
        <v>511</v>
      </c>
      <c r="D52" s="4">
        <v>415</v>
      </c>
      <c r="E52" s="4">
        <v>175</v>
      </c>
      <c r="F52" s="4">
        <v>22.5</v>
      </c>
      <c r="G52" s="4" t="s">
        <v>268</v>
      </c>
      <c r="H52" s="4" t="s">
        <v>269</v>
      </c>
      <c r="I52" s="4" t="s">
        <v>269</v>
      </c>
      <c r="J52" s="4" t="s">
        <v>269</v>
      </c>
      <c r="K52" s="4" t="s">
        <v>269</v>
      </c>
      <c r="L52" s="4" t="s">
        <v>270</v>
      </c>
      <c r="M52" s="4">
        <v>5000</v>
      </c>
      <c r="N52" s="4">
        <v>5500</v>
      </c>
      <c r="O52" s="4">
        <v>1</v>
      </c>
      <c r="P52" s="4">
        <v>3</v>
      </c>
      <c r="Q52" s="4">
        <v>600</v>
      </c>
      <c r="R52" s="4">
        <v>80</v>
      </c>
      <c r="S52" s="4">
        <v>550</v>
      </c>
      <c r="T52" s="4">
        <v>80</v>
      </c>
      <c r="U52" s="4">
        <v>550</v>
      </c>
      <c r="V52" s="4">
        <v>80</v>
      </c>
      <c r="W52" s="4">
        <v>360</v>
      </c>
      <c r="X52" s="4">
        <v>15</v>
      </c>
      <c r="Y52" s="4">
        <v>12.5</v>
      </c>
      <c r="Z52" s="4" t="s">
        <v>269</v>
      </c>
      <c r="AA52" s="4" t="s">
        <v>270</v>
      </c>
      <c r="AB52" s="4" t="s">
        <v>270</v>
      </c>
      <c r="AC52" s="4">
        <v>230</v>
      </c>
      <c r="AD52" s="4">
        <v>220</v>
      </c>
      <c r="AE52" s="5">
        <v>25</v>
      </c>
    </row>
    <row r="53" spans="1:31">
      <c r="A53" s="3" t="s">
        <v>324</v>
      </c>
      <c r="B53" s="4" t="s">
        <v>307</v>
      </c>
      <c r="C53" s="4">
        <v>433</v>
      </c>
      <c r="D53" s="4">
        <v>354</v>
      </c>
      <c r="E53" s="4">
        <v>147</v>
      </c>
      <c r="F53" s="4">
        <v>13</v>
      </c>
      <c r="G53" s="4" t="s">
        <v>268</v>
      </c>
      <c r="H53" s="4" t="s">
        <v>269</v>
      </c>
      <c r="I53" s="4" t="s">
        <v>269</v>
      </c>
      <c r="J53" s="4" t="s">
        <v>269</v>
      </c>
      <c r="K53" s="4" t="s">
        <v>269</v>
      </c>
      <c r="L53" s="4" t="s">
        <v>270</v>
      </c>
      <c r="M53" s="4">
        <v>5000</v>
      </c>
      <c r="N53" s="4">
        <v>5000</v>
      </c>
      <c r="O53" s="4">
        <v>1</v>
      </c>
      <c r="P53" s="4">
        <v>2</v>
      </c>
      <c r="Q53" s="4">
        <v>600</v>
      </c>
      <c r="R53" s="4">
        <v>80</v>
      </c>
      <c r="S53" s="4">
        <v>550</v>
      </c>
      <c r="T53" s="4">
        <v>80</v>
      </c>
      <c r="U53" s="4">
        <v>550</v>
      </c>
      <c r="V53" s="4">
        <v>80</v>
      </c>
      <c r="W53" s="4">
        <v>360</v>
      </c>
      <c r="X53" s="4">
        <v>13.8</v>
      </c>
      <c r="Y53" s="4">
        <v>11</v>
      </c>
      <c r="Z53" s="4" t="s">
        <v>269</v>
      </c>
      <c r="AA53" s="4" t="s">
        <v>270</v>
      </c>
      <c r="AB53" s="4" t="s">
        <v>270</v>
      </c>
      <c r="AC53" s="4">
        <v>230</v>
      </c>
      <c r="AD53" s="4">
        <v>220</v>
      </c>
      <c r="AE53" s="5">
        <v>22.8</v>
      </c>
    </row>
    <row r="54" spans="1:31">
      <c r="A54" s="3" t="s">
        <v>325</v>
      </c>
      <c r="B54" s="4" t="s">
        <v>307</v>
      </c>
      <c r="C54" s="4">
        <v>433</v>
      </c>
      <c r="D54" s="4">
        <v>354</v>
      </c>
      <c r="E54" s="4">
        <v>147</v>
      </c>
      <c r="F54" s="4">
        <v>13</v>
      </c>
      <c r="G54" s="4" t="s">
        <v>268</v>
      </c>
      <c r="H54" s="4" t="s">
        <v>269</v>
      </c>
      <c r="I54" s="4" t="s">
        <v>269</v>
      </c>
      <c r="J54" s="4" t="s">
        <v>269</v>
      </c>
      <c r="K54" s="4" t="s">
        <v>269</v>
      </c>
      <c r="L54" s="4" t="s">
        <v>270</v>
      </c>
      <c r="M54" s="4">
        <v>5000</v>
      </c>
      <c r="N54" s="4">
        <v>5000</v>
      </c>
      <c r="O54" s="4">
        <v>1</v>
      </c>
      <c r="P54" s="4">
        <v>2</v>
      </c>
      <c r="Q54" s="4">
        <v>600</v>
      </c>
      <c r="R54" s="4">
        <v>80</v>
      </c>
      <c r="S54" s="4">
        <v>550</v>
      </c>
      <c r="T54" s="4">
        <v>80</v>
      </c>
      <c r="U54" s="4">
        <v>550</v>
      </c>
      <c r="V54" s="4">
        <v>80</v>
      </c>
      <c r="W54" s="4">
        <v>360</v>
      </c>
      <c r="X54" s="4">
        <v>16.3</v>
      </c>
      <c r="Y54" s="4">
        <v>13</v>
      </c>
      <c r="Z54" s="4" t="s">
        <v>269</v>
      </c>
      <c r="AA54" s="4" t="s">
        <v>270</v>
      </c>
      <c r="AB54" s="4" t="s">
        <v>270</v>
      </c>
      <c r="AC54" s="4">
        <v>230</v>
      </c>
      <c r="AD54" s="4">
        <v>220</v>
      </c>
      <c r="AE54" s="5">
        <v>22.8</v>
      </c>
    </row>
    <row r="55" spans="1:31">
      <c r="A55" s="3" t="s">
        <v>326</v>
      </c>
      <c r="B55" s="4" t="s">
        <v>307</v>
      </c>
      <c r="C55" s="4">
        <v>175</v>
      </c>
      <c r="D55" s="4">
        <v>415</v>
      </c>
      <c r="E55" s="4">
        <v>511</v>
      </c>
      <c r="F55" s="4">
        <v>22.5</v>
      </c>
      <c r="G55" s="4" t="s">
        <v>268</v>
      </c>
      <c r="H55" s="4" t="s">
        <v>269</v>
      </c>
      <c r="I55" s="4" t="s">
        <v>269</v>
      </c>
      <c r="J55" s="4" t="s">
        <v>269</v>
      </c>
      <c r="K55" s="4" t="s">
        <v>269</v>
      </c>
      <c r="L55" s="4" t="s">
        <v>270</v>
      </c>
      <c r="M55" s="4">
        <v>6000</v>
      </c>
      <c r="N55" s="4">
        <v>6600</v>
      </c>
      <c r="O55" s="4">
        <v>1</v>
      </c>
      <c r="P55" s="4">
        <v>3</v>
      </c>
      <c r="Q55" s="4">
        <v>600</v>
      </c>
      <c r="R55" s="4">
        <v>80</v>
      </c>
      <c r="S55" s="4">
        <v>550</v>
      </c>
      <c r="T55" s="4">
        <v>80</v>
      </c>
      <c r="U55" s="4">
        <v>550</v>
      </c>
      <c r="V55" s="4">
        <v>80</v>
      </c>
      <c r="W55" s="4">
        <v>360</v>
      </c>
      <c r="X55" s="4">
        <v>15</v>
      </c>
      <c r="Y55" s="4">
        <v>12.5</v>
      </c>
      <c r="Z55" s="4" t="s">
        <v>269</v>
      </c>
      <c r="AA55" s="4" t="s">
        <v>270</v>
      </c>
      <c r="AB55" s="4" t="s">
        <v>270</v>
      </c>
      <c r="AC55" s="4">
        <v>230</v>
      </c>
      <c r="AD55" s="4">
        <v>220</v>
      </c>
      <c r="AE55" s="5">
        <v>30</v>
      </c>
    </row>
    <row r="56" spans="1:31">
      <c r="A56" s="3" t="s">
        <v>327</v>
      </c>
      <c r="B56" s="4" t="s">
        <v>307</v>
      </c>
      <c r="C56" s="4">
        <v>433</v>
      </c>
      <c r="D56" s="4">
        <v>354</v>
      </c>
      <c r="E56" s="4">
        <v>147</v>
      </c>
      <c r="F56" s="4">
        <v>13.5</v>
      </c>
      <c r="G56" s="4" t="s">
        <v>268</v>
      </c>
      <c r="H56" s="4" t="s">
        <v>269</v>
      </c>
      <c r="I56" s="4" t="s">
        <v>269</v>
      </c>
      <c r="J56" s="4" t="s">
        <v>269</v>
      </c>
      <c r="K56" s="4" t="s">
        <v>269</v>
      </c>
      <c r="L56" s="4" t="s">
        <v>270</v>
      </c>
      <c r="M56" s="4">
        <v>6000</v>
      </c>
      <c r="N56" s="4">
        <v>6000</v>
      </c>
      <c r="O56" s="4">
        <v>1</v>
      </c>
      <c r="P56" s="4">
        <v>2</v>
      </c>
      <c r="Q56" s="4">
        <v>600</v>
      </c>
      <c r="R56" s="4">
        <v>80</v>
      </c>
      <c r="S56" s="4">
        <v>550</v>
      </c>
      <c r="T56" s="4">
        <v>80</v>
      </c>
      <c r="U56" s="4">
        <v>550</v>
      </c>
      <c r="V56" s="4">
        <v>80</v>
      </c>
      <c r="W56" s="4">
        <v>360</v>
      </c>
      <c r="X56" s="4">
        <v>13.8</v>
      </c>
      <c r="Y56" s="4">
        <v>11</v>
      </c>
      <c r="Z56" s="4" t="s">
        <v>269</v>
      </c>
      <c r="AA56" s="4" t="s">
        <v>270</v>
      </c>
      <c r="AB56" s="4" t="s">
        <v>270</v>
      </c>
      <c r="AC56" s="4">
        <v>230</v>
      </c>
      <c r="AD56" s="4">
        <v>220</v>
      </c>
      <c r="AE56" s="5">
        <v>27.3</v>
      </c>
    </row>
    <row r="57" spans="1:31">
      <c r="A57" s="3" t="s">
        <v>328</v>
      </c>
      <c r="B57" s="4" t="s">
        <v>307</v>
      </c>
      <c r="C57" s="4">
        <v>433</v>
      </c>
      <c r="D57" s="4">
        <v>354</v>
      </c>
      <c r="E57" s="4">
        <v>147</v>
      </c>
      <c r="F57" s="4">
        <v>13.5</v>
      </c>
      <c r="G57" s="4" t="s">
        <v>268</v>
      </c>
      <c r="H57" s="4" t="s">
        <v>269</v>
      </c>
      <c r="I57" s="4" t="s">
        <v>269</v>
      </c>
      <c r="J57" s="4" t="s">
        <v>269</v>
      </c>
      <c r="K57" s="4" t="s">
        <v>269</v>
      </c>
      <c r="L57" s="4" t="s">
        <v>270</v>
      </c>
      <c r="M57" s="4">
        <v>6000</v>
      </c>
      <c r="N57" s="4">
        <v>6000</v>
      </c>
      <c r="O57" s="4">
        <v>1</v>
      </c>
      <c r="P57" s="4">
        <v>2</v>
      </c>
      <c r="Q57" s="4">
        <v>600</v>
      </c>
      <c r="R57" s="4">
        <v>80</v>
      </c>
      <c r="S57" s="4">
        <v>550</v>
      </c>
      <c r="T57" s="4">
        <v>80</v>
      </c>
      <c r="U57" s="4">
        <v>550</v>
      </c>
      <c r="V57" s="4">
        <v>80</v>
      </c>
      <c r="W57" s="4">
        <v>360</v>
      </c>
      <c r="X57" s="4">
        <v>16.3</v>
      </c>
      <c r="Y57" s="4">
        <v>13</v>
      </c>
      <c r="Z57" s="4" t="s">
        <v>269</v>
      </c>
      <c r="AA57" s="4" t="s">
        <v>270</v>
      </c>
      <c r="AB57" s="4" t="s">
        <v>270</v>
      </c>
      <c r="AC57" s="4">
        <v>230</v>
      </c>
      <c r="AD57" s="4">
        <v>220</v>
      </c>
      <c r="AE57" s="5">
        <v>27.3</v>
      </c>
    </row>
    <row r="58" spans="1:31">
      <c r="A58" s="3" t="s">
        <v>329</v>
      </c>
      <c r="B58" s="4" t="s">
        <v>307</v>
      </c>
      <c r="C58" s="4">
        <v>175</v>
      </c>
      <c r="D58" s="4">
        <v>415</v>
      </c>
      <c r="E58" s="4">
        <v>511</v>
      </c>
      <c r="F58" s="4">
        <v>22.5</v>
      </c>
      <c r="G58" s="4" t="s">
        <v>268</v>
      </c>
      <c r="H58" s="4" t="s">
        <v>269</v>
      </c>
      <c r="I58" s="4" t="s">
        <v>269</v>
      </c>
      <c r="J58" s="4" t="s">
        <v>269</v>
      </c>
      <c r="K58" s="4" t="s">
        <v>269</v>
      </c>
      <c r="L58" s="4" t="s">
        <v>270</v>
      </c>
      <c r="M58" s="4">
        <v>7000</v>
      </c>
      <c r="N58" s="4">
        <v>7700</v>
      </c>
      <c r="O58" s="4">
        <v>1</v>
      </c>
      <c r="P58" s="4">
        <v>3</v>
      </c>
      <c r="Q58" s="4">
        <v>600</v>
      </c>
      <c r="R58" s="4">
        <v>80</v>
      </c>
      <c r="S58" s="4">
        <v>550</v>
      </c>
      <c r="T58" s="4">
        <v>80</v>
      </c>
      <c r="U58" s="4">
        <v>550</v>
      </c>
      <c r="V58" s="4">
        <v>80</v>
      </c>
      <c r="W58" s="4">
        <v>360</v>
      </c>
      <c r="X58" s="4">
        <v>15</v>
      </c>
      <c r="Y58" s="4">
        <v>12.5</v>
      </c>
      <c r="Z58" s="4" t="s">
        <v>269</v>
      </c>
      <c r="AA58" s="4" t="s">
        <v>270</v>
      </c>
      <c r="AB58" s="4" t="s">
        <v>270</v>
      </c>
      <c r="AC58" s="4">
        <v>230</v>
      </c>
      <c r="AD58" s="4">
        <v>220</v>
      </c>
      <c r="AE58" s="5">
        <v>35</v>
      </c>
    </row>
    <row r="59" spans="1:31">
      <c r="A59" s="3" t="s">
        <v>330</v>
      </c>
      <c r="B59" s="4" t="s">
        <v>307</v>
      </c>
      <c r="C59" s="4">
        <v>175</v>
      </c>
      <c r="D59" s="4">
        <v>415</v>
      </c>
      <c r="E59" s="4">
        <v>511</v>
      </c>
      <c r="F59" s="4">
        <v>22.5</v>
      </c>
      <c r="G59" s="4" t="s">
        <v>268</v>
      </c>
      <c r="H59" s="4" t="s">
        <v>269</v>
      </c>
      <c r="I59" s="4" t="s">
        <v>269</v>
      </c>
      <c r="J59" s="4" t="s">
        <v>269</v>
      </c>
      <c r="K59" s="4" t="s">
        <v>269</v>
      </c>
      <c r="L59" s="4" t="s">
        <v>270</v>
      </c>
      <c r="M59" s="4">
        <v>8500</v>
      </c>
      <c r="N59" s="4">
        <v>9350</v>
      </c>
      <c r="O59" s="4">
        <v>1</v>
      </c>
      <c r="P59" s="4">
        <v>3</v>
      </c>
      <c r="Q59" s="4">
        <v>600</v>
      </c>
      <c r="R59" s="4">
        <v>80</v>
      </c>
      <c r="S59" s="4">
        <v>550</v>
      </c>
      <c r="T59" s="4">
        <v>80</v>
      </c>
      <c r="U59" s="4">
        <v>550</v>
      </c>
      <c r="V59" s="4">
        <v>80</v>
      </c>
      <c r="W59" s="4">
        <v>360</v>
      </c>
      <c r="X59" s="4">
        <v>15</v>
      </c>
      <c r="Y59" s="4">
        <v>12.5</v>
      </c>
      <c r="Z59" s="4" t="s">
        <v>269</v>
      </c>
      <c r="AA59" s="4" t="s">
        <v>270</v>
      </c>
      <c r="AB59" s="4" t="s">
        <v>270</v>
      </c>
      <c r="AC59" s="4">
        <v>230</v>
      </c>
      <c r="AD59" s="4">
        <v>220</v>
      </c>
      <c r="AE59" s="5">
        <v>42.5</v>
      </c>
    </row>
    <row r="60" spans="1:31">
      <c r="A60" s="3" t="s">
        <v>331</v>
      </c>
      <c r="B60" s="4" t="s">
        <v>307</v>
      </c>
      <c r="C60" s="4">
        <v>175</v>
      </c>
      <c r="D60" s="4">
        <v>415</v>
      </c>
      <c r="E60" s="4">
        <v>511</v>
      </c>
      <c r="F60" s="4">
        <v>22.5</v>
      </c>
      <c r="G60" s="4" t="s">
        <v>268</v>
      </c>
      <c r="H60" s="4" t="s">
        <v>269</v>
      </c>
      <c r="I60" s="4" t="s">
        <v>269</v>
      </c>
      <c r="J60" s="4" t="s">
        <v>269</v>
      </c>
      <c r="K60" s="4" t="s">
        <v>269</v>
      </c>
      <c r="L60" s="4" t="s">
        <v>270</v>
      </c>
      <c r="M60" s="4">
        <v>10000</v>
      </c>
      <c r="N60" s="4">
        <v>10000</v>
      </c>
      <c r="O60" s="4">
        <v>1</v>
      </c>
      <c r="P60" s="4">
        <v>3</v>
      </c>
      <c r="Q60" s="4">
        <v>600</v>
      </c>
      <c r="R60" s="4">
        <v>80</v>
      </c>
      <c r="S60" s="4">
        <v>550</v>
      </c>
      <c r="T60" s="4">
        <v>80</v>
      </c>
      <c r="U60" s="4">
        <v>550</v>
      </c>
      <c r="V60" s="4">
        <v>80</v>
      </c>
      <c r="W60" s="4">
        <v>360</v>
      </c>
      <c r="X60" s="4">
        <v>15</v>
      </c>
      <c r="Y60" s="4">
        <v>12.5</v>
      </c>
      <c r="Z60" s="4" t="s">
        <v>269</v>
      </c>
      <c r="AA60" s="4" t="s">
        <v>270</v>
      </c>
      <c r="AB60" s="4" t="s">
        <v>270</v>
      </c>
      <c r="AC60" s="4">
        <v>230</v>
      </c>
      <c r="AD60" s="4">
        <v>220</v>
      </c>
      <c r="AE60" s="5">
        <v>45.5</v>
      </c>
    </row>
    <row r="61" spans="1:31">
      <c r="A61" s="3" t="s">
        <v>332</v>
      </c>
      <c r="B61" s="4" t="s">
        <v>307</v>
      </c>
      <c r="C61" s="4">
        <v>788</v>
      </c>
      <c r="D61" s="4">
        <v>586</v>
      </c>
      <c r="E61" s="4">
        <v>267</v>
      </c>
      <c r="F61" s="4">
        <v>70</v>
      </c>
      <c r="G61" s="4" t="s">
        <v>289</v>
      </c>
      <c r="H61" s="4" t="s">
        <v>269</v>
      </c>
      <c r="I61" s="4" t="s">
        <v>269</v>
      </c>
      <c r="J61" s="4" t="s">
        <v>270</v>
      </c>
      <c r="K61" s="4" t="s">
        <v>269</v>
      </c>
      <c r="L61" s="4" t="s">
        <v>270</v>
      </c>
      <c r="M61" s="4">
        <v>75000</v>
      </c>
      <c r="N61" s="4">
        <v>75000</v>
      </c>
      <c r="O61" s="4">
        <v>4</v>
      </c>
      <c r="P61" s="4">
        <v>4</v>
      </c>
      <c r="Q61" s="4">
        <v>1100</v>
      </c>
      <c r="R61" s="4">
        <v>200</v>
      </c>
      <c r="S61" s="4">
        <v>1000</v>
      </c>
      <c r="T61" s="4">
        <v>200</v>
      </c>
      <c r="U61" s="4">
        <v>1000</v>
      </c>
      <c r="V61" s="4">
        <v>200</v>
      </c>
      <c r="W61" s="4">
        <v>600</v>
      </c>
      <c r="X61" s="4">
        <v>55</v>
      </c>
      <c r="Y61" s="4">
        <v>44</v>
      </c>
      <c r="Z61" s="4" t="s">
        <v>270</v>
      </c>
      <c r="AA61" s="4" t="s">
        <v>269</v>
      </c>
      <c r="AB61" s="4" t="s">
        <v>269</v>
      </c>
      <c r="AC61" s="4">
        <v>400</v>
      </c>
      <c r="AD61" s="4">
        <v>400</v>
      </c>
      <c r="AE61" s="5">
        <v>133</v>
      </c>
    </row>
    <row r="62" spans="1:31">
      <c r="A62" s="3" t="s">
        <v>333</v>
      </c>
      <c r="B62" s="4" t="s">
        <v>307</v>
      </c>
      <c r="C62" s="4">
        <v>788</v>
      </c>
      <c r="D62" s="4">
        <v>586</v>
      </c>
      <c r="E62" s="4">
        <v>267</v>
      </c>
      <c r="F62" s="4">
        <v>70</v>
      </c>
      <c r="G62" s="4" t="s">
        <v>334</v>
      </c>
      <c r="H62" s="4" t="s">
        <v>269</v>
      </c>
      <c r="I62" s="4" t="s">
        <v>269</v>
      </c>
      <c r="J62" s="4" t="s">
        <v>270</v>
      </c>
      <c r="K62" s="4" t="s">
        <v>269</v>
      </c>
      <c r="L62" s="4" t="s">
        <v>270</v>
      </c>
      <c r="M62" s="4">
        <v>75000</v>
      </c>
      <c r="N62" s="4">
        <v>75000</v>
      </c>
      <c r="O62" s="4">
        <v>4</v>
      </c>
      <c r="P62" s="4">
        <v>4</v>
      </c>
      <c r="Q62" s="4">
        <v>1100</v>
      </c>
      <c r="R62" s="4">
        <v>200</v>
      </c>
      <c r="S62" s="4">
        <v>1000</v>
      </c>
      <c r="T62" s="4">
        <v>200</v>
      </c>
      <c r="U62" s="4">
        <v>1000</v>
      </c>
      <c r="V62" s="4">
        <v>200</v>
      </c>
      <c r="X62" s="4">
        <v>55</v>
      </c>
      <c r="Y62" s="4">
        <v>44</v>
      </c>
      <c r="Z62" s="4" t="s">
        <v>270</v>
      </c>
      <c r="AA62" s="4" t="s">
        <v>269</v>
      </c>
      <c r="AB62" s="4" t="s">
        <v>269</v>
      </c>
      <c r="AC62" s="4">
        <v>415</v>
      </c>
      <c r="AD62" s="4">
        <v>380</v>
      </c>
      <c r="AE62" s="5">
        <v>114</v>
      </c>
    </row>
    <row r="63" spans="1:31">
      <c r="A63" s="3" t="s">
        <v>335</v>
      </c>
      <c r="B63" s="4" t="s">
        <v>336</v>
      </c>
      <c r="C63" s="4">
        <v>375</v>
      </c>
      <c r="D63" s="4">
        <v>375</v>
      </c>
      <c r="E63" s="4">
        <v>161.5</v>
      </c>
      <c r="F63" s="4">
        <v>10.6</v>
      </c>
      <c r="G63" s="4" t="s">
        <v>268</v>
      </c>
      <c r="H63" s="4" t="s">
        <v>269</v>
      </c>
      <c r="I63" s="4" t="s">
        <v>269</v>
      </c>
      <c r="J63" s="4" t="s">
        <v>270</v>
      </c>
      <c r="K63" s="4" t="s">
        <v>269</v>
      </c>
      <c r="L63" s="4" t="s">
        <v>270</v>
      </c>
      <c r="M63" s="4">
        <v>2000</v>
      </c>
      <c r="N63" s="4">
        <v>3000</v>
      </c>
      <c r="O63" s="4">
        <v>1</v>
      </c>
      <c r="P63" s="4">
        <v>2</v>
      </c>
      <c r="Q63" s="4">
        <v>600</v>
      </c>
      <c r="R63" s="4">
        <v>90</v>
      </c>
      <c r="S63" s="4">
        <v>600</v>
      </c>
      <c r="T63" s="4">
        <v>495</v>
      </c>
      <c r="U63" s="4">
        <v>480</v>
      </c>
      <c r="V63" s="4">
        <v>160</v>
      </c>
      <c r="W63" s="4">
        <v>380</v>
      </c>
      <c r="X63" s="4">
        <v>15</v>
      </c>
      <c r="Y63" s="4">
        <v>11</v>
      </c>
      <c r="Z63" s="4" t="s">
        <v>269</v>
      </c>
      <c r="AA63" s="4" t="s">
        <v>270</v>
      </c>
      <c r="AB63" s="4" t="s">
        <v>270</v>
      </c>
      <c r="AC63" s="4">
        <v>240</v>
      </c>
      <c r="AD63" s="4">
        <v>220</v>
      </c>
      <c r="AE63" s="5">
        <v>10</v>
      </c>
    </row>
    <row r="64" spans="1:31">
      <c r="A64" s="3" t="s">
        <v>337</v>
      </c>
      <c r="B64" s="4" t="s">
        <v>336</v>
      </c>
      <c r="C64" s="4">
        <v>365</v>
      </c>
      <c r="D64" s="4">
        <v>365</v>
      </c>
      <c r="E64" s="4">
        <v>156</v>
      </c>
      <c r="F64" s="4">
        <v>12</v>
      </c>
      <c r="G64" s="4" t="s">
        <v>268</v>
      </c>
      <c r="H64" s="4" t="s">
        <v>269</v>
      </c>
      <c r="I64" s="4" t="s">
        <v>269</v>
      </c>
      <c r="J64" s="4" t="s">
        <v>270</v>
      </c>
      <c r="K64" s="4" t="s">
        <v>269</v>
      </c>
      <c r="L64" s="4" t="s">
        <v>270</v>
      </c>
      <c r="M64" s="4">
        <v>2000</v>
      </c>
      <c r="N64" s="4">
        <v>3000</v>
      </c>
      <c r="O64" s="4">
        <v>2</v>
      </c>
      <c r="P64" s="4">
        <v>2</v>
      </c>
      <c r="Q64" s="4">
        <v>600</v>
      </c>
      <c r="R64" s="4">
        <v>100</v>
      </c>
      <c r="S64" s="4">
        <v>600</v>
      </c>
      <c r="T64" s="4">
        <v>90</v>
      </c>
      <c r="U64" s="4">
        <v>560</v>
      </c>
      <c r="V64" s="4">
        <v>350</v>
      </c>
      <c r="W64" s="4">
        <v>360</v>
      </c>
      <c r="X64" s="4">
        <v>18</v>
      </c>
      <c r="Y64" s="4">
        <v>12.5</v>
      </c>
      <c r="Z64" s="4" t="s">
        <v>269</v>
      </c>
      <c r="AA64" s="4" t="s">
        <v>270</v>
      </c>
      <c r="AB64" s="4" t="s">
        <v>270</v>
      </c>
      <c r="AC64" s="4">
        <v>240</v>
      </c>
      <c r="AD64" s="4">
        <v>220</v>
      </c>
      <c r="AE64" s="5">
        <v>10</v>
      </c>
    </row>
    <row r="65" spans="1:31">
      <c r="A65" s="3" t="s">
        <v>338</v>
      </c>
      <c r="B65" s="4" t="s">
        <v>336</v>
      </c>
      <c r="C65" s="4">
        <v>375</v>
      </c>
      <c r="D65" s="4">
        <v>375</v>
      </c>
      <c r="E65" s="4">
        <v>161.5</v>
      </c>
      <c r="F65" s="4">
        <v>10.6</v>
      </c>
      <c r="G65" s="4" t="s">
        <v>268</v>
      </c>
      <c r="H65" s="4" t="s">
        <v>269</v>
      </c>
      <c r="I65" s="4" t="s">
        <v>269</v>
      </c>
      <c r="J65" s="4" t="s">
        <v>270</v>
      </c>
      <c r="K65" s="4" t="s">
        <v>269</v>
      </c>
      <c r="L65" s="4" t="s">
        <v>270</v>
      </c>
      <c r="M65" s="4">
        <v>3000</v>
      </c>
      <c r="N65" s="4">
        <v>4500</v>
      </c>
      <c r="O65" s="4">
        <v>1</v>
      </c>
      <c r="P65" s="4">
        <v>2</v>
      </c>
      <c r="Q65" s="4">
        <v>600</v>
      </c>
      <c r="R65" s="4">
        <v>90</v>
      </c>
      <c r="S65" s="4">
        <v>600</v>
      </c>
      <c r="T65" s="4">
        <v>495</v>
      </c>
      <c r="U65" s="4">
        <v>480</v>
      </c>
      <c r="V65" s="4">
        <v>160</v>
      </c>
      <c r="W65" s="4">
        <v>380</v>
      </c>
      <c r="X65" s="4">
        <v>15</v>
      </c>
      <c r="Y65" s="4">
        <v>11</v>
      </c>
      <c r="Z65" s="4" t="s">
        <v>269</v>
      </c>
      <c r="AA65" s="4" t="s">
        <v>270</v>
      </c>
      <c r="AB65" s="4" t="s">
        <v>270</v>
      </c>
      <c r="AC65" s="4">
        <v>240</v>
      </c>
      <c r="AD65" s="4">
        <v>220</v>
      </c>
      <c r="AE65" s="5">
        <v>15</v>
      </c>
    </row>
    <row r="66" spans="1:31">
      <c r="A66" s="3" t="s">
        <v>339</v>
      </c>
      <c r="B66" s="4" t="s">
        <v>336</v>
      </c>
      <c r="C66" s="4">
        <v>365</v>
      </c>
      <c r="D66" s="4">
        <v>365</v>
      </c>
      <c r="E66" s="4">
        <v>156</v>
      </c>
      <c r="F66" s="4">
        <v>12</v>
      </c>
      <c r="G66" s="4" t="s">
        <v>268</v>
      </c>
      <c r="H66" s="4" t="s">
        <v>269</v>
      </c>
      <c r="I66" s="4" t="s">
        <v>269</v>
      </c>
      <c r="J66" s="4" t="s">
        <v>270</v>
      </c>
      <c r="K66" s="4" t="s">
        <v>269</v>
      </c>
      <c r="L66" s="4" t="s">
        <v>270</v>
      </c>
      <c r="M66" s="4">
        <v>3000</v>
      </c>
      <c r="N66" s="4">
        <v>4500</v>
      </c>
      <c r="O66" s="4">
        <v>2</v>
      </c>
      <c r="P66" s="4">
        <v>2</v>
      </c>
      <c r="Q66" s="4">
        <v>600</v>
      </c>
      <c r="R66" s="4">
        <v>100</v>
      </c>
      <c r="S66" s="4">
        <v>600</v>
      </c>
      <c r="T66" s="4">
        <v>90</v>
      </c>
      <c r="U66" s="4">
        <v>560</v>
      </c>
      <c r="V66" s="4">
        <v>350</v>
      </c>
      <c r="W66" s="4">
        <v>360</v>
      </c>
      <c r="X66" s="4">
        <v>18</v>
      </c>
      <c r="Y66" s="4">
        <v>12.5</v>
      </c>
      <c r="Z66" s="4" t="s">
        <v>269</v>
      </c>
      <c r="AA66" s="4" t="s">
        <v>270</v>
      </c>
      <c r="AB66" s="4" t="s">
        <v>270</v>
      </c>
      <c r="AC66" s="4">
        <v>240</v>
      </c>
      <c r="AD66" s="4">
        <v>220</v>
      </c>
      <c r="AE66" s="5">
        <v>15</v>
      </c>
    </row>
    <row r="67" spans="1:31">
      <c r="A67" s="3" t="s">
        <v>340</v>
      </c>
      <c r="B67" s="4" t="s">
        <v>336</v>
      </c>
      <c r="C67" s="4">
        <v>375</v>
      </c>
      <c r="D67" s="4">
        <v>375</v>
      </c>
      <c r="E67" s="4">
        <v>161.5</v>
      </c>
      <c r="F67" s="4">
        <v>10.6</v>
      </c>
      <c r="G67" s="4" t="s">
        <v>268</v>
      </c>
      <c r="H67" s="4" t="s">
        <v>269</v>
      </c>
      <c r="I67" s="4" t="s">
        <v>269</v>
      </c>
      <c r="J67" s="4" t="s">
        <v>270</v>
      </c>
      <c r="K67" s="4" t="s">
        <v>269</v>
      </c>
      <c r="L67" s="4" t="s">
        <v>270</v>
      </c>
      <c r="M67" s="4">
        <v>3680</v>
      </c>
      <c r="N67" s="4">
        <v>5520</v>
      </c>
      <c r="O67" s="4">
        <v>1</v>
      </c>
      <c r="P67" s="4">
        <v>2</v>
      </c>
      <c r="Q67" s="4">
        <v>600</v>
      </c>
      <c r="R67" s="4">
        <v>90</v>
      </c>
      <c r="S67" s="4">
        <v>600</v>
      </c>
      <c r="T67" s="4">
        <v>495</v>
      </c>
      <c r="U67" s="4">
        <v>480</v>
      </c>
      <c r="V67" s="4">
        <v>160</v>
      </c>
      <c r="W67" s="4">
        <v>380</v>
      </c>
      <c r="X67" s="4">
        <v>15</v>
      </c>
      <c r="Y67" s="4">
        <v>11</v>
      </c>
      <c r="Z67" s="4" t="s">
        <v>269</v>
      </c>
      <c r="AA67" s="4" t="s">
        <v>270</v>
      </c>
      <c r="AB67" s="4" t="s">
        <v>270</v>
      </c>
      <c r="AC67" s="4">
        <v>240</v>
      </c>
      <c r="AD67" s="4">
        <v>220</v>
      </c>
      <c r="AE67" s="5">
        <v>16</v>
      </c>
    </row>
    <row r="68" spans="1:31">
      <c r="A68" s="3" t="s">
        <v>341</v>
      </c>
      <c r="B68" s="4" t="s">
        <v>336</v>
      </c>
      <c r="C68" s="4">
        <v>375</v>
      </c>
      <c r="D68" s="4">
        <v>375</v>
      </c>
      <c r="E68" s="4">
        <v>161.5</v>
      </c>
      <c r="F68" s="4">
        <v>10.6</v>
      </c>
      <c r="G68" s="4" t="s">
        <v>268</v>
      </c>
      <c r="H68" s="4" t="s">
        <v>269</v>
      </c>
      <c r="I68" s="4" t="s">
        <v>269</v>
      </c>
      <c r="J68" s="4" t="s">
        <v>270</v>
      </c>
      <c r="K68" s="4" t="s">
        <v>269</v>
      </c>
      <c r="L68" s="4" t="s">
        <v>270</v>
      </c>
      <c r="M68" s="4">
        <v>4000</v>
      </c>
      <c r="N68" s="4">
        <v>6000</v>
      </c>
      <c r="O68" s="4">
        <v>1</v>
      </c>
      <c r="P68" s="4">
        <v>2</v>
      </c>
      <c r="Q68" s="4">
        <v>600</v>
      </c>
      <c r="R68" s="4">
        <v>90</v>
      </c>
      <c r="S68" s="4">
        <v>600</v>
      </c>
      <c r="T68" s="4">
        <v>495</v>
      </c>
      <c r="U68" s="4">
        <v>480</v>
      </c>
      <c r="V68" s="4">
        <v>160</v>
      </c>
      <c r="W68" s="4">
        <v>380</v>
      </c>
      <c r="X68" s="4">
        <v>15</v>
      </c>
      <c r="Y68" s="4">
        <v>11</v>
      </c>
      <c r="Z68" s="4" t="s">
        <v>269</v>
      </c>
      <c r="AA68" s="4" t="s">
        <v>270</v>
      </c>
      <c r="AB68" s="4" t="s">
        <v>270</v>
      </c>
      <c r="AC68" s="4">
        <v>240</v>
      </c>
      <c r="AD68" s="4">
        <v>220</v>
      </c>
      <c r="AE68" s="5">
        <v>20</v>
      </c>
    </row>
    <row r="69" spans="1:31">
      <c r="A69" s="3" t="s">
        <v>342</v>
      </c>
      <c r="B69" s="4" t="s">
        <v>336</v>
      </c>
      <c r="C69" s="4">
        <v>365</v>
      </c>
      <c r="D69" s="4">
        <v>365</v>
      </c>
      <c r="E69" s="4">
        <v>156</v>
      </c>
      <c r="F69" s="4">
        <v>12</v>
      </c>
      <c r="G69" s="4" t="s">
        <v>268</v>
      </c>
      <c r="H69" s="4" t="s">
        <v>269</v>
      </c>
      <c r="I69" s="4" t="s">
        <v>269</v>
      </c>
      <c r="J69" s="4" t="s">
        <v>270</v>
      </c>
      <c r="K69" s="4" t="s">
        <v>269</v>
      </c>
      <c r="L69" s="4" t="s">
        <v>270</v>
      </c>
      <c r="M69" s="4">
        <v>4000</v>
      </c>
      <c r="N69" s="4">
        <v>6000</v>
      </c>
      <c r="O69" s="4">
        <v>2</v>
      </c>
      <c r="P69" s="4">
        <v>2</v>
      </c>
      <c r="Q69" s="4">
        <v>600</v>
      </c>
      <c r="R69" s="4">
        <v>100</v>
      </c>
      <c r="S69" s="4">
        <v>600</v>
      </c>
      <c r="T69" s="4">
        <v>90</v>
      </c>
      <c r="U69" s="4">
        <v>560</v>
      </c>
      <c r="V69" s="4">
        <v>350</v>
      </c>
      <c r="W69" s="4">
        <v>360</v>
      </c>
      <c r="X69" s="4">
        <v>18</v>
      </c>
      <c r="Y69" s="4">
        <v>12.5</v>
      </c>
      <c r="Z69" s="4" t="s">
        <v>269</v>
      </c>
      <c r="AA69" s="4" t="s">
        <v>270</v>
      </c>
      <c r="AB69" s="4" t="s">
        <v>270</v>
      </c>
      <c r="AC69" s="4">
        <v>240</v>
      </c>
      <c r="AD69" s="4">
        <v>220</v>
      </c>
      <c r="AE69" s="5">
        <v>20</v>
      </c>
    </row>
    <row r="70" spans="1:31">
      <c r="A70" s="3" t="s">
        <v>343</v>
      </c>
      <c r="B70" s="4" t="s">
        <v>336</v>
      </c>
      <c r="C70" s="4">
        <v>375</v>
      </c>
      <c r="D70" s="4">
        <v>375</v>
      </c>
      <c r="E70" s="4">
        <v>161.5</v>
      </c>
      <c r="F70" s="4">
        <v>10.6</v>
      </c>
      <c r="G70" s="4" t="s">
        <v>268</v>
      </c>
      <c r="H70" s="4" t="s">
        <v>269</v>
      </c>
      <c r="I70" s="4" t="s">
        <v>269</v>
      </c>
      <c r="J70" s="4" t="s">
        <v>270</v>
      </c>
      <c r="K70" s="4" t="s">
        <v>269</v>
      </c>
      <c r="L70" s="4" t="s">
        <v>270</v>
      </c>
      <c r="M70" s="4">
        <v>4600</v>
      </c>
      <c r="N70" s="4">
        <v>6900</v>
      </c>
      <c r="O70" s="4">
        <v>1</v>
      </c>
      <c r="P70" s="4">
        <v>2</v>
      </c>
      <c r="Q70" s="4">
        <v>600</v>
      </c>
      <c r="R70" s="4">
        <v>90</v>
      </c>
      <c r="S70" s="4">
        <v>600</v>
      </c>
      <c r="T70" s="4">
        <v>495</v>
      </c>
      <c r="U70" s="4">
        <v>480</v>
      </c>
      <c r="V70" s="4">
        <v>160</v>
      </c>
      <c r="W70" s="4">
        <v>380</v>
      </c>
      <c r="X70" s="4">
        <v>15</v>
      </c>
      <c r="Y70" s="4">
        <v>11</v>
      </c>
      <c r="Z70" s="4" t="s">
        <v>269</v>
      </c>
      <c r="AA70" s="4" t="s">
        <v>270</v>
      </c>
      <c r="AB70" s="4" t="s">
        <v>270</v>
      </c>
      <c r="AC70" s="4">
        <v>240</v>
      </c>
      <c r="AD70" s="4">
        <v>220</v>
      </c>
      <c r="AE70" s="5">
        <v>23</v>
      </c>
    </row>
    <row r="71" spans="1:31">
      <c r="A71" s="3" t="s">
        <v>344</v>
      </c>
      <c r="B71" s="4" t="s">
        <v>336</v>
      </c>
      <c r="C71" s="4">
        <v>375</v>
      </c>
      <c r="D71" s="4">
        <v>375</v>
      </c>
      <c r="E71" s="4">
        <v>161.5</v>
      </c>
      <c r="F71" s="4">
        <v>10.6</v>
      </c>
      <c r="G71" s="4" t="s">
        <v>268</v>
      </c>
      <c r="H71" s="4" t="s">
        <v>269</v>
      </c>
      <c r="I71" s="4" t="s">
        <v>269</v>
      </c>
      <c r="J71" s="4" t="s">
        <v>270</v>
      </c>
      <c r="K71" s="4" t="s">
        <v>269</v>
      </c>
      <c r="L71" s="4" t="s">
        <v>270</v>
      </c>
      <c r="M71" s="4">
        <v>5000</v>
      </c>
      <c r="N71" s="4">
        <v>7500</v>
      </c>
      <c r="O71" s="4">
        <v>1</v>
      </c>
      <c r="P71" s="4">
        <v>2</v>
      </c>
      <c r="Q71" s="4">
        <v>600</v>
      </c>
      <c r="R71" s="4">
        <v>90</v>
      </c>
      <c r="S71" s="4">
        <v>600</v>
      </c>
      <c r="T71" s="4">
        <v>495</v>
      </c>
      <c r="U71" s="4">
        <v>480</v>
      </c>
      <c r="V71" s="4">
        <v>160</v>
      </c>
      <c r="W71" s="4">
        <v>380</v>
      </c>
      <c r="X71" s="4">
        <v>15</v>
      </c>
      <c r="Y71" s="4">
        <v>11</v>
      </c>
      <c r="Z71" s="4" t="s">
        <v>269</v>
      </c>
      <c r="AA71" s="4" t="s">
        <v>270</v>
      </c>
      <c r="AB71" s="4" t="s">
        <v>270</v>
      </c>
      <c r="AC71" s="4">
        <v>240</v>
      </c>
      <c r="AD71" s="4">
        <v>220</v>
      </c>
      <c r="AE71" s="5">
        <v>25</v>
      </c>
    </row>
    <row r="72" spans="1:31">
      <c r="A72" s="3" t="s">
        <v>345</v>
      </c>
      <c r="B72" s="4" t="s">
        <v>336</v>
      </c>
      <c r="C72" s="4">
        <v>365</v>
      </c>
      <c r="D72" s="4">
        <v>365</v>
      </c>
      <c r="E72" s="4">
        <v>156</v>
      </c>
      <c r="F72" s="4">
        <v>12</v>
      </c>
      <c r="G72" s="4" t="s">
        <v>268</v>
      </c>
      <c r="H72" s="4" t="s">
        <v>269</v>
      </c>
      <c r="I72" s="4" t="s">
        <v>269</v>
      </c>
      <c r="J72" s="4" t="s">
        <v>270</v>
      </c>
      <c r="K72" s="4" t="s">
        <v>269</v>
      </c>
      <c r="L72" s="4" t="s">
        <v>270</v>
      </c>
      <c r="M72" s="4">
        <v>5000</v>
      </c>
      <c r="N72" s="4">
        <v>7500</v>
      </c>
      <c r="O72" s="4">
        <v>1</v>
      </c>
      <c r="P72" s="4">
        <v>2</v>
      </c>
      <c r="Q72" s="4">
        <v>600</v>
      </c>
      <c r="R72" s="4">
        <v>100</v>
      </c>
      <c r="S72" s="4">
        <v>600</v>
      </c>
      <c r="T72" s="4">
        <v>90</v>
      </c>
      <c r="U72" s="4">
        <v>560</v>
      </c>
      <c r="V72" s="4">
        <v>350</v>
      </c>
      <c r="W72" s="4">
        <v>360</v>
      </c>
      <c r="X72" s="4">
        <v>18</v>
      </c>
      <c r="Y72" s="4">
        <v>12.5</v>
      </c>
      <c r="Z72" s="4" t="s">
        <v>269</v>
      </c>
      <c r="AA72" s="4" t="s">
        <v>270</v>
      </c>
      <c r="AB72" s="4" t="s">
        <v>270</v>
      </c>
      <c r="AC72" s="4">
        <v>240</v>
      </c>
      <c r="AD72" s="4">
        <v>220</v>
      </c>
      <c r="AE72" s="5">
        <v>25</v>
      </c>
    </row>
    <row r="73" spans="1:31">
      <c r="A73" s="3" t="s">
        <v>346</v>
      </c>
      <c r="B73" s="4" t="s">
        <v>336</v>
      </c>
      <c r="C73" s="4">
        <v>525</v>
      </c>
      <c r="D73" s="4">
        <v>470</v>
      </c>
      <c r="E73" s="4">
        <v>166</v>
      </c>
      <c r="F73" s="4">
        <v>17</v>
      </c>
      <c r="G73" s="4" t="s">
        <v>268</v>
      </c>
      <c r="H73" s="4" t="s">
        <v>269</v>
      </c>
      <c r="I73" s="4" t="s">
        <v>269</v>
      </c>
      <c r="J73" s="4" t="s">
        <v>270</v>
      </c>
      <c r="K73" s="4" t="s">
        <v>269</v>
      </c>
      <c r="L73" s="4" t="s">
        <v>270</v>
      </c>
      <c r="M73" s="4">
        <v>5000</v>
      </c>
      <c r="N73" s="4">
        <v>5500</v>
      </c>
      <c r="O73" s="4">
        <v>2</v>
      </c>
      <c r="P73" s="4">
        <v>2</v>
      </c>
      <c r="Q73" s="4">
        <v>1100</v>
      </c>
      <c r="R73" s="4">
        <v>200</v>
      </c>
      <c r="S73" s="4">
        <v>680</v>
      </c>
      <c r="T73" s="4">
        <v>140</v>
      </c>
      <c r="U73" s="4">
        <v>850</v>
      </c>
      <c r="V73" s="4">
        <v>380</v>
      </c>
      <c r="W73" s="4">
        <v>600</v>
      </c>
      <c r="X73" s="4">
        <v>15</v>
      </c>
      <c r="Y73" s="4">
        <v>11</v>
      </c>
      <c r="Z73" s="4" t="s">
        <v>270</v>
      </c>
      <c r="AA73" s="4" t="s">
        <v>269</v>
      </c>
      <c r="AB73" s="4" t="s">
        <v>270</v>
      </c>
      <c r="AC73" s="4" t="s">
        <v>347</v>
      </c>
      <c r="AD73" s="4" t="s">
        <v>348</v>
      </c>
      <c r="AE73" s="5">
        <v>8.5</v>
      </c>
    </row>
    <row r="74" spans="1:31">
      <c r="A74" s="3" t="s">
        <v>349</v>
      </c>
      <c r="B74" s="4" t="s">
        <v>336</v>
      </c>
      <c r="C74" s="4">
        <v>365</v>
      </c>
      <c r="D74" s="4">
        <v>365</v>
      </c>
      <c r="E74" s="4">
        <v>156</v>
      </c>
      <c r="F74" s="4">
        <v>12</v>
      </c>
      <c r="G74" s="4" t="s">
        <v>268</v>
      </c>
      <c r="H74" s="4" t="s">
        <v>269</v>
      </c>
      <c r="I74" s="4" t="s">
        <v>269</v>
      </c>
      <c r="J74" s="4" t="s">
        <v>270</v>
      </c>
      <c r="K74" s="4" t="s">
        <v>269</v>
      </c>
      <c r="L74" s="4" t="s">
        <v>270</v>
      </c>
      <c r="M74" s="4">
        <v>6000</v>
      </c>
      <c r="N74" s="4">
        <v>9000</v>
      </c>
      <c r="O74" s="4">
        <v>1</v>
      </c>
      <c r="P74" s="4">
        <v>2</v>
      </c>
      <c r="Q74" s="4">
        <v>600</v>
      </c>
      <c r="R74" s="4">
        <v>100</v>
      </c>
      <c r="S74" s="4">
        <v>600</v>
      </c>
      <c r="T74" s="4">
        <v>90</v>
      </c>
      <c r="U74" s="4">
        <v>560</v>
      </c>
      <c r="V74" s="4">
        <v>350</v>
      </c>
      <c r="W74" s="4">
        <v>360</v>
      </c>
      <c r="X74" s="4">
        <v>18</v>
      </c>
      <c r="Y74" s="4">
        <v>12.5</v>
      </c>
      <c r="Z74" s="4" t="s">
        <v>269</v>
      </c>
      <c r="AA74" s="4" t="s">
        <v>270</v>
      </c>
      <c r="AB74" s="4" t="s">
        <v>270</v>
      </c>
      <c r="AC74" s="4">
        <v>240</v>
      </c>
      <c r="AD74" s="4">
        <v>220</v>
      </c>
      <c r="AE74" s="5">
        <v>27.3</v>
      </c>
    </row>
    <row r="75" spans="1:31">
      <c r="A75" s="3" t="s">
        <v>350</v>
      </c>
      <c r="B75" s="4" t="s">
        <v>336</v>
      </c>
      <c r="C75" s="4">
        <v>610</v>
      </c>
      <c r="D75" s="4">
        <v>520</v>
      </c>
      <c r="E75" s="4">
        <v>255</v>
      </c>
      <c r="F75" s="4">
        <v>40</v>
      </c>
      <c r="G75" s="4" t="s">
        <v>268</v>
      </c>
      <c r="H75" s="4" t="s">
        <v>270</v>
      </c>
      <c r="I75" s="4" t="s">
        <v>269</v>
      </c>
      <c r="J75" s="4" t="s">
        <v>269</v>
      </c>
      <c r="K75" s="4" t="s">
        <v>269</v>
      </c>
      <c r="L75" s="4" t="s">
        <v>269</v>
      </c>
      <c r="M75" s="4">
        <v>8000</v>
      </c>
      <c r="N75" s="4">
        <v>9000</v>
      </c>
      <c r="O75" s="4">
        <v>2</v>
      </c>
      <c r="P75" s="4">
        <v>2</v>
      </c>
      <c r="Q75" s="4">
        <v>1000</v>
      </c>
      <c r="R75" s="4">
        <v>250</v>
      </c>
      <c r="S75" s="4">
        <v>950</v>
      </c>
      <c r="T75" s="4">
        <v>200</v>
      </c>
      <c r="U75" s="4">
        <v>800</v>
      </c>
      <c r="V75" s="4">
        <v>320</v>
      </c>
      <c r="W75" s="4">
        <v>620</v>
      </c>
      <c r="X75" s="4">
        <v>25</v>
      </c>
      <c r="Y75" s="4">
        <v>18</v>
      </c>
      <c r="Z75" s="4" t="s">
        <v>270</v>
      </c>
      <c r="AA75" s="4" t="s">
        <v>270</v>
      </c>
      <c r="AB75" s="4" t="s">
        <v>269</v>
      </c>
      <c r="AC75" s="4" t="s">
        <v>347</v>
      </c>
      <c r="AD75" s="4" t="s">
        <v>348</v>
      </c>
      <c r="AE75" s="5">
        <v>13.4</v>
      </c>
    </row>
    <row r="76" spans="1:31">
      <c r="A76" s="3" t="s">
        <v>351</v>
      </c>
      <c r="B76" s="4" t="s">
        <v>336</v>
      </c>
      <c r="C76" s="4">
        <v>525</v>
      </c>
      <c r="D76" s="4">
        <v>470</v>
      </c>
      <c r="E76" s="4">
        <v>166</v>
      </c>
      <c r="F76" s="4">
        <v>17</v>
      </c>
      <c r="G76" s="4" t="s">
        <v>268</v>
      </c>
      <c r="H76" s="4" t="s">
        <v>269</v>
      </c>
      <c r="I76" s="4" t="s">
        <v>269</v>
      </c>
      <c r="J76" s="4" t="s">
        <v>270</v>
      </c>
      <c r="K76" s="4" t="s">
        <v>269</v>
      </c>
      <c r="L76" s="4" t="s">
        <v>270</v>
      </c>
      <c r="M76" s="4">
        <v>8000</v>
      </c>
      <c r="N76" s="4">
        <v>8800</v>
      </c>
      <c r="O76" s="4">
        <v>2</v>
      </c>
      <c r="P76" s="4">
        <v>2</v>
      </c>
      <c r="Q76" s="4">
        <v>1100</v>
      </c>
      <c r="R76" s="4">
        <v>200</v>
      </c>
      <c r="S76" s="4">
        <v>680</v>
      </c>
      <c r="T76" s="4">
        <v>140</v>
      </c>
      <c r="U76" s="4">
        <v>850</v>
      </c>
      <c r="V76" s="4">
        <v>380</v>
      </c>
      <c r="W76" s="4">
        <v>600</v>
      </c>
      <c r="X76" s="4">
        <v>15</v>
      </c>
      <c r="Y76" s="4">
        <v>11</v>
      </c>
      <c r="Z76" s="4" t="s">
        <v>270</v>
      </c>
      <c r="AA76" s="4" t="s">
        <v>269</v>
      </c>
      <c r="AB76" s="4" t="s">
        <v>270</v>
      </c>
      <c r="AC76" s="4" t="s">
        <v>347</v>
      </c>
      <c r="AD76" s="4" t="s">
        <v>348</v>
      </c>
      <c r="AE76" s="5">
        <v>13.5</v>
      </c>
    </row>
    <row r="77" spans="1:31">
      <c r="A77" s="3" t="s">
        <v>352</v>
      </c>
      <c r="B77" s="4" t="s">
        <v>336</v>
      </c>
      <c r="C77" s="4">
        <v>525</v>
      </c>
      <c r="D77" s="4">
        <v>470</v>
      </c>
      <c r="E77" s="4">
        <v>262</v>
      </c>
      <c r="F77" s="4">
        <v>25</v>
      </c>
      <c r="G77" s="4" t="s">
        <v>268</v>
      </c>
      <c r="H77" s="4" t="s">
        <v>269</v>
      </c>
      <c r="I77" s="4" t="s">
        <v>269</v>
      </c>
      <c r="J77" s="4" t="s">
        <v>270</v>
      </c>
      <c r="K77" s="4" t="s">
        <v>269</v>
      </c>
      <c r="L77" s="4" t="s">
        <v>270</v>
      </c>
      <c r="M77" s="4">
        <v>8000</v>
      </c>
      <c r="N77" s="4">
        <v>8800</v>
      </c>
      <c r="O77" s="4">
        <v>2</v>
      </c>
      <c r="P77" s="4">
        <v>2</v>
      </c>
      <c r="Q77" s="4">
        <v>1080</v>
      </c>
      <c r="R77" s="4">
        <v>200</v>
      </c>
      <c r="S77" s="4">
        <v>950</v>
      </c>
      <c r="T77" s="4">
        <v>160</v>
      </c>
      <c r="U77" s="4">
        <v>950</v>
      </c>
      <c r="V77" s="4">
        <v>160</v>
      </c>
      <c r="W77" s="4">
        <v>600</v>
      </c>
      <c r="X77" s="4">
        <v>29</v>
      </c>
      <c r="Y77" s="4">
        <v>27</v>
      </c>
      <c r="Z77" s="4" t="s">
        <v>270</v>
      </c>
      <c r="AA77" s="4" t="s">
        <v>269</v>
      </c>
      <c r="AB77" s="4" t="s">
        <v>269</v>
      </c>
      <c r="AC77" s="4">
        <v>400</v>
      </c>
      <c r="AD77" s="4">
        <v>230</v>
      </c>
      <c r="AE77" s="5">
        <v>13.4</v>
      </c>
    </row>
    <row r="78" spans="1:31">
      <c r="A78" s="3" t="s">
        <v>353</v>
      </c>
      <c r="B78" s="4" t="s">
        <v>336</v>
      </c>
      <c r="C78" s="4">
        <v>266</v>
      </c>
      <c r="D78" s="4">
        <v>520</v>
      </c>
      <c r="E78" s="4">
        <v>610</v>
      </c>
      <c r="F78" s="4">
        <v>42</v>
      </c>
      <c r="G78" s="4" t="s">
        <v>268</v>
      </c>
      <c r="H78" s="4" t="s">
        <v>270</v>
      </c>
      <c r="I78" s="4" t="s">
        <v>269</v>
      </c>
      <c r="J78" s="4" t="s">
        <v>269</v>
      </c>
      <c r="K78" s="4" t="s">
        <v>269</v>
      </c>
      <c r="L78" s="4" t="s">
        <v>269</v>
      </c>
      <c r="M78" s="4">
        <v>1000</v>
      </c>
      <c r="N78" s="4">
        <v>11000</v>
      </c>
      <c r="O78" s="4">
        <v>2</v>
      </c>
      <c r="P78" s="4">
        <v>2</v>
      </c>
      <c r="Q78" s="4">
        <v>1000</v>
      </c>
      <c r="R78" s="4">
        <v>250</v>
      </c>
      <c r="S78" s="4">
        <v>950</v>
      </c>
      <c r="T78" s="4">
        <v>200</v>
      </c>
      <c r="U78" s="4">
        <v>800</v>
      </c>
      <c r="V78" s="4">
        <v>320</v>
      </c>
      <c r="X78" s="4">
        <v>25</v>
      </c>
      <c r="Y78" s="4">
        <v>18</v>
      </c>
      <c r="Z78" s="4" t="s">
        <v>270</v>
      </c>
      <c r="AA78" s="4" t="s">
        <v>270</v>
      </c>
      <c r="AB78" s="4" t="s">
        <v>269</v>
      </c>
      <c r="AC78" s="4">
        <v>230</v>
      </c>
      <c r="AD78" s="4">
        <v>220</v>
      </c>
      <c r="AE78" s="5">
        <v>17</v>
      </c>
    </row>
    <row r="79" spans="1:31">
      <c r="A79" s="3" t="s">
        <v>354</v>
      </c>
      <c r="B79" s="4" t="s">
        <v>336</v>
      </c>
      <c r="C79" s="4">
        <v>525</v>
      </c>
      <c r="D79" s="4">
        <v>470</v>
      </c>
      <c r="E79" s="4">
        <v>166</v>
      </c>
      <c r="F79" s="4">
        <v>17</v>
      </c>
      <c r="G79" s="4" t="s">
        <v>268</v>
      </c>
      <c r="H79" s="4" t="s">
        <v>269</v>
      </c>
      <c r="I79" s="4" t="s">
        <v>269</v>
      </c>
      <c r="J79" s="4" t="s">
        <v>270</v>
      </c>
      <c r="K79" s="4" t="s">
        <v>269</v>
      </c>
      <c r="L79" s="4" t="s">
        <v>270</v>
      </c>
      <c r="M79" s="4">
        <v>10000</v>
      </c>
      <c r="N79" s="4">
        <v>11000</v>
      </c>
      <c r="O79" s="4">
        <v>2</v>
      </c>
      <c r="P79" s="4">
        <v>2</v>
      </c>
      <c r="Q79" s="4">
        <v>1100</v>
      </c>
      <c r="R79" s="4">
        <v>200</v>
      </c>
      <c r="S79" s="4">
        <v>680</v>
      </c>
      <c r="T79" s="4">
        <v>140</v>
      </c>
      <c r="U79" s="4">
        <v>850</v>
      </c>
      <c r="V79" s="4">
        <v>380</v>
      </c>
      <c r="W79" s="4">
        <v>600</v>
      </c>
      <c r="X79" s="4">
        <v>15</v>
      </c>
      <c r="Y79" s="4">
        <v>11</v>
      </c>
      <c r="Z79" s="4" t="s">
        <v>270</v>
      </c>
      <c r="AA79" s="4" t="s">
        <v>269</v>
      </c>
      <c r="AB79" s="4" t="s">
        <v>270</v>
      </c>
      <c r="AC79" s="4" t="s">
        <v>347</v>
      </c>
      <c r="AD79" s="4" t="s">
        <v>348</v>
      </c>
      <c r="AE79" s="5">
        <v>16.9</v>
      </c>
    </row>
    <row r="80" spans="1:31">
      <c r="A80" s="3" t="s">
        <v>355</v>
      </c>
      <c r="B80" s="4" t="s">
        <v>336</v>
      </c>
      <c r="C80" s="4">
        <v>525</v>
      </c>
      <c r="D80" s="4">
        <v>470</v>
      </c>
      <c r="E80" s="4">
        <v>262</v>
      </c>
      <c r="F80" s="4">
        <v>25</v>
      </c>
      <c r="G80" s="4" t="s">
        <v>268</v>
      </c>
      <c r="H80" s="4" t="s">
        <v>269</v>
      </c>
      <c r="I80" s="4" t="s">
        <v>269</v>
      </c>
      <c r="J80" s="4" t="s">
        <v>270</v>
      </c>
      <c r="K80" s="4" t="s">
        <v>269</v>
      </c>
      <c r="L80" s="4" t="s">
        <v>270</v>
      </c>
      <c r="M80" s="4">
        <v>10000</v>
      </c>
      <c r="N80" s="4">
        <v>11000</v>
      </c>
      <c r="O80" s="4">
        <v>2</v>
      </c>
      <c r="P80" s="4">
        <v>2</v>
      </c>
      <c r="Q80" s="4">
        <v>1080</v>
      </c>
      <c r="R80" s="4">
        <v>200</v>
      </c>
      <c r="S80" s="4">
        <v>950</v>
      </c>
      <c r="T80" s="4">
        <v>160</v>
      </c>
      <c r="U80" s="4">
        <v>950</v>
      </c>
      <c r="V80" s="4">
        <v>160</v>
      </c>
      <c r="W80" s="4">
        <v>600</v>
      </c>
      <c r="X80" s="4">
        <v>29</v>
      </c>
      <c r="Y80" s="4">
        <v>27</v>
      </c>
      <c r="Z80" s="4" t="s">
        <v>270</v>
      </c>
      <c r="AA80" s="4" t="s">
        <v>269</v>
      </c>
      <c r="AB80" s="4" t="s">
        <v>269</v>
      </c>
      <c r="AC80" s="4">
        <v>400</v>
      </c>
      <c r="AD80" s="4">
        <v>230</v>
      </c>
      <c r="AE80" s="5">
        <v>17</v>
      </c>
    </row>
    <row r="81" spans="1:31">
      <c r="A81" s="3" t="s">
        <v>356</v>
      </c>
      <c r="B81" s="4" t="s">
        <v>336</v>
      </c>
      <c r="C81" s="4">
        <v>610</v>
      </c>
      <c r="D81" s="4">
        <v>520</v>
      </c>
      <c r="E81" s="4">
        <v>255</v>
      </c>
      <c r="F81" s="4">
        <v>40</v>
      </c>
      <c r="G81" s="4" t="s">
        <v>268</v>
      </c>
      <c r="H81" s="4" t="s">
        <v>270</v>
      </c>
      <c r="I81" s="4" t="s">
        <v>269</v>
      </c>
      <c r="J81" s="4" t="s">
        <v>269</v>
      </c>
      <c r="K81" s="4" t="s">
        <v>269</v>
      </c>
      <c r="L81" s="4" t="s">
        <v>269</v>
      </c>
      <c r="M81" s="4">
        <v>12000</v>
      </c>
      <c r="N81" s="4">
        <v>13500</v>
      </c>
      <c r="O81" s="4">
        <v>2</v>
      </c>
      <c r="P81" s="4">
        <v>2</v>
      </c>
      <c r="Q81" s="4">
        <v>1000</v>
      </c>
      <c r="R81" s="4">
        <v>250</v>
      </c>
      <c r="S81" s="4">
        <v>950</v>
      </c>
      <c r="T81" s="4">
        <v>200</v>
      </c>
      <c r="U81" s="4">
        <v>800</v>
      </c>
      <c r="V81" s="4">
        <v>380</v>
      </c>
      <c r="W81" s="4">
        <v>620</v>
      </c>
      <c r="X81" s="4">
        <v>25</v>
      </c>
      <c r="Y81" s="4">
        <v>18</v>
      </c>
      <c r="Z81" s="4" t="s">
        <v>270</v>
      </c>
      <c r="AA81" s="4" t="s">
        <v>270</v>
      </c>
      <c r="AB81" s="4" t="s">
        <v>269</v>
      </c>
      <c r="AC81" s="4" t="s">
        <v>347</v>
      </c>
      <c r="AD81" s="4" t="s">
        <v>348</v>
      </c>
      <c r="AE81" s="5">
        <v>20</v>
      </c>
    </row>
    <row r="82" spans="1:31">
      <c r="A82" s="3" t="s">
        <v>357</v>
      </c>
      <c r="B82" s="4" t="s">
        <v>336</v>
      </c>
      <c r="C82" s="4">
        <v>525</v>
      </c>
      <c r="D82" s="4">
        <v>470</v>
      </c>
      <c r="E82" s="4">
        <v>262</v>
      </c>
      <c r="F82" s="4">
        <v>25</v>
      </c>
      <c r="G82" s="4" t="s">
        <v>268</v>
      </c>
      <c r="H82" s="4" t="s">
        <v>269</v>
      </c>
      <c r="I82" s="4" t="s">
        <v>269</v>
      </c>
      <c r="J82" s="4" t="s">
        <v>270</v>
      </c>
      <c r="K82" s="4" t="s">
        <v>269</v>
      </c>
      <c r="L82" s="4" t="s">
        <v>270</v>
      </c>
      <c r="M82" s="4">
        <v>12000</v>
      </c>
      <c r="N82" s="4">
        <v>13200</v>
      </c>
      <c r="O82" s="4">
        <v>2</v>
      </c>
      <c r="P82" s="4">
        <v>2</v>
      </c>
      <c r="Q82" s="4">
        <v>1080</v>
      </c>
      <c r="R82" s="4">
        <v>200</v>
      </c>
      <c r="S82" s="4">
        <v>950</v>
      </c>
      <c r="T82" s="4">
        <v>160</v>
      </c>
      <c r="U82" s="4">
        <v>950</v>
      </c>
      <c r="V82" s="4">
        <v>160</v>
      </c>
      <c r="W82" s="4">
        <v>600</v>
      </c>
      <c r="X82" s="4">
        <v>30</v>
      </c>
      <c r="Y82" s="4">
        <v>22</v>
      </c>
      <c r="Z82" s="4" t="s">
        <v>270</v>
      </c>
      <c r="AA82" s="4" t="s">
        <v>269</v>
      </c>
      <c r="AB82" s="4" t="s">
        <v>269</v>
      </c>
      <c r="AC82" s="4" t="s">
        <v>347</v>
      </c>
      <c r="AD82" s="4" t="s">
        <v>358</v>
      </c>
      <c r="AE82" s="5">
        <v>20</v>
      </c>
    </row>
    <row r="83" spans="1:31">
      <c r="A83" s="3" t="s">
        <v>359</v>
      </c>
      <c r="B83" s="4" t="s">
        <v>336</v>
      </c>
      <c r="C83" s="4">
        <v>525</v>
      </c>
      <c r="D83" s="4">
        <v>470</v>
      </c>
      <c r="E83" s="4">
        <v>262</v>
      </c>
      <c r="F83" s="4">
        <v>25</v>
      </c>
      <c r="G83" s="4" t="s">
        <v>268</v>
      </c>
      <c r="H83" s="4" t="s">
        <v>269</v>
      </c>
      <c r="I83" s="4" t="s">
        <v>269</v>
      </c>
      <c r="J83" s="4" t="s">
        <v>270</v>
      </c>
      <c r="K83" s="4" t="s">
        <v>269</v>
      </c>
      <c r="L83" s="4" t="s">
        <v>270</v>
      </c>
      <c r="M83" s="4">
        <v>12000</v>
      </c>
      <c r="N83" s="4">
        <v>13200</v>
      </c>
      <c r="O83" s="4">
        <v>2</v>
      </c>
      <c r="P83" s="4">
        <v>2</v>
      </c>
      <c r="Q83" s="4">
        <v>1080</v>
      </c>
      <c r="R83" s="4">
        <v>200</v>
      </c>
      <c r="S83" s="4">
        <v>950</v>
      </c>
      <c r="T83" s="4">
        <v>160</v>
      </c>
      <c r="U83" s="4">
        <v>950</v>
      </c>
      <c r="V83" s="4">
        <v>160</v>
      </c>
      <c r="W83" s="4">
        <v>600</v>
      </c>
      <c r="X83" s="4">
        <v>29</v>
      </c>
      <c r="Y83" s="4">
        <v>27</v>
      </c>
      <c r="Z83" s="4" t="s">
        <v>270</v>
      </c>
      <c r="AA83" s="4" t="s">
        <v>269</v>
      </c>
      <c r="AB83" s="4" t="s">
        <v>269</v>
      </c>
      <c r="AC83" s="4">
        <v>400</v>
      </c>
      <c r="AD83" s="4">
        <v>230</v>
      </c>
      <c r="AE83" s="5">
        <v>20</v>
      </c>
    </row>
    <row r="84" spans="1:31">
      <c r="A84" s="3" t="s">
        <v>360</v>
      </c>
      <c r="B84" s="4" t="s">
        <v>336</v>
      </c>
      <c r="C84" s="4">
        <v>525</v>
      </c>
      <c r="D84" s="4">
        <v>470</v>
      </c>
      <c r="E84" s="4">
        <v>262</v>
      </c>
      <c r="F84" s="4">
        <v>25</v>
      </c>
      <c r="G84" s="4" t="s">
        <v>268</v>
      </c>
      <c r="H84" s="4" t="s">
        <v>269</v>
      </c>
      <c r="I84" s="4" t="s">
        <v>269</v>
      </c>
      <c r="J84" s="4" t="s">
        <v>270</v>
      </c>
      <c r="K84" s="4" t="s">
        <v>269</v>
      </c>
      <c r="L84" s="4" t="s">
        <v>270</v>
      </c>
      <c r="M84" s="4">
        <v>15000</v>
      </c>
      <c r="N84" s="4">
        <v>16500</v>
      </c>
      <c r="O84" s="4">
        <v>2</v>
      </c>
      <c r="P84" s="4">
        <v>2</v>
      </c>
      <c r="Q84" s="4">
        <v>1080</v>
      </c>
      <c r="R84" s="4">
        <v>200</v>
      </c>
      <c r="S84" s="4">
        <v>950</v>
      </c>
      <c r="T84" s="4">
        <v>160</v>
      </c>
      <c r="U84" s="4">
        <v>950</v>
      </c>
      <c r="V84" s="4">
        <v>160</v>
      </c>
      <c r="W84" s="4">
        <v>600</v>
      </c>
      <c r="X84" s="4">
        <v>30</v>
      </c>
      <c r="Y84" s="4">
        <v>22</v>
      </c>
      <c r="Z84" s="4" t="s">
        <v>270</v>
      </c>
      <c r="AA84" s="4" t="s">
        <v>269</v>
      </c>
      <c r="AB84" s="4" t="s">
        <v>269</v>
      </c>
      <c r="AC84" s="4" t="s">
        <v>347</v>
      </c>
      <c r="AD84" s="4" t="s">
        <v>358</v>
      </c>
      <c r="AE84" s="5">
        <v>25.2</v>
      </c>
    </row>
    <row r="85" spans="1:31">
      <c r="A85" s="3" t="s">
        <v>361</v>
      </c>
      <c r="B85" s="4" t="s">
        <v>336</v>
      </c>
      <c r="C85" s="4">
        <v>525</v>
      </c>
      <c r="D85" s="4">
        <v>470</v>
      </c>
      <c r="E85" s="4">
        <v>262</v>
      </c>
      <c r="F85" s="4">
        <v>25</v>
      </c>
      <c r="G85" s="4" t="s">
        <v>268</v>
      </c>
      <c r="H85" s="4" t="s">
        <v>269</v>
      </c>
      <c r="I85" s="4" t="s">
        <v>269</v>
      </c>
      <c r="J85" s="4" t="s">
        <v>270</v>
      </c>
      <c r="K85" s="4" t="s">
        <v>269</v>
      </c>
      <c r="L85" s="4" t="s">
        <v>270</v>
      </c>
      <c r="M85" s="4">
        <v>15000</v>
      </c>
      <c r="N85" s="4">
        <v>16500</v>
      </c>
      <c r="O85" s="4">
        <v>2</v>
      </c>
      <c r="P85" s="4">
        <v>2</v>
      </c>
      <c r="Q85" s="4">
        <v>1080</v>
      </c>
      <c r="R85" s="4">
        <v>200</v>
      </c>
      <c r="S85" s="4">
        <v>950</v>
      </c>
      <c r="T85" s="4">
        <v>160</v>
      </c>
      <c r="U85" s="4">
        <v>950</v>
      </c>
      <c r="V85" s="4">
        <v>160</v>
      </c>
      <c r="W85" s="4">
        <v>600</v>
      </c>
      <c r="X85" s="4">
        <v>29</v>
      </c>
      <c r="Y85" s="4">
        <v>27</v>
      </c>
      <c r="Z85" s="4" t="s">
        <v>270</v>
      </c>
      <c r="AA85" s="4" t="s">
        <v>269</v>
      </c>
      <c r="AB85" s="4" t="s">
        <v>269</v>
      </c>
      <c r="AC85" s="4">
        <v>400</v>
      </c>
      <c r="AD85" s="4">
        <v>230</v>
      </c>
      <c r="AE85" s="5">
        <v>25.2</v>
      </c>
    </row>
    <row r="86" spans="1:31">
      <c r="A86" s="3" t="s">
        <v>362</v>
      </c>
      <c r="B86" s="4" t="s">
        <v>336</v>
      </c>
      <c r="C86" s="4">
        <v>610</v>
      </c>
      <c r="D86" s="4">
        <v>520</v>
      </c>
      <c r="E86" s="4">
        <v>255</v>
      </c>
      <c r="F86" s="4">
        <v>48</v>
      </c>
      <c r="G86" s="4" t="s">
        <v>268</v>
      </c>
      <c r="H86" s="4" t="s">
        <v>270</v>
      </c>
      <c r="I86" s="4" t="s">
        <v>269</v>
      </c>
      <c r="J86" s="4" t="s">
        <v>269</v>
      </c>
      <c r="K86" s="4" t="s">
        <v>269</v>
      </c>
      <c r="L86" s="4" t="s">
        <v>269</v>
      </c>
      <c r="M86" s="4">
        <v>17000</v>
      </c>
      <c r="N86" s="4">
        <v>19100</v>
      </c>
      <c r="O86" s="4">
        <v>2</v>
      </c>
      <c r="P86" s="4">
        <v>3</v>
      </c>
      <c r="Q86" s="4">
        <v>1000</v>
      </c>
      <c r="R86" s="4">
        <v>250</v>
      </c>
      <c r="S86" s="4">
        <v>950</v>
      </c>
      <c r="T86" s="4">
        <v>200</v>
      </c>
      <c r="U86" s="4">
        <v>800</v>
      </c>
      <c r="V86" s="4">
        <v>400</v>
      </c>
      <c r="W86" s="4">
        <v>620</v>
      </c>
      <c r="X86" s="4">
        <v>25</v>
      </c>
      <c r="Y86" s="4">
        <v>18</v>
      </c>
      <c r="Z86" s="4" t="s">
        <v>270</v>
      </c>
      <c r="AA86" s="4" t="s">
        <v>270</v>
      </c>
      <c r="AB86" s="4" t="s">
        <v>269</v>
      </c>
      <c r="AC86" s="4" t="s">
        <v>347</v>
      </c>
      <c r="AD86" s="4" t="s">
        <v>348</v>
      </c>
      <c r="AE86" s="5">
        <v>28.4</v>
      </c>
    </row>
    <row r="87" spans="1:31">
      <c r="A87" s="3" t="s">
        <v>363</v>
      </c>
      <c r="B87" s="4" t="s">
        <v>336</v>
      </c>
      <c r="C87" s="4">
        <v>525</v>
      </c>
      <c r="D87" s="4">
        <v>470</v>
      </c>
      <c r="E87" s="4">
        <v>262</v>
      </c>
      <c r="F87" s="4">
        <v>25</v>
      </c>
      <c r="G87" s="4" t="s">
        <v>268</v>
      </c>
      <c r="H87" s="4" t="s">
        <v>269</v>
      </c>
      <c r="I87" s="4" t="s">
        <v>269</v>
      </c>
      <c r="J87" s="4" t="s">
        <v>270</v>
      </c>
      <c r="K87" s="4" t="s">
        <v>269</v>
      </c>
      <c r="L87" s="4" t="s">
        <v>270</v>
      </c>
      <c r="M87" s="4">
        <v>17000</v>
      </c>
      <c r="N87" s="4">
        <v>18700</v>
      </c>
      <c r="O87" s="4">
        <v>2</v>
      </c>
      <c r="P87" s="4">
        <v>2</v>
      </c>
      <c r="Q87" s="4">
        <v>1080</v>
      </c>
      <c r="R87" s="4">
        <v>200</v>
      </c>
      <c r="S87" s="4">
        <v>950</v>
      </c>
      <c r="T87" s="4">
        <v>160</v>
      </c>
      <c r="U87" s="4">
        <v>950</v>
      </c>
      <c r="V87" s="4">
        <v>160</v>
      </c>
      <c r="W87" s="4">
        <v>600</v>
      </c>
      <c r="X87" s="4">
        <v>30</v>
      </c>
      <c r="Y87" s="4">
        <v>22</v>
      </c>
      <c r="Z87" s="4" t="s">
        <v>270</v>
      </c>
      <c r="AA87" s="4" t="s">
        <v>269</v>
      </c>
      <c r="AB87" s="4" t="s">
        <v>269</v>
      </c>
      <c r="AC87" s="4" t="s">
        <v>347</v>
      </c>
      <c r="AD87" s="4" t="s">
        <v>358</v>
      </c>
      <c r="AE87" s="5">
        <v>28.5</v>
      </c>
    </row>
    <row r="88" spans="1:31">
      <c r="A88" s="3" t="s">
        <v>364</v>
      </c>
      <c r="B88" s="4" t="s">
        <v>336</v>
      </c>
      <c r="C88" s="4">
        <v>525</v>
      </c>
      <c r="D88" s="4">
        <v>470</v>
      </c>
      <c r="E88" s="4">
        <v>262</v>
      </c>
      <c r="F88" s="4">
        <v>25</v>
      </c>
      <c r="G88" s="4" t="s">
        <v>268</v>
      </c>
      <c r="H88" s="4" t="s">
        <v>269</v>
      </c>
      <c r="I88" s="4" t="s">
        <v>269</v>
      </c>
      <c r="J88" s="4" t="s">
        <v>270</v>
      </c>
      <c r="K88" s="4" t="s">
        <v>269</v>
      </c>
      <c r="L88" s="4" t="s">
        <v>270</v>
      </c>
      <c r="M88" s="4">
        <v>17000</v>
      </c>
      <c r="N88" s="4">
        <v>18700</v>
      </c>
      <c r="O88" s="4">
        <v>2</v>
      </c>
      <c r="P88" s="4">
        <v>2</v>
      </c>
      <c r="Q88" s="4">
        <v>1080</v>
      </c>
      <c r="R88" s="4">
        <v>200</v>
      </c>
      <c r="S88" s="4">
        <v>950</v>
      </c>
      <c r="T88" s="4">
        <v>160</v>
      </c>
      <c r="U88" s="4">
        <v>950</v>
      </c>
      <c r="V88" s="4">
        <v>160</v>
      </c>
      <c r="W88" s="4">
        <v>600</v>
      </c>
      <c r="X88" s="4">
        <v>29</v>
      </c>
      <c r="Y88" s="4">
        <v>27</v>
      </c>
      <c r="Z88" s="4" t="s">
        <v>270</v>
      </c>
      <c r="AA88" s="4" t="s">
        <v>269</v>
      </c>
      <c r="AB88" s="4" t="s">
        <v>269</v>
      </c>
      <c r="AC88" s="4">
        <v>400</v>
      </c>
      <c r="AD88" s="4">
        <v>230</v>
      </c>
      <c r="AE88" s="5">
        <v>28.5</v>
      </c>
    </row>
    <row r="89" spans="1:31">
      <c r="A89" s="3" t="s">
        <v>365</v>
      </c>
      <c r="B89" s="4" t="s">
        <v>336</v>
      </c>
      <c r="C89" s="4">
        <v>610</v>
      </c>
      <c r="D89" s="4">
        <v>520</v>
      </c>
      <c r="E89" s="4">
        <v>255</v>
      </c>
      <c r="F89" s="4">
        <v>48</v>
      </c>
      <c r="G89" s="4" t="s">
        <v>268</v>
      </c>
      <c r="H89" s="4" t="s">
        <v>270</v>
      </c>
      <c r="I89" s="4" t="s">
        <v>269</v>
      </c>
      <c r="J89" s="4" t="s">
        <v>269</v>
      </c>
      <c r="K89" s="4" t="s">
        <v>269</v>
      </c>
      <c r="L89" s="4" t="s">
        <v>269</v>
      </c>
      <c r="M89" s="4">
        <v>20000</v>
      </c>
      <c r="N89" s="4">
        <v>22500</v>
      </c>
      <c r="O89" s="4">
        <v>2</v>
      </c>
      <c r="P89" s="4">
        <v>3</v>
      </c>
      <c r="Q89" s="4">
        <v>1000</v>
      </c>
      <c r="R89" s="4">
        <v>250</v>
      </c>
      <c r="S89" s="4">
        <v>950</v>
      </c>
      <c r="T89" s="4">
        <v>200</v>
      </c>
      <c r="U89" s="4">
        <v>800</v>
      </c>
      <c r="V89" s="4">
        <v>480</v>
      </c>
      <c r="W89" s="4">
        <v>620</v>
      </c>
      <c r="X89" s="4">
        <v>25</v>
      </c>
      <c r="Y89" s="4">
        <v>18</v>
      </c>
      <c r="Z89" s="4" t="s">
        <v>270</v>
      </c>
      <c r="AA89" s="4" t="s">
        <v>270</v>
      </c>
      <c r="AB89" s="4" t="s">
        <v>269</v>
      </c>
      <c r="AC89" s="4" t="s">
        <v>347</v>
      </c>
      <c r="AD89" s="4" t="s">
        <v>348</v>
      </c>
      <c r="AE89" s="5">
        <v>33.4</v>
      </c>
    </row>
    <row r="90" spans="1:31">
      <c r="A90" s="3" t="s">
        <v>366</v>
      </c>
      <c r="B90" s="4" t="s">
        <v>336</v>
      </c>
      <c r="C90" s="4">
        <v>525</v>
      </c>
      <c r="D90" s="4">
        <v>470</v>
      </c>
      <c r="E90" s="4">
        <v>262</v>
      </c>
      <c r="F90" s="4">
        <v>25</v>
      </c>
      <c r="G90" s="4" t="s">
        <v>268</v>
      </c>
      <c r="H90" s="4" t="s">
        <v>269</v>
      </c>
      <c r="I90" s="4" t="s">
        <v>269</v>
      </c>
      <c r="J90" s="4" t="s">
        <v>270</v>
      </c>
      <c r="K90" s="4" t="s">
        <v>269</v>
      </c>
      <c r="L90" s="4" t="s">
        <v>270</v>
      </c>
      <c r="M90" s="4">
        <v>20000</v>
      </c>
      <c r="N90" s="4">
        <v>22000</v>
      </c>
      <c r="O90" s="4">
        <v>2</v>
      </c>
      <c r="P90" s="4">
        <v>2</v>
      </c>
      <c r="Q90" s="4">
        <v>1080</v>
      </c>
      <c r="R90" s="4">
        <v>200</v>
      </c>
      <c r="S90" s="4">
        <v>950</v>
      </c>
      <c r="T90" s="4">
        <v>160</v>
      </c>
      <c r="U90" s="4">
        <v>950</v>
      </c>
      <c r="V90" s="4">
        <v>160</v>
      </c>
      <c r="W90" s="4">
        <v>600</v>
      </c>
      <c r="X90" s="4">
        <v>30</v>
      </c>
      <c r="Y90" s="4">
        <v>22</v>
      </c>
      <c r="Z90" s="4" t="s">
        <v>270</v>
      </c>
      <c r="AA90" s="4" t="s">
        <v>269</v>
      </c>
      <c r="AB90" s="4" t="s">
        <v>269</v>
      </c>
      <c r="AC90" s="4" t="s">
        <v>347</v>
      </c>
      <c r="AD90" s="4" t="s">
        <v>358</v>
      </c>
      <c r="AE90" s="5">
        <v>33.5</v>
      </c>
    </row>
    <row r="91" spans="1:31">
      <c r="A91" s="3" t="s">
        <v>367</v>
      </c>
      <c r="B91" s="4" t="s">
        <v>336</v>
      </c>
      <c r="C91" s="4">
        <v>525</v>
      </c>
      <c r="D91" s="4">
        <v>470</v>
      </c>
      <c r="E91" s="4">
        <v>262</v>
      </c>
      <c r="F91" s="4">
        <v>25</v>
      </c>
      <c r="G91" s="4" t="s">
        <v>268</v>
      </c>
      <c r="H91" s="4" t="s">
        <v>269</v>
      </c>
      <c r="I91" s="4" t="s">
        <v>269</v>
      </c>
      <c r="J91" s="4" t="s">
        <v>270</v>
      </c>
      <c r="K91" s="4" t="s">
        <v>269</v>
      </c>
      <c r="L91" s="4" t="s">
        <v>270</v>
      </c>
      <c r="M91" s="4">
        <v>20000</v>
      </c>
      <c r="N91" s="4">
        <v>22000</v>
      </c>
      <c r="O91" s="4">
        <v>2</v>
      </c>
      <c r="P91" s="4">
        <v>2</v>
      </c>
      <c r="Q91" s="4">
        <v>1080</v>
      </c>
      <c r="R91" s="4">
        <v>200</v>
      </c>
      <c r="S91" s="4">
        <v>950</v>
      </c>
      <c r="T91" s="4">
        <v>160</v>
      </c>
      <c r="U91" s="4">
        <v>950</v>
      </c>
      <c r="V91" s="4">
        <v>160</v>
      </c>
      <c r="W91" s="4">
        <v>600</v>
      </c>
      <c r="X91" s="4">
        <v>29</v>
      </c>
      <c r="Y91" s="4">
        <v>27</v>
      </c>
      <c r="Z91" s="4" t="s">
        <v>270</v>
      </c>
      <c r="AA91" s="4" t="s">
        <v>269</v>
      </c>
      <c r="AB91" s="4" t="s">
        <v>269</v>
      </c>
      <c r="AC91" s="4">
        <v>400</v>
      </c>
      <c r="AD91" s="4">
        <v>230</v>
      </c>
      <c r="AE91" s="5">
        <v>33.5</v>
      </c>
    </row>
    <row r="92" spans="1:31">
      <c r="A92" s="3" t="s">
        <v>368</v>
      </c>
      <c r="B92" s="4" t="s">
        <v>336</v>
      </c>
      <c r="C92" s="4">
        <v>525</v>
      </c>
      <c r="D92" s="4">
        <v>470</v>
      </c>
      <c r="E92" s="4">
        <v>262</v>
      </c>
      <c r="F92" s="4">
        <v>25</v>
      </c>
      <c r="G92" s="4" t="s">
        <v>268</v>
      </c>
      <c r="H92" s="4" t="s">
        <v>269</v>
      </c>
      <c r="I92" s="4" t="s">
        <v>269</v>
      </c>
      <c r="J92" s="4" t="s">
        <v>270</v>
      </c>
      <c r="K92" s="4" t="s">
        <v>269</v>
      </c>
      <c r="L92" s="4" t="s">
        <v>270</v>
      </c>
      <c r="M92" s="4">
        <v>20000</v>
      </c>
      <c r="N92" s="4">
        <v>30000</v>
      </c>
      <c r="O92" s="4">
        <v>2</v>
      </c>
      <c r="P92" s="4">
        <v>4</v>
      </c>
      <c r="Q92" s="4">
        <v>750</v>
      </c>
      <c r="R92" s="4">
        <v>200</v>
      </c>
      <c r="S92" s="4">
        <v>750</v>
      </c>
      <c r="T92" s="4">
        <v>200</v>
      </c>
      <c r="U92" s="4">
        <v>750</v>
      </c>
      <c r="V92" s="4">
        <v>200</v>
      </c>
      <c r="W92" s="4">
        <v>360</v>
      </c>
      <c r="X92" s="4">
        <v>40</v>
      </c>
      <c r="Y92" s="4">
        <v>26</v>
      </c>
      <c r="Z92" s="4" t="s">
        <v>270</v>
      </c>
      <c r="AA92" s="4" t="s">
        <v>269</v>
      </c>
      <c r="AB92" s="4" t="s">
        <v>270</v>
      </c>
      <c r="AC92" s="4">
        <v>220</v>
      </c>
      <c r="AD92" s="4">
        <v>127</v>
      </c>
      <c r="AE92" s="5">
        <v>58</v>
      </c>
    </row>
    <row r="93" spans="1:31">
      <c r="A93" s="3" t="s">
        <v>369</v>
      </c>
      <c r="B93" s="4" t="s">
        <v>336</v>
      </c>
      <c r="C93" s="4">
        <v>610</v>
      </c>
      <c r="D93" s="4">
        <v>520</v>
      </c>
      <c r="E93" s="4">
        <v>255</v>
      </c>
      <c r="F93" s="4">
        <v>48</v>
      </c>
      <c r="G93" s="4" t="s">
        <v>268</v>
      </c>
      <c r="H93" s="4" t="s">
        <v>270</v>
      </c>
      <c r="I93" s="4" t="s">
        <v>269</v>
      </c>
      <c r="J93" s="4" t="s">
        <v>269</v>
      </c>
      <c r="K93" s="4" t="s">
        <v>269</v>
      </c>
      <c r="L93" s="4" t="s">
        <v>269</v>
      </c>
      <c r="M93" s="4">
        <v>23000</v>
      </c>
      <c r="N93" s="4">
        <v>23600</v>
      </c>
      <c r="O93" s="4">
        <v>2</v>
      </c>
      <c r="P93" s="4">
        <v>3</v>
      </c>
      <c r="Q93" s="4">
        <v>1000</v>
      </c>
      <c r="R93" s="4">
        <v>250</v>
      </c>
      <c r="S93" s="4">
        <v>950</v>
      </c>
      <c r="T93" s="4">
        <v>200</v>
      </c>
      <c r="U93" s="4">
        <v>800</v>
      </c>
      <c r="V93" s="4">
        <v>480</v>
      </c>
      <c r="W93" s="4">
        <v>620</v>
      </c>
      <c r="X93" s="4">
        <v>25</v>
      </c>
      <c r="Y93" s="4">
        <v>18</v>
      </c>
      <c r="Z93" s="4" t="s">
        <v>270</v>
      </c>
      <c r="AA93" s="4" t="s">
        <v>270</v>
      </c>
      <c r="AB93" s="4" t="s">
        <v>269</v>
      </c>
      <c r="AC93" s="4" t="s">
        <v>347</v>
      </c>
      <c r="AD93" s="4" t="s">
        <v>348</v>
      </c>
      <c r="AE93" s="5">
        <v>34.9</v>
      </c>
    </row>
    <row r="94" spans="1:31">
      <c r="A94" s="3" t="s">
        <v>370</v>
      </c>
      <c r="B94" s="4" t="s">
        <v>336</v>
      </c>
      <c r="C94" s="4">
        <v>610</v>
      </c>
      <c r="D94" s="4">
        <v>520</v>
      </c>
      <c r="E94" s="4">
        <v>255</v>
      </c>
      <c r="F94" s="4">
        <v>48</v>
      </c>
      <c r="G94" s="4" t="s">
        <v>268</v>
      </c>
      <c r="H94" s="4" t="s">
        <v>270</v>
      </c>
      <c r="I94" s="4" t="s">
        <v>269</v>
      </c>
      <c r="J94" s="4" t="s">
        <v>269</v>
      </c>
      <c r="K94" s="4" t="s">
        <v>269</v>
      </c>
      <c r="L94" s="4" t="s">
        <v>269</v>
      </c>
      <c r="M94" s="4">
        <v>28000</v>
      </c>
      <c r="N94" s="4">
        <v>28200</v>
      </c>
      <c r="O94" s="4">
        <v>2</v>
      </c>
      <c r="P94" s="4">
        <v>3</v>
      </c>
      <c r="Q94" s="4">
        <v>1000</v>
      </c>
      <c r="R94" s="4">
        <v>250</v>
      </c>
      <c r="S94" s="4">
        <v>950</v>
      </c>
      <c r="T94" s="4">
        <v>200</v>
      </c>
      <c r="U94" s="4">
        <v>850</v>
      </c>
      <c r="V94" s="4">
        <v>580</v>
      </c>
      <c r="W94" s="4">
        <v>720</v>
      </c>
      <c r="X94" s="4">
        <v>25</v>
      </c>
      <c r="Y94" s="4">
        <v>18</v>
      </c>
      <c r="Z94" s="4" t="s">
        <v>270</v>
      </c>
      <c r="AA94" s="4" t="s">
        <v>269</v>
      </c>
      <c r="AB94" s="4" t="s">
        <v>270</v>
      </c>
      <c r="AC94" s="4">
        <v>480</v>
      </c>
      <c r="AD94" s="4">
        <v>277</v>
      </c>
      <c r="AE94" s="5">
        <v>33.1</v>
      </c>
    </row>
    <row r="95" spans="1:31">
      <c r="A95" s="3" t="s">
        <v>371</v>
      </c>
      <c r="B95" s="4" t="s">
        <v>336</v>
      </c>
      <c r="C95" s="4">
        <v>930</v>
      </c>
      <c r="D95" s="4">
        <v>550</v>
      </c>
      <c r="E95" s="4">
        <v>283</v>
      </c>
      <c r="F95" s="4">
        <v>62</v>
      </c>
      <c r="G95" s="4" t="s">
        <v>268</v>
      </c>
      <c r="H95" s="4" t="s">
        <v>270</v>
      </c>
      <c r="I95" s="4" t="s">
        <v>269</v>
      </c>
      <c r="J95" s="4" t="s">
        <v>270</v>
      </c>
      <c r="K95" s="4" t="s">
        <v>269</v>
      </c>
      <c r="L95" s="4" t="s">
        <v>269</v>
      </c>
      <c r="M95" s="4">
        <v>29900</v>
      </c>
      <c r="N95" s="4">
        <v>29900</v>
      </c>
      <c r="O95" s="4">
        <v>2</v>
      </c>
      <c r="P95" s="4">
        <v>4</v>
      </c>
      <c r="Q95" s="4">
        <v>1100</v>
      </c>
      <c r="R95" s="4">
        <v>250</v>
      </c>
      <c r="S95" s="4">
        <v>1000</v>
      </c>
      <c r="T95" s="4">
        <v>200</v>
      </c>
      <c r="U95" s="4">
        <v>1000</v>
      </c>
      <c r="V95" s="4">
        <v>200</v>
      </c>
      <c r="W95" s="4">
        <v>620</v>
      </c>
      <c r="X95" s="4">
        <v>88</v>
      </c>
      <c r="Z95" s="4" t="s">
        <v>270</v>
      </c>
      <c r="AA95" s="4" t="s">
        <v>269</v>
      </c>
      <c r="AB95" s="4" t="s">
        <v>269</v>
      </c>
      <c r="AC95" s="4">
        <v>400</v>
      </c>
      <c r="AD95" s="4">
        <v>230</v>
      </c>
      <c r="AE95" s="5">
        <v>43.2</v>
      </c>
    </row>
    <row r="96" spans="1:31">
      <c r="A96" s="3" t="s">
        <v>372</v>
      </c>
      <c r="B96" s="4" t="s">
        <v>336</v>
      </c>
      <c r="C96" s="4">
        <v>640</v>
      </c>
      <c r="D96" s="4">
        <v>530</v>
      </c>
      <c r="E96" s="4">
        <v>270</v>
      </c>
      <c r="F96" s="4">
        <v>43</v>
      </c>
      <c r="G96" s="4" t="s">
        <v>268</v>
      </c>
      <c r="H96" s="4" t="s">
        <v>269</v>
      </c>
      <c r="I96" s="4" t="s">
        <v>269</v>
      </c>
      <c r="J96" s="4" t="s">
        <v>270</v>
      </c>
      <c r="K96" s="4" t="s">
        <v>269</v>
      </c>
      <c r="L96" s="4" t="s">
        <v>270</v>
      </c>
      <c r="M96" s="4">
        <v>29900</v>
      </c>
      <c r="N96" s="4">
        <v>29900</v>
      </c>
      <c r="O96" s="4">
        <v>2</v>
      </c>
      <c r="P96" s="4">
        <v>4</v>
      </c>
      <c r="Q96" s="4">
        <v>1100</v>
      </c>
      <c r="R96" s="4">
        <v>200</v>
      </c>
      <c r="S96" s="4">
        <v>1000</v>
      </c>
      <c r="T96" s="4">
        <v>200</v>
      </c>
      <c r="U96" s="4">
        <v>1000</v>
      </c>
      <c r="V96" s="4">
        <v>200</v>
      </c>
      <c r="W96" s="4">
        <v>600</v>
      </c>
      <c r="X96" s="4">
        <v>40</v>
      </c>
      <c r="Y96" s="4">
        <v>26</v>
      </c>
      <c r="Z96" s="4" t="s">
        <v>270</v>
      </c>
      <c r="AA96" s="4" t="s">
        <v>269</v>
      </c>
      <c r="AB96" s="4" t="s">
        <v>269</v>
      </c>
      <c r="AC96" s="4">
        <v>400</v>
      </c>
      <c r="AD96" s="4">
        <v>230</v>
      </c>
      <c r="AE96" s="5">
        <v>43.2</v>
      </c>
    </row>
    <row r="97" spans="1:31">
      <c r="A97" s="3" t="s">
        <v>373</v>
      </c>
      <c r="B97" s="4" t="s">
        <v>336</v>
      </c>
      <c r="C97" s="4">
        <v>640</v>
      </c>
      <c r="D97" s="4">
        <v>530</v>
      </c>
      <c r="E97" s="4">
        <v>270</v>
      </c>
      <c r="F97" s="4">
        <v>43</v>
      </c>
      <c r="G97" s="4" t="s">
        <v>268</v>
      </c>
      <c r="H97" s="4" t="s">
        <v>269</v>
      </c>
      <c r="I97" s="4" t="s">
        <v>269</v>
      </c>
      <c r="J97" s="4" t="s">
        <v>270</v>
      </c>
      <c r="K97" s="4" t="s">
        <v>269</v>
      </c>
      <c r="L97" s="4" t="s">
        <v>270</v>
      </c>
      <c r="M97" s="4">
        <v>30000</v>
      </c>
      <c r="N97" s="4">
        <v>33000</v>
      </c>
      <c r="O97" s="4">
        <v>2</v>
      </c>
      <c r="P97" s="4">
        <v>4</v>
      </c>
      <c r="Q97" s="4">
        <v>1100</v>
      </c>
      <c r="R97" s="4">
        <v>200</v>
      </c>
      <c r="S97" s="4">
        <v>1000</v>
      </c>
      <c r="T97" s="4">
        <v>200</v>
      </c>
      <c r="U97" s="4">
        <v>1000</v>
      </c>
      <c r="V97" s="4">
        <v>200</v>
      </c>
      <c r="W97" s="4">
        <v>600</v>
      </c>
      <c r="X97" s="4">
        <v>40</v>
      </c>
      <c r="Y97" s="4">
        <v>26</v>
      </c>
      <c r="Z97" s="4" t="s">
        <v>270</v>
      </c>
      <c r="AA97" s="4" t="s">
        <v>269</v>
      </c>
      <c r="AB97" s="4" t="s">
        <v>269</v>
      </c>
      <c r="AC97" s="4" t="s">
        <v>374</v>
      </c>
      <c r="AD97" s="4">
        <v>230</v>
      </c>
      <c r="AE97" s="5">
        <v>47.9</v>
      </c>
    </row>
    <row r="98" spans="1:31">
      <c r="A98" s="3" t="s">
        <v>375</v>
      </c>
      <c r="B98" s="4" t="s">
        <v>336</v>
      </c>
      <c r="C98" s="4">
        <v>930</v>
      </c>
      <c r="D98" s="4">
        <v>550</v>
      </c>
      <c r="E98" s="4">
        <v>283</v>
      </c>
      <c r="F98" s="4">
        <v>62</v>
      </c>
      <c r="G98" s="4" t="s">
        <v>268</v>
      </c>
      <c r="H98" s="4" t="s">
        <v>270</v>
      </c>
      <c r="I98" s="4" t="s">
        <v>269</v>
      </c>
      <c r="J98" s="4" t="s">
        <v>270</v>
      </c>
      <c r="K98" s="4" t="s">
        <v>269</v>
      </c>
      <c r="L98" s="4" t="s">
        <v>269</v>
      </c>
      <c r="M98" s="4">
        <v>30000</v>
      </c>
      <c r="N98" s="4">
        <v>33000</v>
      </c>
      <c r="O98" s="4">
        <v>2</v>
      </c>
      <c r="P98" s="4">
        <v>4</v>
      </c>
      <c r="Q98" s="4">
        <v>1100</v>
      </c>
      <c r="R98" s="4">
        <v>250</v>
      </c>
      <c r="S98" s="4">
        <v>1000</v>
      </c>
      <c r="T98" s="4">
        <v>200</v>
      </c>
      <c r="U98" s="4">
        <v>1000</v>
      </c>
      <c r="V98" s="4">
        <v>200</v>
      </c>
      <c r="W98" s="4">
        <v>620</v>
      </c>
      <c r="X98" s="4">
        <v>30</v>
      </c>
      <c r="Y98" s="4">
        <v>22</v>
      </c>
      <c r="Z98" s="4" t="s">
        <v>270</v>
      </c>
      <c r="AA98" s="4" t="s">
        <v>269</v>
      </c>
      <c r="AB98" s="4" t="s">
        <v>269</v>
      </c>
      <c r="AC98" s="4">
        <v>400</v>
      </c>
      <c r="AD98" s="4">
        <v>230</v>
      </c>
      <c r="AE98" s="5">
        <v>48</v>
      </c>
    </row>
    <row r="99" spans="1:31">
      <c r="A99" s="3" t="s">
        <v>376</v>
      </c>
      <c r="B99" s="4" t="s">
        <v>336</v>
      </c>
      <c r="C99" s="4">
        <v>930</v>
      </c>
      <c r="D99" s="4">
        <v>550</v>
      </c>
      <c r="E99" s="4">
        <v>283</v>
      </c>
      <c r="F99" s="4">
        <v>62</v>
      </c>
      <c r="G99" s="4" t="s">
        <v>268</v>
      </c>
      <c r="H99" s="4" t="s">
        <v>270</v>
      </c>
      <c r="I99" s="4" t="s">
        <v>269</v>
      </c>
      <c r="J99" s="4" t="s">
        <v>270</v>
      </c>
      <c r="K99" s="4" t="s">
        <v>269</v>
      </c>
      <c r="L99" s="4" t="s">
        <v>269</v>
      </c>
      <c r="M99" s="4">
        <v>36000</v>
      </c>
      <c r="N99" s="4">
        <v>40000</v>
      </c>
      <c r="O99" s="4">
        <v>2</v>
      </c>
      <c r="P99" s="4">
        <v>4</v>
      </c>
      <c r="Q99" s="4">
        <v>1100</v>
      </c>
      <c r="R99" s="4">
        <v>250</v>
      </c>
      <c r="S99" s="4">
        <v>1000</v>
      </c>
      <c r="T99" s="4">
        <v>200</v>
      </c>
      <c r="U99" s="4">
        <v>1000</v>
      </c>
      <c r="V99" s="4">
        <v>200</v>
      </c>
      <c r="W99" s="4" t="s">
        <v>377</v>
      </c>
      <c r="X99" s="4">
        <v>30</v>
      </c>
      <c r="Y99" s="20">
        <v>22</v>
      </c>
      <c r="Z99" s="4" t="s">
        <v>270</v>
      </c>
      <c r="AA99" s="4" t="s">
        <v>269</v>
      </c>
      <c r="AB99" s="4" t="s">
        <v>269</v>
      </c>
      <c r="AC99" s="4" t="s">
        <v>374</v>
      </c>
      <c r="AD99" s="4">
        <v>220</v>
      </c>
      <c r="AE99" s="5">
        <v>60.8</v>
      </c>
    </row>
    <row r="100" spans="1:31">
      <c r="A100" s="3" t="s">
        <v>8</v>
      </c>
      <c r="B100" s="4" t="s">
        <v>336</v>
      </c>
      <c r="C100" s="4">
        <v>640</v>
      </c>
      <c r="D100" s="4">
        <v>530</v>
      </c>
      <c r="E100" s="4">
        <v>270</v>
      </c>
      <c r="F100" s="4">
        <v>43</v>
      </c>
      <c r="G100" s="4" t="s">
        <v>268</v>
      </c>
      <c r="H100" s="4" t="s">
        <v>269</v>
      </c>
      <c r="I100" s="4" t="s">
        <v>269</v>
      </c>
      <c r="J100" s="4" t="s">
        <v>270</v>
      </c>
      <c r="K100" s="4" t="s">
        <v>269</v>
      </c>
      <c r="L100" s="4" t="s">
        <v>270</v>
      </c>
      <c r="M100" s="4">
        <v>36000</v>
      </c>
      <c r="N100" s="4">
        <v>40000</v>
      </c>
      <c r="O100" s="4">
        <v>2</v>
      </c>
      <c r="P100" s="4">
        <v>4</v>
      </c>
      <c r="Q100" s="4">
        <v>1100</v>
      </c>
      <c r="R100" s="4">
        <v>200</v>
      </c>
      <c r="S100" s="4">
        <v>1000</v>
      </c>
      <c r="T100" s="4">
        <v>200</v>
      </c>
      <c r="U100" s="4">
        <v>1000</v>
      </c>
      <c r="V100" s="4">
        <v>200</v>
      </c>
      <c r="W100" s="4">
        <v>600</v>
      </c>
      <c r="X100" s="4">
        <v>40</v>
      </c>
      <c r="Y100" s="4">
        <v>26</v>
      </c>
      <c r="Z100" s="4" t="s">
        <v>270</v>
      </c>
      <c r="AA100" s="4" t="s">
        <v>269</v>
      </c>
      <c r="AB100" s="4" t="s">
        <v>269</v>
      </c>
      <c r="AC100" s="4" t="s">
        <v>374</v>
      </c>
      <c r="AD100" s="4">
        <v>230</v>
      </c>
      <c r="AE100" s="5">
        <v>58</v>
      </c>
    </row>
    <row r="101" spans="1:31">
      <c r="A101" s="3" t="s">
        <v>378</v>
      </c>
      <c r="B101" s="4" t="s">
        <v>336</v>
      </c>
      <c r="C101" s="4">
        <v>930</v>
      </c>
      <c r="D101" s="4">
        <v>550</v>
      </c>
      <c r="E101" s="4">
        <v>283</v>
      </c>
      <c r="F101" s="4">
        <v>62</v>
      </c>
      <c r="G101" s="4" t="s">
        <v>268</v>
      </c>
      <c r="H101" s="4" t="s">
        <v>270</v>
      </c>
      <c r="I101" s="4" t="s">
        <v>269</v>
      </c>
      <c r="J101" s="4" t="s">
        <v>270</v>
      </c>
      <c r="K101" s="4" t="s">
        <v>269</v>
      </c>
      <c r="L101" s="4" t="s">
        <v>269</v>
      </c>
      <c r="M101" s="4">
        <v>42000</v>
      </c>
      <c r="N101" s="4">
        <v>47000</v>
      </c>
      <c r="O101" s="4">
        <v>2</v>
      </c>
      <c r="P101" s="4">
        <v>4</v>
      </c>
      <c r="Q101" s="4">
        <v>1100</v>
      </c>
      <c r="R101" s="4">
        <v>250</v>
      </c>
      <c r="S101" s="4">
        <v>1000</v>
      </c>
      <c r="T101" s="4">
        <v>200</v>
      </c>
      <c r="U101" s="4">
        <v>1000</v>
      </c>
      <c r="V101" s="4">
        <v>200</v>
      </c>
      <c r="W101" s="4">
        <v>720</v>
      </c>
      <c r="X101" s="4">
        <v>30</v>
      </c>
      <c r="Y101" s="4">
        <v>22</v>
      </c>
      <c r="Z101" s="4" t="s">
        <v>270</v>
      </c>
      <c r="AA101" s="4" t="s">
        <v>269</v>
      </c>
      <c r="AB101" s="4" t="s">
        <v>270</v>
      </c>
      <c r="AC101" s="4">
        <v>480</v>
      </c>
      <c r="AD101" s="4">
        <v>480</v>
      </c>
      <c r="AE101" s="5">
        <v>56.6</v>
      </c>
    </row>
    <row r="102" spans="1:31">
      <c r="A102" s="3" t="s">
        <v>379</v>
      </c>
      <c r="B102" s="4" t="s">
        <v>336</v>
      </c>
      <c r="C102" s="4">
        <v>640</v>
      </c>
      <c r="D102" s="4">
        <v>530</v>
      </c>
      <c r="E102" s="4">
        <v>270</v>
      </c>
      <c r="F102" s="4">
        <v>43</v>
      </c>
      <c r="G102" s="4" t="s">
        <v>268</v>
      </c>
      <c r="H102" s="4" t="s">
        <v>269</v>
      </c>
      <c r="I102" s="4" t="s">
        <v>269</v>
      </c>
      <c r="J102" s="4" t="s">
        <v>270</v>
      </c>
      <c r="K102" s="4" t="s">
        <v>269</v>
      </c>
      <c r="L102" s="4" t="s">
        <v>270</v>
      </c>
      <c r="M102" s="4">
        <v>40000</v>
      </c>
      <c r="N102" s="4">
        <v>44000</v>
      </c>
      <c r="O102" s="4">
        <v>2</v>
      </c>
      <c r="P102" s="4">
        <v>4</v>
      </c>
      <c r="Q102" s="4">
        <v>1100</v>
      </c>
      <c r="R102" s="4">
        <v>200</v>
      </c>
      <c r="S102" s="4">
        <v>1000</v>
      </c>
      <c r="T102" s="4">
        <v>200</v>
      </c>
      <c r="U102" s="4">
        <v>1000</v>
      </c>
      <c r="V102" s="4">
        <v>200</v>
      </c>
      <c r="W102" s="4">
        <v>600</v>
      </c>
      <c r="X102" s="4">
        <v>40</v>
      </c>
      <c r="Y102" s="4">
        <v>26</v>
      </c>
      <c r="Z102" s="4" t="s">
        <v>270</v>
      </c>
      <c r="AA102" s="4" t="s">
        <v>269</v>
      </c>
      <c r="AB102" s="4" t="s">
        <v>269</v>
      </c>
      <c r="AC102" s="4" t="s">
        <v>374</v>
      </c>
      <c r="AD102" s="4">
        <v>230</v>
      </c>
      <c r="AE102" s="5">
        <v>63.8</v>
      </c>
    </row>
    <row r="103" spans="1:31">
      <c r="A103" s="3" t="s">
        <v>380</v>
      </c>
      <c r="B103" s="4" t="s">
        <v>336</v>
      </c>
      <c r="C103" s="4">
        <v>1075</v>
      </c>
      <c r="D103" s="4">
        <v>555</v>
      </c>
      <c r="E103" s="4">
        <v>300</v>
      </c>
      <c r="F103" s="4">
        <v>74</v>
      </c>
      <c r="G103" s="4" t="s">
        <v>268</v>
      </c>
      <c r="H103" s="4" t="s">
        <v>270</v>
      </c>
      <c r="I103" s="4" t="s">
        <v>269</v>
      </c>
      <c r="J103" s="4" t="s">
        <v>270</v>
      </c>
      <c r="K103" s="4" t="s">
        <v>269</v>
      </c>
      <c r="L103" s="4" t="s">
        <v>269</v>
      </c>
      <c r="M103" s="4">
        <v>50000</v>
      </c>
      <c r="N103" s="4">
        <v>55000</v>
      </c>
      <c r="O103" s="4">
        <v>2</v>
      </c>
      <c r="P103" s="4">
        <v>6</v>
      </c>
      <c r="Q103" s="4">
        <v>1100</v>
      </c>
      <c r="R103" s="4">
        <v>200</v>
      </c>
      <c r="S103" s="4">
        <v>1000</v>
      </c>
      <c r="T103" s="4">
        <v>200</v>
      </c>
      <c r="U103" s="4">
        <v>1000</v>
      </c>
      <c r="V103" s="4">
        <v>200</v>
      </c>
      <c r="W103" s="4">
        <v>600</v>
      </c>
      <c r="X103" s="4">
        <v>30</v>
      </c>
      <c r="Y103" s="4">
        <v>22</v>
      </c>
      <c r="Z103" s="4" t="s">
        <v>270</v>
      </c>
      <c r="AA103" s="4" t="s">
        <v>269</v>
      </c>
      <c r="AB103" s="4" t="s">
        <v>269</v>
      </c>
      <c r="AC103" s="4" t="s">
        <v>347</v>
      </c>
      <c r="AD103" s="4">
        <v>220</v>
      </c>
      <c r="AE103" s="5">
        <v>83.6</v>
      </c>
    </row>
    <row r="104" spans="1:31">
      <c r="A104" s="3" t="s">
        <v>381</v>
      </c>
      <c r="B104" s="4" t="s">
        <v>336</v>
      </c>
      <c r="C104" s="4">
        <v>1075</v>
      </c>
      <c r="D104" s="4">
        <v>555</v>
      </c>
      <c r="E104" s="4">
        <v>300</v>
      </c>
      <c r="F104" s="4">
        <v>73</v>
      </c>
      <c r="G104" s="4" t="s">
        <v>268</v>
      </c>
      <c r="H104" s="4" t="s">
        <v>304</v>
      </c>
      <c r="I104" s="4" t="s">
        <v>304</v>
      </c>
      <c r="J104" s="4" t="s">
        <v>270</v>
      </c>
      <c r="K104" s="4" t="s">
        <v>304</v>
      </c>
      <c r="L104" s="4" t="s">
        <v>304</v>
      </c>
      <c r="M104" s="4">
        <v>60000</v>
      </c>
      <c r="N104" s="4">
        <v>66000</v>
      </c>
      <c r="O104" s="4">
        <v>2</v>
      </c>
      <c r="P104" s="4">
        <v>6</v>
      </c>
      <c r="Q104" s="4">
        <v>1100</v>
      </c>
      <c r="R104" s="4">
        <v>200</v>
      </c>
      <c r="S104" s="4">
        <v>1000</v>
      </c>
      <c r="T104" s="4">
        <v>200</v>
      </c>
      <c r="U104" s="4">
        <v>1000</v>
      </c>
      <c r="V104" s="4">
        <v>200</v>
      </c>
      <c r="W104" s="4">
        <v>600</v>
      </c>
      <c r="X104" s="4">
        <v>30</v>
      </c>
      <c r="Y104" s="4">
        <v>22</v>
      </c>
      <c r="Z104" s="4" t="s">
        <v>270</v>
      </c>
      <c r="AA104" s="4" t="s">
        <v>269</v>
      </c>
      <c r="AB104" s="4" t="s">
        <v>269</v>
      </c>
      <c r="AC104" s="4" t="s">
        <v>347</v>
      </c>
      <c r="AD104" s="4">
        <v>220</v>
      </c>
      <c r="AE104" s="5">
        <v>100</v>
      </c>
    </row>
    <row r="105" spans="1:31">
      <c r="A105" s="3" t="s">
        <v>382</v>
      </c>
      <c r="B105" s="4" t="s">
        <v>336</v>
      </c>
      <c r="C105" s="4">
        <v>300</v>
      </c>
      <c r="D105" s="4">
        <v>1075</v>
      </c>
      <c r="E105" s="4">
        <v>555</v>
      </c>
      <c r="F105" s="4">
        <v>74</v>
      </c>
      <c r="G105" s="4" t="s">
        <v>268</v>
      </c>
      <c r="H105" s="4" t="s">
        <v>270</v>
      </c>
      <c r="I105" s="4" t="s">
        <v>269</v>
      </c>
      <c r="J105" s="4" t="s">
        <v>270</v>
      </c>
      <c r="K105" s="4" t="s">
        <v>269</v>
      </c>
      <c r="L105" s="4" t="s">
        <v>269</v>
      </c>
      <c r="M105" s="4">
        <v>60000</v>
      </c>
      <c r="N105" s="4">
        <v>66000</v>
      </c>
      <c r="O105" s="4">
        <v>2</v>
      </c>
      <c r="P105" s="4">
        <v>6</v>
      </c>
      <c r="Q105" s="4">
        <v>1100</v>
      </c>
      <c r="R105" s="4">
        <v>200</v>
      </c>
      <c r="S105" s="4">
        <v>1000</v>
      </c>
      <c r="T105" s="4">
        <v>200</v>
      </c>
      <c r="U105" s="4">
        <v>1000</v>
      </c>
      <c r="V105" s="4">
        <v>200</v>
      </c>
      <c r="W105" s="4" t="s">
        <v>383</v>
      </c>
      <c r="X105" s="4">
        <v>30</v>
      </c>
      <c r="Y105" s="4">
        <v>22</v>
      </c>
      <c r="Z105" s="4" t="s">
        <v>270</v>
      </c>
      <c r="AA105" s="4" t="s">
        <v>269</v>
      </c>
      <c r="AB105" s="4" t="s">
        <v>269</v>
      </c>
      <c r="AC105" s="4">
        <v>480</v>
      </c>
      <c r="AD105" s="4">
        <v>380</v>
      </c>
      <c r="AE105" s="5">
        <v>100</v>
      </c>
    </row>
    <row r="106" spans="1:31">
      <c r="A106" s="3" t="s">
        <v>384</v>
      </c>
      <c r="B106" s="4" t="s">
        <v>336</v>
      </c>
      <c r="C106" s="4">
        <v>1075</v>
      </c>
      <c r="D106" s="4">
        <v>555</v>
      </c>
      <c r="E106" s="4">
        <v>300</v>
      </c>
      <c r="F106" s="4">
        <v>72</v>
      </c>
      <c r="G106" s="4" t="s">
        <v>268</v>
      </c>
      <c r="H106" s="4" t="s">
        <v>270</v>
      </c>
      <c r="I106" s="4" t="s">
        <v>269</v>
      </c>
      <c r="J106" s="4" t="s">
        <v>270</v>
      </c>
      <c r="K106" s="4" t="s">
        <v>269</v>
      </c>
      <c r="L106" s="4" t="s">
        <v>269</v>
      </c>
      <c r="M106" s="4">
        <v>65000</v>
      </c>
      <c r="N106" s="4">
        <v>72000</v>
      </c>
      <c r="O106" s="4">
        <v>2</v>
      </c>
      <c r="P106" s="4">
        <v>6</v>
      </c>
      <c r="Q106" s="4">
        <v>1100</v>
      </c>
      <c r="R106" s="4">
        <v>200</v>
      </c>
      <c r="S106" s="4">
        <v>1000</v>
      </c>
      <c r="T106" s="4">
        <v>200</v>
      </c>
      <c r="U106" s="4">
        <v>1000</v>
      </c>
      <c r="V106" s="4">
        <v>200</v>
      </c>
      <c r="W106" s="4">
        <v>720</v>
      </c>
      <c r="X106" s="4">
        <v>30</v>
      </c>
      <c r="Y106" s="4">
        <v>22</v>
      </c>
      <c r="Z106" s="4" t="s">
        <v>270</v>
      </c>
      <c r="AA106" s="4" t="s">
        <v>270</v>
      </c>
      <c r="AB106" s="4" t="s">
        <v>269</v>
      </c>
      <c r="AC106" s="4">
        <v>480</v>
      </c>
      <c r="AD106" s="4">
        <v>480</v>
      </c>
      <c r="AE106" s="5">
        <v>86.7</v>
      </c>
    </row>
    <row r="107" spans="1:31">
      <c r="A107" s="3" t="s">
        <v>385</v>
      </c>
      <c r="B107" s="4" t="s">
        <v>336</v>
      </c>
      <c r="C107" s="4">
        <v>1035</v>
      </c>
      <c r="D107" s="4">
        <v>700</v>
      </c>
      <c r="E107" s="4">
        <v>365</v>
      </c>
      <c r="F107" s="4">
        <v>90</v>
      </c>
      <c r="G107" s="4" t="s">
        <v>289</v>
      </c>
      <c r="H107" s="4" t="s">
        <v>270</v>
      </c>
      <c r="I107" s="4" t="s">
        <v>269</v>
      </c>
      <c r="J107" s="4" t="s">
        <v>270</v>
      </c>
      <c r="K107" s="4" t="s">
        <v>269</v>
      </c>
      <c r="L107" s="4" t="s">
        <v>269</v>
      </c>
      <c r="M107" s="4">
        <v>75000</v>
      </c>
      <c r="N107" s="4">
        <v>75000</v>
      </c>
      <c r="O107" s="4">
        <v>2</v>
      </c>
      <c r="P107" s="4">
        <v>10</v>
      </c>
      <c r="Q107" s="4">
        <v>1100</v>
      </c>
      <c r="R107" s="4">
        <v>200</v>
      </c>
      <c r="S107" s="4">
        <v>1000</v>
      </c>
      <c r="T107" s="4">
        <v>200</v>
      </c>
      <c r="U107" s="4">
        <v>1000</v>
      </c>
      <c r="V107" s="4">
        <v>200</v>
      </c>
      <c r="W107" s="4">
        <v>600</v>
      </c>
      <c r="X107" s="4">
        <v>40</v>
      </c>
      <c r="Y107" s="4">
        <v>26</v>
      </c>
      <c r="Z107" s="4" t="s">
        <v>270</v>
      </c>
      <c r="AA107" s="4" t="s">
        <v>269</v>
      </c>
      <c r="AB107" s="4" t="s">
        <v>269</v>
      </c>
      <c r="AC107" s="4">
        <v>400</v>
      </c>
      <c r="AD107" s="4">
        <v>380</v>
      </c>
      <c r="AE107" s="5">
        <v>113.6</v>
      </c>
    </row>
    <row r="108" spans="1:31">
      <c r="A108" s="3" t="s">
        <v>386</v>
      </c>
      <c r="B108" s="4" t="s">
        <v>336</v>
      </c>
      <c r="C108" s="4">
        <v>365</v>
      </c>
      <c r="D108" s="4">
        <v>1035</v>
      </c>
      <c r="E108" s="4">
        <v>700</v>
      </c>
      <c r="F108" s="4">
        <v>90</v>
      </c>
      <c r="G108" s="4" t="s">
        <v>289</v>
      </c>
      <c r="H108" s="4" t="s">
        <v>270</v>
      </c>
      <c r="I108" s="4" t="s">
        <v>269</v>
      </c>
      <c r="J108" s="4" t="s">
        <v>270</v>
      </c>
      <c r="K108" s="4" t="s">
        <v>269</v>
      </c>
      <c r="L108" s="4" t="s">
        <v>269</v>
      </c>
      <c r="M108" s="4">
        <v>100000</v>
      </c>
      <c r="N108" s="4">
        <v>110000</v>
      </c>
      <c r="O108" s="4">
        <v>2</v>
      </c>
      <c r="P108" s="4">
        <v>10</v>
      </c>
      <c r="Q108" s="4">
        <v>1100</v>
      </c>
      <c r="R108" s="4">
        <v>200</v>
      </c>
      <c r="S108" s="4">
        <v>1000</v>
      </c>
      <c r="T108" s="4">
        <v>200</v>
      </c>
      <c r="U108" s="4">
        <v>800</v>
      </c>
      <c r="V108" s="4">
        <v>540</v>
      </c>
      <c r="W108" s="4">
        <v>600</v>
      </c>
      <c r="X108" s="4">
        <v>40</v>
      </c>
      <c r="Y108" s="4">
        <v>26</v>
      </c>
      <c r="Z108" s="4" t="s">
        <v>270</v>
      </c>
      <c r="AA108" s="4" t="s">
        <v>269</v>
      </c>
      <c r="AB108" s="4" t="s">
        <v>269</v>
      </c>
      <c r="AC108" s="4">
        <v>230</v>
      </c>
      <c r="AD108" s="4">
        <v>220</v>
      </c>
      <c r="AE108" s="5">
        <v>168.8</v>
      </c>
    </row>
    <row r="109" spans="1:31">
      <c r="A109" s="3" t="s">
        <v>387</v>
      </c>
      <c r="B109" s="4" t="s">
        <v>336</v>
      </c>
      <c r="C109" s="4">
        <v>365</v>
      </c>
      <c r="D109" s="4">
        <v>1035</v>
      </c>
      <c r="E109" s="4">
        <v>700</v>
      </c>
      <c r="F109" s="4">
        <v>90</v>
      </c>
      <c r="G109" s="4" t="s">
        <v>289</v>
      </c>
      <c r="H109" s="4" t="s">
        <v>270</v>
      </c>
      <c r="I109" s="4" t="s">
        <v>269</v>
      </c>
      <c r="J109" s="4" t="s">
        <v>270</v>
      </c>
      <c r="K109" s="4" t="s">
        <v>269</v>
      </c>
      <c r="L109" s="4" t="s">
        <v>269</v>
      </c>
      <c r="M109" s="4">
        <v>100000</v>
      </c>
      <c r="N109" s="4">
        <v>110000</v>
      </c>
      <c r="O109" s="4">
        <v>2</v>
      </c>
      <c r="P109" s="4">
        <v>10</v>
      </c>
      <c r="Q109" s="4">
        <v>1100</v>
      </c>
      <c r="R109" s="4">
        <v>200</v>
      </c>
      <c r="S109" s="4">
        <v>1000</v>
      </c>
      <c r="T109" s="4">
        <v>200</v>
      </c>
      <c r="U109" s="4">
        <v>800</v>
      </c>
      <c r="V109" s="4">
        <v>540</v>
      </c>
      <c r="W109" s="4">
        <v>570</v>
      </c>
      <c r="X109" s="4">
        <v>40</v>
      </c>
      <c r="Y109" s="4">
        <v>26</v>
      </c>
      <c r="Z109" s="4" t="s">
        <v>270</v>
      </c>
      <c r="AA109" s="4" t="s">
        <v>269</v>
      </c>
      <c r="AB109" s="4" t="s">
        <v>269</v>
      </c>
      <c r="AC109" s="4">
        <v>277</v>
      </c>
      <c r="AD109" s="4">
        <v>220</v>
      </c>
      <c r="AE109" s="5">
        <v>168.8</v>
      </c>
    </row>
    <row r="110" spans="1:31">
      <c r="A110" s="3" t="s">
        <v>388</v>
      </c>
      <c r="B110" s="4" t="s">
        <v>336</v>
      </c>
      <c r="C110" s="4">
        <v>365</v>
      </c>
      <c r="D110" s="4">
        <v>1035</v>
      </c>
      <c r="E110" s="4">
        <v>700</v>
      </c>
      <c r="F110" s="4">
        <v>90</v>
      </c>
      <c r="G110" s="4" t="s">
        <v>289</v>
      </c>
      <c r="H110" s="4" t="s">
        <v>270</v>
      </c>
      <c r="I110" s="4" t="s">
        <v>269</v>
      </c>
      <c r="J110" s="4" t="s">
        <v>270</v>
      </c>
      <c r="K110" s="4" t="s">
        <v>269</v>
      </c>
      <c r="L110" s="4" t="s">
        <v>269</v>
      </c>
      <c r="M110" s="4">
        <v>110000</v>
      </c>
      <c r="N110" s="4">
        <v>121000</v>
      </c>
      <c r="O110" s="4">
        <v>2</v>
      </c>
      <c r="P110" s="4">
        <v>10</v>
      </c>
      <c r="Q110" s="4">
        <v>1100</v>
      </c>
      <c r="R110" s="4">
        <v>200</v>
      </c>
      <c r="S110" s="4">
        <v>1000</v>
      </c>
      <c r="T110" s="4">
        <v>200</v>
      </c>
      <c r="U110" s="4">
        <v>800</v>
      </c>
      <c r="V110" s="4">
        <v>540</v>
      </c>
      <c r="W110" s="4">
        <v>600</v>
      </c>
      <c r="X110" s="4">
        <v>40</v>
      </c>
      <c r="Y110" s="4">
        <v>26</v>
      </c>
      <c r="Z110" s="4" t="s">
        <v>270</v>
      </c>
      <c r="AA110" s="4" t="s">
        <v>269</v>
      </c>
      <c r="AB110" s="4" t="s">
        <v>269</v>
      </c>
      <c r="AC110" s="4">
        <v>230</v>
      </c>
      <c r="AD110" s="4">
        <v>220</v>
      </c>
      <c r="AE110" s="5">
        <v>185.7</v>
      </c>
    </row>
    <row r="111" spans="1:31">
      <c r="A111" s="3" t="s">
        <v>389</v>
      </c>
      <c r="B111" s="4" t="s">
        <v>336</v>
      </c>
      <c r="C111" s="4">
        <v>365</v>
      </c>
      <c r="D111" s="4">
        <v>1035</v>
      </c>
      <c r="E111" s="4">
        <v>700</v>
      </c>
      <c r="F111" s="4">
        <v>81</v>
      </c>
      <c r="G111" s="4" t="s">
        <v>289</v>
      </c>
      <c r="H111" s="4" t="s">
        <v>270</v>
      </c>
      <c r="I111" s="4" t="s">
        <v>269</v>
      </c>
      <c r="J111" s="4" t="s">
        <v>270</v>
      </c>
      <c r="K111" s="4" t="s">
        <v>269</v>
      </c>
      <c r="L111" s="4" t="s">
        <v>269</v>
      </c>
      <c r="M111" s="4">
        <v>125000</v>
      </c>
      <c r="N111" s="4">
        <v>137500</v>
      </c>
      <c r="O111" s="4">
        <v>2</v>
      </c>
      <c r="P111" s="4">
        <v>10</v>
      </c>
      <c r="Q111" s="4">
        <v>1100</v>
      </c>
      <c r="R111" s="4">
        <v>200</v>
      </c>
      <c r="S111" s="4">
        <v>1000</v>
      </c>
      <c r="T111" s="4">
        <v>200</v>
      </c>
      <c r="U111" s="4">
        <v>850</v>
      </c>
      <c r="V111" s="4">
        <v>625</v>
      </c>
      <c r="W111" s="4">
        <v>750</v>
      </c>
      <c r="X111" s="4">
        <v>40</v>
      </c>
      <c r="Y111" s="4">
        <v>26</v>
      </c>
      <c r="Z111" s="4" t="s">
        <v>270</v>
      </c>
      <c r="AA111" s="4" t="s">
        <v>269</v>
      </c>
      <c r="AB111" s="4" t="s">
        <v>270</v>
      </c>
      <c r="AC111" s="4">
        <v>288</v>
      </c>
      <c r="AD111" s="4">
        <v>288</v>
      </c>
      <c r="AE111" s="5">
        <v>160.4</v>
      </c>
    </row>
    <row r="112" spans="1:31">
      <c r="A112" s="3" t="s">
        <v>390</v>
      </c>
      <c r="B112" s="4" t="s">
        <v>336</v>
      </c>
      <c r="C112" s="4">
        <v>310</v>
      </c>
      <c r="D112" s="4">
        <v>1075</v>
      </c>
      <c r="E112" s="4">
        <v>605</v>
      </c>
      <c r="F112" s="4">
        <v>76</v>
      </c>
      <c r="G112" s="4" t="s">
        <v>268</v>
      </c>
      <c r="H112" s="4" t="s">
        <v>270</v>
      </c>
      <c r="I112" s="4" t="s">
        <v>269</v>
      </c>
      <c r="J112" s="4" t="s">
        <v>270</v>
      </c>
      <c r="K112" s="4" t="s">
        <v>269</v>
      </c>
      <c r="L112" s="4" t="s">
        <v>269</v>
      </c>
      <c r="M112" s="4">
        <v>90000</v>
      </c>
      <c r="N112" s="4">
        <v>100000</v>
      </c>
      <c r="O112" s="4">
        <v>2</v>
      </c>
      <c r="P112" s="4">
        <v>6</v>
      </c>
      <c r="Q112" s="4">
        <v>1500</v>
      </c>
      <c r="R112" s="4">
        <v>650</v>
      </c>
      <c r="S112" s="4">
        <v>1500</v>
      </c>
      <c r="T112" s="4">
        <v>600</v>
      </c>
      <c r="U112" s="4">
        <v>1300</v>
      </c>
      <c r="V112" s="4">
        <v>880</v>
      </c>
      <c r="W112" s="4">
        <v>1080</v>
      </c>
      <c r="X112" s="4">
        <v>33</v>
      </c>
      <c r="Y112" s="4">
        <v>22</v>
      </c>
      <c r="Z112" s="4" t="s">
        <v>270</v>
      </c>
      <c r="AA112" s="4" t="s">
        <v>269</v>
      </c>
      <c r="AB112" s="4" t="s">
        <v>270</v>
      </c>
      <c r="AC112" s="4">
        <v>800</v>
      </c>
      <c r="AD112" s="4">
        <v>800</v>
      </c>
      <c r="AE112" s="5">
        <v>72.9</v>
      </c>
    </row>
    <row r="113" spans="1:31">
      <c r="A113" s="3" t="s">
        <v>391</v>
      </c>
      <c r="B113" s="4" t="s">
        <v>336</v>
      </c>
      <c r="C113" s="4">
        <v>310</v>
      </c>
      <c r="D113" s="4">
        <v>1075</v>
      </c>
      <c r="E113" s="4">
        <v>605</v>
      </c>
      <c r="F113" s="4">
        <v>76</v>
      </c>
      <c r="G113" s="4" t="s">
        <v>268</v>
      </c>
      <c r="H113" s="4" t="s">
        <v>270</v>
      </c>
      <c r="I113" s="4" t="s">
        <v>269</v>
      </c>
      <c r="J113" s="4" t="s">
        <v>270</v>
      </c>
      <c r="K113" s="4" t="s">
        <v>269</v>
      </c>
      <c r="L113" s="4" t="s">
        <v>269</v>
      </c>
      <c r="M113" s="4">
        <v>90000</v>
      </c>
      <c r="N113" s="4">
        <v>100000</v>
      </c>
      <c r="O113" s="4">
        <v>2</v>
      </c>
      <c r="P113" s="4">
        <v>6</v>
      </c>
      <c r="Q113" s="4">
        <v>1500</v>
      </c>
      <c r="R113" s="4">
        <v>650</v>
      </c>
      <c r="S113" s="4">
        <v>1500</v>
      </c>
      <c r="T113" s="4">
        <v>600</v>
      </c>
      <c r="U113" s="4">
        <v>1300</v>
      </c>
      <c r="V113" s="4">
        <v>880</v>
      </c>
      <c r="W113" s="4">
        <v>1080</v>
      </c>
      <c r="X113" s="4">
        <v>33</v>
      </c>
      <c r="Y113" s="4">
        <v>22</v>
      </c>
      <c r="Z113" s="4" t="s">
        <v>270</v>
      </c>
      <c r="AA113" s="4" t="s">
        <v>269</v>
      </c>
      <c r="AB113" s="4" t="s">
        <v>270</v>
      </c>
      <c r="AC113" s="4">
        <v>800</v>
      </c>
      <c r="AD113" s="4">
        <v>800</v>
      </c>
      <c r="AE113" s="5">
        <v>72.9</v>
      </c>
    </row>
    <row r="114" spans="1:31">
      <c r="A114" s="3" t="s">
        <v>392</v>
      </c>
      <c r="B114" s="4" t="s">
        <v>336</v>
      </c>
      <c r="C114" s="4">
        <v>310</v>
      </c>
      <c r="D114" s="4">
        <v>1075</v>
      </c>
      <c r="E114" s="4">
        <v>605</v>
      </c>
      <c r="F114" s="4">
        <v>76</v>
      </c>
      <c r="G114" s="4" t="s">
        <v>268</v>
      </c>
      <c r="H114" s="4" t="s">
        <v>270</v>
      </c>
      <c r="I114" s="4" t="s">
        <v>269</v>
      </c>
      <c r="J114" s="4" t="s">
        <v>270</v>
      </c>
      <c r="K114" s="4" t="s">
        <v>269</v>
      </c>
      <c r="L114" s="4" t="s">
        <v>269</v>
      </c>
      <c r="M114" s="4">
        <v>90000</v>
      </c>
      <c r="N114" s="4">
        <v>100000</v>
      </c>
      <c r="O114" s="4">
        <v>2</v>
      </c>
      <c r="P114" s="4">
        <v>6</v>
      </c>
      <c r="Q114" s="4">
        <v>1500</v>
      </c>
      <c r="R114" s="4">
        <v>650</v>
      </c>
      <c r="S114" s="4">
        <v>1500</v>
      </c>
      <c r="T114" s="4">
        <v>600</v>
      </c>
      <c r="U114" s="4">
        <v>1300</v>
      </c>
      <c r="V114" s="4">
        <v>880</v>
      </c>
      <c r="W114" s="4">
        <v>1080</v>
      </c>
      <c r="X114" s="4">
        <v>33</v>
      </c>
      <c r="Y114" s="4">
        <v>22</v>
      </c>
      <c r="Z114" s="4" t="s">
        <v>270</v>
      </c>
      <c r="AA114" s="4" t="s">
        <v>269</v>
      </c>
      <c r="AB114" s="4" t="s">
        <v>270</v>
      </c>
      <c r="AC114" s="4">
        <v>800</v>
      </c>
      <c r="AD114" s="4">
        <v>800</v>
      </c>
      <c r="AE114" s="5">
        <v>72.9</v>
      </c>
    </row>
    <row r="115" spans="1:31">
      <c r="A115" s="3" t="s">
        <v>393</v>
      </c>
      <c r="B115" s="4" t="s">
        <v>336</v>
      </c>
      <c r="C115" s="4">
        <v>310</v>
      </c>
      <c r="D115" s="4">
        <v>1075</v>
      </c>
      <c r="E115" s="4">
        <v>605</v>
      </c>
      <c r="F115" s="4">
        <v>76</v>
      </c>
      <c r="G115" s="4" t="s">
        <v>268</v>
      </c>
      <c r="H115" s="4" t="s">
        <v>270</v>
      </c>
      <c r="I115" s="4" t="s">
        <v>269</v>
      </c>
      <c r="J115" s="4" t="s">
        <v>270</v>
      </c>
      <c r="K115" s="4" t="s">
        <v>269</v>
      </c>
      <c r="L115" s="4" t="s">
        <v>269</v>
      </c>
      <c r="M115" s="4">
        <v>100000</v>
      </c>
      <c r="N115" s="4">
        <v>110000</v>
      </c>
      <c r="O115" s="4">
        <v>2</v>
      </c>
      <c r="P115" s="4">
        <v>6</v>
      </c>
      <c r="Q115" s="4">
        <v>1500</v>
      </c>
      <c r="R115" s="4">
        <v>650</v>
      </c>
      <c r="S115" s="4">
        <v>1500</v>
      </c>
      <c r="T115" s="4">
        <v>600</v>
      </c>
      <c r="U115" s="4">
        <v>1300</v>
      </c>
      <c r="V115" s="4">
        <v>880</v>
      </c>
      <c r="W115" s="4">
        <v>1080</v>
      </c>
      <c r="X115" s="4">
        <v>33</v>
      </c>
      <c r="Y115" s="4">
        <v>22</v>
      </c>
      <c r="Z115" s="4" t="s">
        <v>270</v>
      </c>
      <c r="AA115" s="4" t="s">
        <v>269</v>
      </c>
      <c r="AB115" s="4" t="s">
        <v>270</v>
      </c>
      <c r="AC115" s="4">
        <v>800</v>
      </c>
      <c r="AD115" s="4">
        <v>800</v>
      </c>
      <c r="AE115" s="5">
        <v>80.2</v>
      </c>
    </row>
    <row r="116" spans="1:31">
      <c r="A116" s="3" t="s">
        <v>394</v>
      </c>
      <c r="B116" s="4" t="s">
        <v>336</v>
      </c>
      <c r="C116" s="4">
        <v>310</v>
      </c>
      <c r="D116" s="4">
        <v>1075</v>
      </c>
      <c r="E116" s="4">
        <v>605</v>
      </c>
      <c r="F116" s="4">
        <v>76</v>
      </c>
      <c r="G116" s="4" t="s">
        <v>268</v>
      </c>
      <c r="H116" s="4" t="s">
        <v>270</v>
      </c>
      <c r="I116" s="4" t="s">
        <v>269</v>
      </c>
      <c r="J116" s="4" t="s">
        <v>270</v>
      </c>
      <c r="K116" s="4" t="s">
        <v>269</v>
      </c>
      <c r="L116" s="4" t="s">
        <v>269</v>
      </c>
      <c r="M116" s="4">
        <v>100000</v>
      </c>
      <c r="N116" s="4">
        <v>105000</v>
      </c>
      <c r="O116" s="4">
        <v>2</v>
      </c>
      <c r="P116" s="4">
        <v>6</v>
      </c>
      <c r="Q116" s="4">
        <v>1500</v>
      </c>
      <c r="R116" s="4">
        <v>650</v>
      </c>
      <c r="S116" s="4">
        <v>1500</v>
      </c>
      <c r="T116" s="4">
        <v>600</v>
      </c>
      <c r="U116" s="4">
        <v>1300</v>
      </c>
      <c r="V116" s="4">
        <v>880</v>
      </c>
      <c r="W116" s="4">
        <v>1080</v>
      </c>
      <c r="X116" s="4">
        <v>33</v>
      </c>
      <c r="Y116" s="4">
        <v>22</v>
      </c>
      <c r="Z116" s="4" t="s">
        <v>270</v>
      </c>
      <c r="AA116" s="4" t="s">
        <v>269</v>
      </c>
      <c r="AB116" s="4" t="s">
        <v>270</v>
      </c>
      <c r="AC116" s="4">
        <v>800</v>
      </c>
      <c r="AD116" s="4">
        <v>800</v>
      </c>
      <c r="AE116" s="5">
        <v>80.2</v>
      </c>
    </row>
    <row r="117" spans="1:31">
      <c r="A117" s="3" t="s">
        <v>395</v>
      </c>
      <c r="B117" s="4" t="s">
        <v>336</v>
      </c>
      <c r="C117" s="4">
        <v>310</v>
      </c>
      <c r="D117" s="4">
        <v>1075</v>
      </c>
      <c r="E117" s="4">
        <v>605</v>
      </c>
      <c r="F117" s="4">
        <v>79</v>
      </c>
      <c r="G117" s="4" t="s">
        <v>268</v>
      </c>
      <c r="H117" s="4" t="s">
        <v>270</v>
      </c>
      <c r="I117" s="4" t="s">
        <v>269</v>
      </c>
      <c r="J117" s="4" t="s">
        <v>270</v>
      </c>
      <c r="K117" s="4" t="s">
        <v>269</v>
      </c>
      <c r="L117" s="4" t="s">
        <v>269</v>
      </c>
      <c r="M117" s="4">
        <v>100000</v>
      </c>
      <c r="N117" s="4">
        <v>110000</v>
      </c>
      <c r="O117" s="4">
        <v>2</v>
      </c>
      <c r="P117" s="4">
        <v>6</v>
      </c>
      <c r="Q117" s="4">
        <v>1500</v>
      </c>
      <c r="R117" s="4">
        <v>650</v>
      </c>
      <c r="S117" s="4">
        <v>1500</v>
      </c>
      <c r="T117" s="4">
        <v>600</v>
      </c>
      <c r="U117" s="4">
        <v>1300</v>
      </c>
      <c r="V117" s="4">
        <v>880</v>
      </c>
      <c r="W117" s="4">
        <v>1080</v>
      </c>
      <c r="X117" s="4">
        <v>33</v>
      </c>
      <c r="Y117" s="4">
        <v>22</v>
      </c>
      <c r="Z117" s="4" t="s">
        <v>270</v>
      </c>
      <c r="AA117" s="4" t="s">
        <v>269</v>
      </c>
      <c r="AB117" s="4" t="s">
        <v>270</v>
      </c>
      <c r="AC117" s="4">
        <v>800</v>
      </c>
      <c r="AD117" s="4">
        <v>800</v>
      </c>
      <c r="AE117" s="5">
        <v>80.2</v>
      </c>
    </row>
    <row r="118" spans="1:31">
      <c r="A118" s="3" t="s">
        <v>396</v>
      </c>
      <c r="B118" s="4" t="s">
        <v>336</v>
      </c>
      <c r="C118" s="4">
        <v>310</v>
      </c>
      <c r="D118" s="4">
        <v>1075</v>
      </c>
      <c r="E118" s="4">
        <v>605</v>
      </c>
      <c r="F118" s="4">
        <v>79</v>
      </c>
      <c r="G118" s="4" t="s">
        <v>268</v>
      </c>
      <c r="H118" s="4" t="s">
        <v>270</v>
      </c>
      <c r="I118" s="4" t="s">
        <v>269</v>
      </c>
      <c r="J118" s="4" t="s">
        <v>270</v>
      </c>
      <c r="K118" s="4" t="s">
        <v>269</v>
      </c>
      <c r="L118" s="4" t="s">
        <v>269</v>
      </c>
      <c r="M118" s="4">
        <v>105000</v>
      </c>
      <c r="N118" s="4">
        <v>116000</v>
      </c>
      <c r="O118" s="4">
        <v>2</v>
      </c>
      <c r="P118" s="4">
        <v>6</v>
      </c>
      <c r="Q118" s="4">
        <v>1500</v>
      </c>
      <c r="R118" s="4">
        <v>650</v>
      </c>
      <c r="S118" s="4">
        <v>1500</v>
      </c>
      <c r="T118" s="4">
        <v>600</v>
      </c>
      <c r="U118" s="4">
        <v>1300</v>
      </c>
      <c r="V118" s="4">
        <v>880</v>
      </c>
      <c r="W118" s="4">
        <v>1080</v>
      </c>
      <c r="X118" s="4">
        <v>33</v>
      </c>
      <c r="Y118" s="4">
        <v>22</v>
      </c>
      <c r="Z118" s="4" t="s">
        <v>270</v>
      </c>
      <c r="AA118" s="4" t="s">
        <v>269</v>
      </c>
      <c r="AB118" s="4" t="s">
        <v>270</v>
      </c>
      <c r="AC118" s="4">
        <v>800</v>
      </c>
      <c r="AD118" s="4">
        <v>800</v>
      </c>
      <c r="AE118" s="5">
        <v>84.6</v>
      </c>
    </row>
    <row r="119" spans="1:31">
      <c r="A119" s="3" t="s">
        <v>397</v>
      </c>
      <c r="B119" s="4" t="s">
        <v>336</v>
      </c>
      <c r="C119" s="4">
        <v>365</v>
      </c>
      <c r="D119" s="4">
        <v>1035</v>
      </c>
      <c r="E119" s="4">
        <v>700</v>
      </c>
      <c r="F119" s="4">
        <v>84</v>
      </c>
      <c r="G119" s="4" t="s">
        <v>289</v>
      </c>
      <c r="H119" s="4" t="s">
        <v>270</v>
      </c>
      <c r="I119" s="4" t="s">
        <v>269</v>
      </c>
      <c r="J119" s="4" t="s">
        <v>270</v>
      </c>
      <c r="K119" s="4" t="s">
        <v>269</v>
      </c>
      <c r="L119" s="4" t="s">
        <v>269</v>
      </c>
      <c r="M119" s="4">
        <v>196000</v>
      </c>
      <c r="N119" s="4">
        <v>215000</v>
      </c>
      <c r="O119" s="4">
        <v>2</v>
      </c>
      <c r="P119" s="4">
        <v>9</v>
      </c>
      <c r="Q119" s="4">
        <v>1500</v>
      </c>
      <c r="R119" s="4">
        <v>550</v>
      </c>
      <c r="S119" s="4">
        <v>1500</v>
      </c>
      <c r="T119" s="4">
        <v>500</v>
      </c>
      <c r="U119" s="4">
        <v>1500</v>
      </c>
      <c r="V119" s="4">
        <v>500</v>
      </c>
      <c r="W119" s="4">
        <v>1080</v>
      </c>
      <c r="X119" s="4">
        <v>50</v>
      </c>
      <c r="Y119" s="4">
        <v>30</v>
      </c>
      <c r="Z119" s="4" t="s">
        <v>270</v>
      </c>
      <c r="AA119" s="4" t="s">
        <v>269</v>
      </c>
      <c r="AB119" s="4" t="s">
        <v>270</v>
      </c>
      <c r="AC119" s="4">
        <v>800</v>
      </c>
      <c r="AD119" s="4">
        <v>800</v>
      </c>
      <c r="AE119" s="5">
        <v>155.9</v>
      </c>
    </row>
    <row r="120" spans="1:31">
      <c r="A120" s="3" t="s">
        <v>398</v>
      </c>
      <c r="B120" s="4" t="s">
        <v>336</v>
      </c>
      <c r="C120" s="4">
        <v>365</v>
      </c>
      <c r="D120" s="4">
        <v>1035</v>
      </c>
      <c r="E120" s="4">
        <v>700</v>
      </c>
      <c r="F120" s="4">
        <v>86</v>
      </c>
      <c r="G120" s="4" t="s">
        <v>289</v>
      </c>
      <c r="H120" s="4" t="s">
        <v>270</v>
      </c>
      <c r="I120" s="4" t="s">
        <v>269</v>
      </c>
      <c r="J120" s="4" t="s">
        <v>270</v>
      </c>
      <c r="K120" s="4" t="s">
        <v>269</v>
      </c>
      <c r="L120" s="4" t="s">
        <v>269</v>
      </c>
      <c r="M120" s="4">
        <v>200000</v>
      </c>
      <c r="N120" s="4">
        <v>215000</v>
      </c>
      <c r="O120" s="4">
        <v>2</v>
      </c>
      <c r="P120" s="4">
        <v>9</v>
      </c>
      <c r="Q120" s="4">
        <v>1500</v>
      </c>
      <c r="R120" s="4">
        <v>550</v>
      </c>
      <c r="S120" s="4">
        <v>1500</v>
      </c>
      <c r="T120" s="4">
        <v>500</v>
      </c>
      <c r="U120" s="4">
        <v>1500</v>
      </c>
      <c r="V120" s="4">
        <v>500</v>
      </c>
      <c r="W120" s="4">
        <v>1080</v>
      </c>
      <c r="X120" s="4">
        <v>50</v>
      </c>
      <c r="Y120" s="4">
        <v>30</v>
      </c>
      <c r="Z120" s="4" t="s">
        <v>270</v>
      </c>
      <c r="AA120" s="4" t="s">
        <v>269</v>
      </c>
      <c r="AB120" s="4" t="s">
        <v>270</v>
      </c>
      <c r="AC120" s="4">
        <v>800</v>
      </c>
      <c r="AD120" s="4">
        <v>800</v>
      </c>
      <c r="AE120" s="5">
        <v>155.2</v>
      </c>
    </row>
    <row r="121" spans="1:31">
      <c r="A121" s="3" t="s">
        <v>399</v>
      </c>
      <c r="B121" s="4" t="s">
        <v>336</v>
      </c>
      <c r="C121" s="4">
        <v>365</v>
      </c>
      <c r="D121" s="4">
        <v>1035</v>
      </c>
      <c r="E121" s="4">
        <v>700</v>
      </c>
      <c r="F121" s="4">
        <v>86</v>
      </c>
      <c r="G121" s="4" t="s">
        <v>289</v>
      </c>
      <c r="H121" s="4" t="s">
        <v>270</v>
      </c>
      <c r="I121" s="4" t="s">
        <v>269</v>
      </c>
      <c r="J121" s="4" t="s">
        <v>270</v>
      </c>
      <c r="K121" s="4" t="s">
        <v>269</v>
      </c>
      <c r="L121" s="4" t="s">
        <v>269</v>
      </c>
      <c r="M121" s="4">
        <v>215000</v>
      </c>
      <c r="N121" s="4">
        <v>215000</v>
      </c>
      <c r="O121" s="4">
        <v>2</v>
      </c>
      <c r="P121" s="4">
        <v>9</v>
      </c>
      <c r="Q121" s="4">
        <v>1500</v>
      </c>
      <c r="R121" s="4">
        <v>550</v>
      </c>
      <c r="S121" s="4">
        <v>1500</v>
      </c>
      <c r="T121" s="4">
        <v>500</v>
      </c>
      <c r="U121" s="4">
        <v>1500</v>
      </c>
      <c r="V121" s="4">
        <v>500</v>
      </c>
      <c r="W121" s="4">
        <v>1080</v>
      </c>
      <c r="X121" s="4">
        <v>50</v>
      </c>
      <c r="Y121" s="4">
        <v>30</v>
      </c>
      <c r="Z121" s="4" t="s">
        <v>270</v>
      </c>
      <c r="AA121" s="4" t="s">
        <v>269</v>
      </c>
      <c r="AB121" s="4" t="s">
        <v>270</v>
      </c>
      <c r="AC121" s="4">
        <v>800</v>
      </c>
      <c r="AD121" s="4">
        <v>800</v>
      </c>
      <c r="AE121" s="5">
        <v>155.2</v>
      </c>
    </row>
    <row r="122" spans="1:31">
      <c r="A122" s="3" t="s">
        <v>400</v>
      </c>
      <c r="B122" s="4" t="s">
        <v>336</v>
      </c>
      <c r="C122" s="4">
        <v>1035</v>
      </c>
      <c r="D122" s="4">
        <v>700</v>
      </c>
      <c r="E122" s="4">
        <v>365</v>
      </c>
      <c r="F122" s="4">
        <v>90</v>
      </c>
      <c r="G122" s="4" t="s">
        <v>289</v>
      </c>
      <c r="H122" s="4" t="s">
        <v>304</v>
      </c>
      <c r="I122" s="4" t="s">
        <v>304</v>
      </c>
      <c r="J122" s="4" t="s">
        <v>270</v>
      </c>
      <c r="K122" s="4" t="s">
        <v>304</v>
      </c>
      <c r="L122" s="4" t="s">
        <v>304</v>
      </c>
      <c r="M122" s="4">
        <v>75000</v>
      </c>
      <c r="N122" s="4">
        <v>75000</v>
      </c>
      <c r="O122" s="4">
        <v>2</v>
      </c>
      <c r="P122" s="4">
        <v>10</v>
      </c>
      <c r="Q122" s="4">
        <v>1100</v>
      </c>
      <c r="R122" s="4">
        <v>200</v>
      </c>
      <c r="S122" s="4">
        <v>1000</v>
      </c>
      <c r="T122" s="4">
        <v>200</v>
      </c>
      <c r="U122" s="4">
        <v>800</v>
      </c>
      <c r="V122" s="4">
        <v>540</v>
      </c>
      <c r="W122" s="4">
        <v>600</v>
      </c>
      <c r="X122" s="4">
        <v>20</v>
      </c>
      <c r="Y122" s="4">
        <v>13</v>
      </c>
      <c r="Z122" s="4" t="s">
        <v>270</v>
      </c>
      <c r="AA122" s="4" t="s">
        <v>269</v>
      </c>
      <c r="AB122" s="4" t="s">
        <v>269</v>
      </c>
      <c r="AC122" s="4">
        <v>480</v>
      </c>
      <c r="AD122" s="4">
        <v>380</v>
      </c>
      <c r="AE122" s="5">
        <v>113.6</v>
      </c>
    </row>
    <row r="123" spans="1:31">
      <c r="A123" s="3" t="s">
        <v>401</v>
      </c>
      <c r="B123" s="4" t="s">
        <v>336</v>
      </c>
      <c r="C123" s="4">
        <v>1035</v>
      </c>
      <c r="D123" s="4">
        <v>700</v>
      </c>
      <c r="E123" s="4">
        <v>365</v>
      </c>
      <c r="F123" s="4">
        <v>90</v>
      </c>
      <c r="G123" s="4" t="s">
        <v>289</v>
      </c>
      <c r="H123" s="4" t="s">
        <v>304</v>
      </c>
      <c r="I123" s="4" t="s">
        <v>304</v>
      </c>
      <c r="J123" s="4" t="s">
        <v>270</v>
      </c>
      <c r="K123" s="4" t="s">
        <v>304</v>
      </c>
      <c r="L123" s="4" t="s">
        <v>304</v>
      </c>
      <c r="M123" s="4">
        <v>100000</v>
      </c>
      <c r="N123" s="4">
        <v>110000</v>
      </c>
      <c r="O123" s="4">
        <v>2</v>
      </c>
      <c r="P123" s="4">
        <v>10</v>
      </c>
      <c r="Q123" s="4">
        <v>1100</v>
      </c>
      <c r="R123" s="4">
        <v>200</v>
      </c>
      <c r="S123" s="4">
        <v>1000</v>
      </c>
      <c r="T123" s="4">
        <v>200</v>
      </c>
      <c r="U123" s="4">
        <v>800</v>
      </c>
      <c r="V123" s="4">
        <v>540</v>
      </c>
      <c r="W123" s="4">
        <v>600</v>
      </c>
      <c r="X123" s="4">
        <v>20</v>
      </c>
      <c r="Y123" s="4">
        <v>13</v>
      </c>
      <c r="Z123" s="4" t="s">
        <v>270</v>
      </c>
      <c r="AA123" s="4" t="s">
        <v>269</v>
      </c>
      <c r="AB123" s="4" t="s">
        <v>269</v>
      </c>
      <c r="AC123" s="4">
        <v>480</v>
      </c>
      <c r="AD123" s="4">
        <v>380</v>
      </c>
      <c r="AE123" s="5">
        <v>160.4</v>
      </c>
    </row>
    <row r="124" spans="1:31">
      <c r="A124" s="3" t="s">
        <v>402</v>
      </c>
      <c r="B124" s="4" t="s">
        <v>336</v>
      </c>
      <c r="C124" s="4">
        <v>640</v>
      </c>
      <c r="D124" s="4">
        <v>530</v>
      </c>
      <c r="E124" s="4">
        <v>270</v>
      </c>
      <c r="F124" s="4">
        <v>43</v>
      </c>
      <c r="G124" s="4" t="s">
        <v>268</v>
      </c>
      <c r="H124" s="4" t="s">
        <v>270</v>
      </c>
      <c r="I124" s="4" t="s">
        <v>269</v>
      </c>
      <c r="J124" s="4" t="s">
        <v>270</v>
      </c>
      <c r="K124" s="4" t="s">
        <v>269</v>
      </c>
      <c r="L124" s="4" t="s">
        <v>269</v>
      </c>
      <c r="M124" s="4">
        <v>20000</v>
      </c>
      <c r="N124" s="4">
        <v>20000</v>
      </c>
      <c r="O124" s="4">
        <v>4</v>
      </c>
      <c r="P124" s="4">
        <v>8</v>
      </c>
      <c r="Q124" s="4">
        <v>750</v>
      </c>
      <c r="R124" s="4">
        <v>200</v>
      </c>
      <c r="S124" s="4">
        <v>750</v>
      </c>
      <c r="T124" s="4">
        <v>200</v>
      </c>
      <c r="U124" s="4">
        <v>750</v>
      </c>
      <c r="V124" s="4">
        <v>200</v>
      </c>
      <c r="X124" s="4">
        <v>26</v>
      </c>
      <c r="Y124" s="4">
        <v>26</v>
      </c>
      <c r="Z124" s="4" t="s">
        <v>269</v>
      </c>
      <c r="AA124" s="4" t="s">
        <v>270</v>
      </c>
      <c r="AB124" s="4" t="s">
        <v>270</v>
      </c>
      <c r="AC124" s="4">
        <v>220</v>
      </c>
      <c r="AD124" s="4">
        <v>127</v>
      </c>
      <c r="AE124" s="5">
        <v>58</v>
      </c>
    </row>
    <row r="125" spans="1:31">
      <c r="A125" s="3" t="s">
        <v>403</v>
      </c>
      <c r="B125" s="4" t="s">
        <v>336</v>
      </c>
      <c r="C125" s="4">
        <v>1075</v>
      </c>
      <c r="D125" s="4">
        <v>605</v>
      </c>
      <c r="E125" s="4">
        <v>310</v>
      </c>
      <c r="F125" s="4">
        <v>77</v>
      </c>
      <c r="G125" s="4" t="s">
        <v>289</v>
      </c>
      <c r="H125" s="4" t="s">
        <v>270</v>
      </c>
      <c r="I125" s="4" t="s">
        <v>269</v>
      </c>
      <c r="J125" s="4" t="s">
        <v>270</v>
      </c>
      <c r="K125" s="4" t="s">
        <v>269</v>
      </c>
      <c r="L125" s="4" t="s">
        <v>269</v>
      </c>
      <c r="M125" s="4">
        <v>100000</v>
      </c>
      <c r="N125" s="4">
        <v>105000</v>
      </c>
      <c r="O125" s="4">
        <v>2</v>
      </c>
      <c r="P125" s="4">
        <v>6</v>
      </c>
      <c r="Q125" s="4">
        <v>1450</v>
      </c>
      <c r="R125" s="4">
        <v>550</v>
      </c>
      <c r="S125" s="4">
        <v>1450</v>
      </c>
      <c r="T125" s="4">
        <v>600</v>
      </c>
      <c r="U125" s="4">
        <v>1300</v>
      </c>
      <c r="V125" s="4">
        <v>680</v>
      </c>
      <c r="W125" s="4">
        <v>1080</v>
      </c>
      <c r="X125" s="4">
        <v>16.5</v>
      </c>
      <c r="Y125" s="4">
        <v>11</v>
      </c>
      <c r="Z125" s="18" t="s">
        <v>270</v>
      </c>
      <c r="AA125" s="18" t="s">
        <v>270</v>
      </c>
      <c r="AB125" s="18" t="s">
        <v>269</v>
      </c>
      <c r="AC125" s="4">
        <v>800</v>
      </c>
      <c r="AE125" s="5">
        <v>80.2</v>
      </c>
    </row>
    <row r="126" spans="1:31">
      <c r="A126" s="3" t="s">
        <v>404</v>
      </c>
      <c r="B126" s="4" t="s">
        <v>336</v>
      </c>
      <c r="C126" s="4">
        <v>1035</v>
      </c>
      <c r="D126" s="4">
        <v>700</v>
      </c>
      <c r="E126" s="4">
        <v>365</v>
      </c>
      <c r="F126" s="4">
        <v>86</v>
      </c>
      <c r="G126" s="4" t="s">
        <v>289</v>
      </c>
      <c r="H126" s="4" t="s">
        <v>270</v>
      </c>
      <c r="I126" s="4" t="s">
        <v>269</v>
      </c>
      <c r="J126" s="4" t="s">
        <v>270</v>
      </c>
      <c r="K126" s="4" t="s">
        <v>269</v>
      </c>
      <c r="L126" s="4" t="s">
        <v>269</v>
      </c>
      <c r="M126" s="4">
        <v>200000</v>
      </c>
      <c r="N126" s="4">
        <v>215000</v>
      </c>
      <c r="O126" s="19" t="s">
        <v>405</v>
      </c>
      <c r="P126" s="4">
        <v>3</v>
      </c>
      <c r="Q126" s="4">
        <v>1500</v>
      </c>
      <c r="R126" s="4">
        <v>550</v>
      </c>
      <c r="S126" s="4">
        <v>1500</v>
      </c>
      <c r="T126" s="4">
        <v>500</v>
      </c>
      <c r="U126" s="4">
        <v>1300</v>
      </c>
      <c r="V126" s="4">
        <v>680</v>
      </c>
      <c r="W126" s="4">
        <v>1080</v>
      </c>
      <c r="X126" s="4">
        <v>25</v>
      </c>
      <c r="Y126" s="4">
        <v>15</v>
      </c>
      <c r="Z126" s="18" t="s">
        <v>270</v>
      </c>
      <c r="AA126" s="18" t="s">
        <v>270</v>
      </c>
      <c r="AB126" s="18" t="s">
        <v>269</v>
      </c>
      <c r="AC126" s="4">
        <v>800</v>
      </c>
      <c r="AE126" s="5">
        <v>155.2</v>
      </c>
    </row>
    <row r="127" spans="1:31">
      <c r="A127" s="3" t="s">
        <v>406</v>
      </c>
      <c r="B127" s="4" t="s">
        <v>336</v>
      </c>
      <c r="C127" s="4">
        <v>1035</v>
      </c>
      <c r="D127" s="4">
        <v>700</v>
      </c>
      <c r="E127" s="4">
        <v>365</v>
      </c>
      <c r="F127" s="4">
        <v>86</v>
      </c>
      <c r="G127" s="4" t="s">
        <v>289</v>
      </c>
      <c r="H127" s="4" t="s">
        <v>270</v>
      </c>
      <c r="I127" s="4" t="s">
        <v>269</v>
      </c>
      <c r="J127" s="4" t="s">
        <v>270</v>
      </c>
      <c r="K127" s="4" t="s">
        <v>269</v>
      </c>
      <c r="L127" s="4" t="s">
        <v>269</v>
      </c>
      <c r="M127" s="4">
        <v>200000</v>
      </c>
      <c r="N127" s="4">
        <v>215000</v>
      </c>
      <c r="O127" s="19" t="s">
        <v>407</v>
      </c>
      <c r="P127" s="4">
        <v>3</v>
      </c>
      <c r="Q127" s="4">
        <v>1500</v>
      </c>
      <c r="R127" s="4">
        <v>550</v>
      </c>
      <c r="S127" s="4">
        <v>1500</v>
      </c>
      <c r="T127" s="4">
        <v>500</v>
      </c>
      <c r="U127" s="4">
        <v>1300</v>
      </c>
      <c r="V127" s="4">
        <v>680</v>
      </c>
      <c r="W127" s="4">
        <v>1080</v>
      </c>
      <c r="X127" s="4">
        <v>32.5</v>
      </c>
      <c r="Y127" s="4">
        <v>25</v>
      </c>
      <c r="Z127" s="18" t="s">
        <v>270</v>
      </c>
      <c r="AA127" s="18" t="s">
        <v>270</v>
      </c>
      <c r="AB127" s="18" t="s">
        <v>269</v>
      </c>
      <c r="AC127" s="4">
        <v>800</v>
      </c>
      <c r="AE127" s="5">
        <v>155.2</v>
      </c>
    </row>
    <row r="128" spans="1:31">
      <c r="A128" s="17" t="s">
        <v>408</v>
      </c>
      <c r="B128" s="4" t="s">
        <v>336</v>
      </c>
      <c r="C128" s="4">
        <v>1035</v>
      </c>
      <c r="D128" s="4">
        <v>700</v>
      </c>
      <c r="E128" s="4">
        <v>354</v>
      </c>
      <c r="F128" s="4">
        <v>86</v>
      </c>
      <c r="G128" s="4" t="s">
        <v>289</v>
      </c>
      <c r="H128" s="18" t="s">
        <v>269</v>
      </c>
      <c r="I128" s="4" t="s">
        <v>269</v>
      </c>
      <c r="J128" s="4" t="s">
        <v>270</v>
      </c>
      <c r="K128" s="4" t="s">
        <v>269</v>
      </c>
      <c r="L128" s="4" t="s">
        <v>269</v>
      </c>
      <c r="M128" s="4">
        <v>200000</v>
      </c>
      <c r="N128" s="4">
        <v>215000</v>
      </c>
      <c r="O128" s="4">
        <v>9</v>
      </c>
      <c r="P128" s="4">
        <v>18</v>
      </c>
      <c r="Q128" s="4">
        <v>1500</v>
      </c>
      <c r="R128" s="4">
        <v>500</v>
      </c>
      <c r="S128" s="4">
        <v>1500</v>
      </c>
      <c r="T128" s="4">
        <v>500</v>
      </c>
      <c r="U128" s="4">
        <v>1500</v>
      </c>
      <c r="V128" s="4">
        <v>500</v>
      </c>
      <c r="X128" s="4">
        <v>50</v>
      </c>
      <c r="Y128" s="4">
        <v>30</v>
      </c>
      <c r="Z128" s="18" t="s">
        <v>270</v>
      </c>
      <c r="AA128" s="18" t="s">
        <v>270</v>
      </c>
      <c r="AB128" s="18" t="s">
        <v>269</v>
      </c>
      <c r="AC128" s="4">
        <v>800</v>
      </c>
      <c r="AE128" s="5">
        <v>144.4</v>
      </c>
    </row>
    <row r="129" spans="1:31">
      <c r="A129" s="3" t="s">
        <v>409</v>
      </c>
      <c r="B129" s="4" t="s">
        <v>336</v>
      </c>
      <c r="C129" s="4">
        <v>1048</v>
      </c>
      <c r="D129" s="4">
        <v>732</v>
      </c>
      <c r="E129" s="4">
        <v>395</v>
      </c>
      <c r="F129" s="4">
        <v>112</v>
      </c>
      <c r="G129" s="4" t="s">
        <v>289</v>
      </c>
      <c r="H129" s="4" t="s">
        <v>270</v>
      </c>
      <c r="I129" s="4" t="s">
        <v>269</v>
      </c>
      <c r="J129" s="4" t="s">
        <v>270</v>
      </c>
      <c r="K129" s="4" t="s">
        <v>269</v>
      </c>
      <c r="L129" s="4" t="s">
        <v>269</v>
      </c>
      <c r="M129" s="4">
        <v>250000</v>
      </c>
      <c r="N129" s="4">
        <v>275000</v>
      </c>
      <c r="O129" s="19" t="s">
        <v>410</v>
      </c>
      <c r="P129" s="4">
        <v>6</v>
      </c>
      <c r="Q129" s="4">
        <v>1500</v>
      </c>
      <c r="R129" s="4">
        <v>550</v>
      </c>
      <c r="S129" s="4">
        <v>1500</v>
      </c>
      <c r="T129" s="4">
        <v>500</v>
      </c>
      <c r="U129" s="4">
        <v>1300</v>
      </c>
      <c r="V129" s="4">
        <v>680</v>
      </c>
      <c r="W129" s="4">
        <v>1080</v>
      </c>
      <c r="X129" s="4">
        <v>23</v>
      </c>
      <c r="Y129" s="4">
        <v>16.65</v>
      </c>
      <c r="Z129" s="18" t="s">
        <v>270</v>
      </c>
      <c r="AA129" s="18" t="s">
        <v>270</v>
      </c>
      <c r="AB129" s="18" t="s">
        <v>269</v>
      </c>
      <c r="AC129" s="4">
        <v>800</v>
      </c>
      <c r="AE129" s="5">
        <v>198.5</v>
      </c>
    </row>
    <row r="130" spans="1:31">
      <c r="A130" s="3" t="s">
        <v>411</v>
      </c>
      <c r="B130" s="4" t="s">
        <v>336</v>
      </c>
      <c r="C130" s="4">
        <v>1048</v>
      </c>
      <c r="D130" s="4">
        <v>732</v>
      </c>
      <c r="E130" s="4">
        <v>395</v>
      </c>
      <c r="F130" s="4">
        <v>112</v>
      </c>
      <c r="G130" s="4" t="s">
        <v>289</v>
      </c>
      <c r="H130" s="4" t="s">
        <v>270</v>
      </c>
      <c r="I130" s="4" t="s">
        <v>269</v>
      </c>
      <c r="J130" s="4" t="s">
        <v>270</v>
      </c>
      <c r="K130" s="4" t="s">
        <v>269</v>
      </c>
      <c r="L130" s="4" t="s">
        <v>269</v>
      </c>
      <c r="M130" s="4">
        <v>300000</v>
      </c>
      <c r="N130" s="4">
        <v>330000</v>
      </c>
      <c r="O130" s="19" t="s">
        <v>410</v>
      </c>
      <c r="P130" s="4">
        <v>6</v>
      </c>
      <c r="Q130" s="4">
        <v>1500</v>
      </c>
      <c r="R130" s="4">
        <v>550</v>
      </c>
      <c r="S130" s="4">
        <v>1500</v>
      </c>
      <c r="T130" s="4">
        <v>500</v>
      </c>
      <c r="U130" s="4">
        <v>1300</v>
      </c>
      <c r="V130" s="4">
        <v>680</v>
      </c>
      <c r="W130" s="4">
        <v>1080</v>
      </c>
      <c r="X130" s="4">
        <v>23</v>
      </c>
      <c r="Y130" s="4">
        <v>16.65</v>
      </c>
      <c r="Z130" s="18" t="s">
        <v>270</v>
      </c>
      <c r="AA130" s="18" t="s">
        <v>270</v>
      </c>
      <c r="AB130" s="18" t="s">
        <v>269</v>
      </c>
      <c r="AC130" s="4">
        <v>800</v>
      </c>
      <c r="AE130" s="5">
        <v>238.2</v>
      </c>
    </row>
    <row r="131" spans="1:31">
      <c r="A131" s="3" t="s">
        <v>412</v>
      </c>
      <c r="B131" s="4" t="s">
        <v>413</v>
      </c>
      <c r="C131" s="4">
        <v>344</v>
      </c>
      <c r="D131" s="4">
        <v>312.5</v>
      </c>
      <c r="E131" s="4">
        <v>312.5</v>
      </c>
      <c r="F131" s="4">
        <v>7.5</v>
      </c>
      <c r="G131" s="4" t="s">
        <v>268</v>
      </c>
      <c r="H131" s="4" t="s">
        <v>269</v>
      </c>
      <c r="I131" s="4" t="s">
        <v>269</v>
      </c>
      <c r="J131" s="4" t="s">
        <v>269</v>
      </c>
      <c r="K131" s="4" t="s">
        <v>269</v>
      </c>
      <c r="L131" s="4" t="s">
        <v>270</v>
      </c>
      <c r="M131" s="4">
        <v>1500</v>
      </c>
      <c r="N131" s="4">
        <v>1500</v>
      </c>
      <c r="O131" s="4">
        <v>1</v>
      </c>
      <c r="P131" s="4">
        <v>1</v>
      </c>
      <c r="Q131" s="4">
        <v>450</v>
      </c>
      <c r="R131" s="4">
        <v>80</v>
      </c>
      <c r="S131" s="4">
        <v>400</v>
      </c>
      <c r="T131" s="4">
        <v>80</v>
      </c>
      <c r="U131" s="4">
        <v>400</v>
      </c>
      <c r="V131" s="4">
        <v>80</v>
      </c>
      <c r="X131" s="4">
        <v>10</v>
      </c>
      <c r="Y131" s="4">
        <v>10</v>
      </c>
      <c r="Z131" s="4" t="s">
        <v>269</v>
      </c>
      <c r="AA131" s="4" t="s">
        <v>270</v>
      </c>
      <c r="AB131" s="4" t="s">
        <v>270</v>
      </c>
      <c r="AC131" s="4">
        <v>242</v>
      </c>
      <c r="AD131" s="4">
        <v>176</v>
      </c>
      <c r="AE131" s="5">
        <v>7.5</v>
      </c>
    </row>
    <row r="132" spans="1:31">
      <c r="A132" s="3" t="s">
        <v>414</v>
      </c>
      <c r="B132" s="4" t="s">
        <v>413</v>
      </c>
      <c r="C132" s="4">
        <v>344</v>
      </c>
      <c r="D132" s="4">
        <v>312.5</v>
      </c>
      <c r="E132" s="4">
        <v>312.5</v>
      </c>
      <c r="F132" s="4">
        <v>8.5</v>
      </c>
      <c r="G132" s="4" t="s">
        <v>268</v>
      </c>
      <c r="H132" s="4" t="s">
        <v>269</v>
      </c>
      <c r="I132" s="4" t="s">
        <v>269</v>
      </c>
      <c r="J132" s="4" t="s">
        <v>269</v>
      </c>
      <c r="K132" s="4" t="s">
        <v>269</v>
      </c>
      <c r="L132" s="4" t="s">
        <v>270</v>
      </c>
      <c r="M132" s="4">
        <v>3000</v>
      </c>
      <c r="N132" s="4">
        <v>3000</v>
      </c>
      <c r="O132" s="4">
        <v>1</v>
      </c>
      <c r="P132" s="4">
        <v>1</v>
      </c>
      <c r="Q132" s="4">
        <v>500</v>
      </c>
      <c r="R132" s="4">
        <v>80</v>
      </c>
      <c r="S132" s="4">
        <v>450</v>
      </c>
      <c r="T132" s="4">
        <v>80</v>
      </c>
      <c r="U132" s="4">
        <v>450</v>
      </c>
      <c r="V132" s="4">
        <v>80</v>
      </c>
      <c r="X132" s="4">
        <v>15</v>
      </c>
      <c r="Y132" s="4">
        <v>15</v>
      </c>
      <c r="Z132" s="4" t="s">
        <v>269</v>
      </c>
      <c r="AA132" s="4" t="s">
        <v>270</v>
      </c>
      <c r="AB132" s="4" t="s">
        <v>270</v>
      </c>
      <c r="AC132" s="4">
        <v>242</v>
      </c>
      <c r="AD132" s="4">
        <v>176</v>
      </c>
      <c r="AE132" s="5">
        <v>13.5</v>
      </c>
    </row>
    <row r="133" spans="1:31">
      <c r="A133" s="3" t="s">
        <v>415</v>
      </c>
      <c r="B133" s="4" t="s">
        <v>413</v>
      </c>
      <c r="C133" s="4">
        <v>344</v>
      </c>
      <c r="D133" s="4">
        <v>312.5</v>
      </c>
      <c r="E133" s="4">
        <v>312.5</v>
      </c>
      <c r="F133" s="4">
        <v>14</v>
      </c>
      <c r="G133" s="4" t="s">
        <v>268</v>
      </c>
      <c r="H133" s="4" t="s">
        <v>269</v>
      </c>
      <c r="I133" s="4" t="s">
        <v>269</v>
      </c>
      <c r="J133" s="4" t="s">
        <v>269</v>
      </c>
      <c r="K133" s="4" t="s">
        <v>269</v>
      </c>
      <c r="L133" s="4" t="s">
        <v>270</v>
      </c>
      <c r="M133" s="4">
        <v>5000</v>
      </c>
      <c r="N133" s="4">
        <v>5000</v>
      </c>
      <c r="O133" s="4">
        <v>1</v>
      </c>
      <c r="P133" s="4">
        <v>2</v>
      </c>
      <c r="Q133" s="4">
        <v>580</v>
      </c>
      <c r="R133" s="4">
        <v>120</v>
      </c>
      <c r="S133" s="4">
        <v>550</v>
      </c>
      <c r="T133" s="4">
        <v>125</v>
      </c>
      <c r="U133" s="4">
        <v>550</v>
      </c>
      <c r="V133" s="4">
        <v>125</v>
      </c>
      <c r="X133" s="4">
        <v>11</v>
      </c>
      <c r="Y133" s="4">
        <v>11</v>
      </c>
      <c r="Z133" s="4" t="s">
        <v>269</v>
      </c>
      <c r="AA133" s="4" t="s">
        <v>270</v>
      </c>
      <c r="AB133" s="4" t="s">
        <v>270</v>
      </c>
      <c r="AC133" s="4">
        <v>242</v>
      </c>
      <c r="AD133" s="4">
        <v>176</v>
      </c>
      <c r="AE133" s="5">
        <v>22.8</v>
      </c>
    </row>
    <row r="134" spans="1:31">
      <c r="A134" s="3" t="s">
        <v>416</v>
      </c>
      <c r="B134" s="4" t="s">
        <v>413</v>
      </c>
      <c r="C134" s="4">
        <v>650</v>
      </c>
      <c r="D134" s="4">
        <v>516</v>
      </c>
      <c r="E134" s="4">
        <v>203</v>
      </c>
      <c r="F134" s="4">
        <v>390</v>
      </c>
      <c r="G134" s="4" t="s">
        <v>289</v>
      </c>
      <c r="H134" s="4" t="s">
        <v>269</v>
      </c>
      <c r="I134" s="4" t="s">
        <v>269</v>
      </c>
      <c r="J134" s="4" t="s">
        <v>269</v>
      </c>
      <c r="K134" s="4" t="s">
        <v>269</v>
      </c>
      <c r="L134" s="4" t="s">
        <v>270</v>
      </c>
      <c r="M134" s="4">
        <v>14000</v>
      </c>
      <c r="N134" s="4">
        <v>14000</v>
      </c>
      <c r="O134" s="4">
        <v>3</v>
      </c>
      <c r="P134" s="4">
        <v>2</v>
      </c>
      <c r="Q134" s="4">
        <v>800</v>
      </c>
      <c r="R134" s="4">
        <v>250</v>
      </c>
      <c r="S134" s="4">
        <v>650</v>
      </c>
      <c r="T134" s="4">
        <v>260</v>
      </c>
      <c r="U134" s="4">
        <v>650</v>
      </c>
      <c r="V134" s="4">
        <v>260</v>
      </c>
      <c r="X134" s="4">
        <v>27</v>
      </c>
      <c r="Y134" s="4">
        <v>27</v>
      </c>
      <c r="Z134" s="4" t="s">
        <v>270</v>
      </c>
      <c r="AA134" s="4" t="s">
        <v>270</v>
      </c>
      <c r="AB134" s="4" t="s">
        <v>269</v>
      </c>
      <c r="AC134" s="4">
        <v>220</v>
      </c>
      <c r="AD134" s="4">
        <v>127</v>
      </c>
      <c r="AE134" s="5">
        <v>37</v>
      </c>
    </row>
    <row r="135" spans="1:31">
      <c r="A135" s="3" t="s">
        <v>417</v>
      </c>
      <c r="B135" s="4" t="s">
        <v>413</v>
      </c>
      <c r="C135" s="4">
        <v>650</v>
      </c>
      <c r="D135" s="4">
        <v>516</v>
      </c>
      <c r="E135" s="4">
        <v>203</v>
      </c>
      <c r="F135" s="4">
        <v>390</v>
      </c>
      <c r="G135" s="4" t="s">
        <v>289</v>
      </c>
      <c r="H135" s="4" t="s">
        <v>269</v>
      </c>
      <c r="I135" s="4" t="s">
        <v>269</v>
      </c>
      <c r="J135" s="4" t="s">
        <v>269</v>
      </c>
      <c r="K135" s="4" t="s">
        <v>269</v>
      </c>
      <c r="L135" s="4" t="s">
        <v>270</v>
      </c>
      <c r="M135" s="4">
        <v>20000</v>
      </c>
      <c r="N135" s="4">
        <v>20000</v>
      </c>
      <c r="O135" s="4">
        <v>2</v>
      </c>
      <c r="P135" s="4">
        <v>2</v>
      </c>
      <c r="Q135" s="4">
        <v>1000</v>
      </c>
      <c r="R135" s="4">
        <v>250</v>
      </c>
      <c r="S135" s="4">
        <v>850</v>
      </c>
      <c r="T135" s="4">
        <v>260</v>
      </c>
      <c r="U135" s="4">
        <v>850</v>
      </c>
      <c r="V135" s="4">
        <v>260</v>
      </c>
      <c r="X135" s="4">
        <v>22</v>
      </c>
      <c r="Y135" s="4">
        <v>22</v>
      </c>
      <c r="Z135" s="4" t="s">
        <v>270</v>
      </c>
      <c r="AA135" s="4" t="s">
        <v>270</v>
      </c>
      <c r="AB135" s="4" t="s">
        <v>269</v>
      </c>
      <c r="AC135" s="4">
        <v>380</v>
      </c>
      <c r="AD135" s="4">
        <v>220</v>
      </c>
      <c r="AE135" s="5">
        <v>30</v>
      </c>
    </row>
    <row r="136" spans="1:31">
      <c r="A136" s="3" t="s">
        <v>418</v>
      </c>
      <c r="B136" s="4" t="s">
        <v>413</v>
      </c>
      <c r="C136" s="4">
        <v>650</v>
      </c>
      <c r="D136" s="4">
        <v>516</v>
      </c>
      <c r="E136" s="4">
        <v>203</v>
      </c>
      <c r="F136" s="4">
        <v>390</v>
      </c>
      <c r="G136" s="4" t="s">
        <v>289</v>
      </c>
      <c r="H136" s="4" t="s">
        <v>269</v>
      </c>
      <c r="I136" s="4" t="s">
        <v>269</v>
      </c>
      <c r="J136" s="4" t="s">
        <v>269</v>
      </c>
      <c r="K136" s="4" t="s">
        <v>269</v>
      </c>
      <c r="L136" s="4" t="s">
        <v>270</v>
      </c>
      <c r="M136" s="4">
        <v>25000</v>
      </c>
      <c r="N136" s="4">
        <v>25000</v>
      </c>
      <c r="O136" s="4">
        <v>3</v>
      </c>
      <c r="P136" s="4">
        <v>2</v>
      </c>
      <c r="Q136" s="4">
        <v>1000</v>
      </c>
      <c r="R136" s="4">
        <v>250</v>
      </c>
      <c r="S136" s="4">
        <v>850</v>
      </c>
      <c r="T136" s="4">
        <v>260</v>
      </c>
      <c r="U136" s="4">
        <v>850</v>
      </c>
      <c r="V136" s="4">
        <v>260</v>
      </c>
      <c r="X136" s="4">
        <v>27</v>
      </c>
      <c r="Y136" s="4">
        <v>27</v>
      </c>
      <c r="Z136" s="4" t="s">
        <v>270</v>
      </c>
      <c r="AA136" s="4" t="s">
        <v>270</v>
      </c>
      <c r="AB136" s="4" t="s">
        <v>269</v>
      </c>
      <c r="AC136" s="4">
        <v>380</v>
      </c>
      <c r="AD136" s="4">
        <v>220</v>
      </c>
      <c r="AE136" s="5">
        <v>37</v>
      </c>
    </row>
    <row r="137" spans="1:31">
      <c r="A137" s="3" t="s">
        <v>419</v>
      </c>
      <c r="B137" s="4" t="s">
        <v>413</v>
      </c>
      <c r="C137" s="4">
        <v>788</v>
      </c>
      <c r="D137" s="4">
        <v>586</v>
      </c>
      <c r="E137" s="4">
        <v>267</v>
      </c>
      <c r="F137" s="4">
        <v>64</v>
      </c>
      <c r="G137" s="4" t="s">
        <v>289</v>
      </c>
      <c r="H137" s="4" t="s">
        <v>269</v>
      </c>
      <c r="I137" s="4" t="s">
        <v>269</v>
      </c>
      <c r="J137" s="4" t="s">
        <v>269</v>
      </c>
      <c r="K137" s="4" t="s">
        <v>269</v>
      </c>
      <c r="L137" s="4" t="s">
        <v>270</v>
      </c>
      <c r="M137" s="4">
        <v>35000</v>
      </c>
      <c r="N137" s="4">
        <v>35000</v>
      </c>
      <c r="O137" s="4">
        <v>3</v>
      </c>
      <c r="P137" s="4">
        <v>4</v>
      </c>
      <c r="Q137" s="4">
        <v>800</v>
      </c>
      <c r="R137" s="4">
        <v>200</v>
      </c>
      <c r="S137" s="4">
        <v>650</v>
      </c>
      <c r="T137" s="4">
        <v>200</v>
      </c>
      <c r="U137" s="4">
        <v>650</v>
      </c>
      <c r="V137" s="4">
        <v>200</v>
      </c>
      <c r="X137" s="4">
        <v>30</v>
      </c>
      <c r="Y137" s="4">
        <v>30</v>
      </c>
      <c r="Z137" s="4" t="s">
        <v>270</v>
      </c>
      <c r="AA137" s="4" t="s">
        <v>269</v>
      </c>
      <c r="AB137" s="4" t="s">
        <v>269</v>
      </c>
      <c r="AC137" s="4">
        <v>220</v>
      </c>
      <c r="AD137" s="4">
        <v>127</v>
      </c>
      <c r="AE137" s="5">
        <v>96</v>
      </c>
    </row>
    <row r="138" spans="1:31">
      <c r="A138" s="3" t="s">
        <v>420</v>
      </c>
      <c r="B138" s="4" t="s">
        <v>413</v>
      </c>
      <c r="C138" s="4">
        <v>788</v>
      </c>
      <c r="D138" s="4">
        <v>586</v>
      </c>
      <c r="E138" s="4">
        <v>267</v>
      </c>
      <c r="F138" s="4">
        <v>70</v>
      </c>
      <c r="G138" s="4" t="s">
        <v>289</v>
      </c>
      <c r="H138" s="4" t="s">
        <v>269</v>
      </c>
      <c r="I138" s="4" t="s">
        <v>269</v>
      </c>
      <c r="J138" s="4" t="s">
        <v>269</v>
      </c>
      <c r="K138" s="4" t="s">
        <v>269</v>
      </c>
      <c r="L138" s="4" t="s">
        <v>270</v>
      </c>
      <c r="M138" s="4">
        <v>50000</v>
      </c>
      <c r="N138" s="4">
        <v>50000</v>
      </c>
      <c r="O138" s="4">
        <v>4</v>
      </c>
      <c r="P138" s="4">
        <v>4</v>
      </c>
      <c r="Q138" s="4">
        <v>800</v>
      </c>
      <c r="R138" s="4">
        <v>200</v>
      </c>
      <c r="S138" s="4">
        <v>650</v>
      </c>
      <c r="T138" s="4">
        <v>200</v>
      </c>
      <c r="U138" s="4">
        <v>650</v>
      </c>
      <c r="V138" s="4">
        <v>200</v>
      </c>
      <c r="X138" s="4">
        <v>44</v>
      </c>
      <c r="Y138" s="4">
        <v>44</v>
      </c>
      <c r="Z138" s="4" t="s">
        <v>270</v>
      </c>
      <c r="AA138" s="4" t="s">
        <v>269</v>
      </c>
      <c r="AB138" s="4" t="s">
        <v>269</v>
      </c>
      <c r="AC138" s="4">
        <v>220</v>
      </c>
      <c r="AD138" s="4">
        <v>127</v>
      </c>
      <c r="AE138" s="5">
        <v>133</v>
      </c>
    </row>
    <row r="139" spans="1:31">
      <c r="A139" s="3" t="s">
        <v>421</v>
      </c>
      <c r="B139" s="4" t="s">
        <v>413</v>
      </c>
      <c r="C139" s="4">
        <v>788</v>
      </c>
      <c r="D139" s="4">
        <v>586</v>
      </c>
      <c r="E139" s="4">
        <v>267</v>
      </c>
      <c r="F139" s="4">
        <v>64</v>
      </c>
      <c r="G139" s="4" t="s">
        <v>289</v>
      </c>
      <c r="H139" s="4" t="s">
        <v>269</v>
      </c>
      <c r="I139" s="4" t="s">
        <v>269</v>
      </c>
      <c r="J139" s="4" t="s">
        <v>269</v>
      </c>
      <c r="K139" s="4" t="s">
        <v>269</v>
      </c>
      <c r="L139" s="4" t="s">
        <v>270</v>
      </c>
      <c r="M139" s="4">
        <v>60000</v>
      </c>
      <c r="N139" s="4">
        <v>60000</v>
      </c>
      <c r="O139" s="4">
        <v>3</v>
      </c>
      <c r="P139" s="4">
        <v>4</v>
      </c>
      <c r="Q139" s="4">
        <v>1000</v>
      </c>
      <c r="R139" s="4">
        <v>200</v>
      </c>
      <c r="S139" s="4">
        <v>850</v>
      </c>
      <c r="T139" s="4">
        <v>200</v>
      </c>
      <c r="U139" s="4">
        <v>850</v>
      </c>
      <c r="V139" s="4">
        <v>200</v>
      </c>
      <c r="X139" s="4">
        <v>30</v>
      </c>
      <c r="Y139" s="4">
        <v>30</v>
      </c>
      <c r="Z139" s="4" t="s">
        <v>270</v>
      </c>
      <c r="AA139" s="4" t="s">
        <v>269</v>
      </c>
      <c r="AB139" s="4" t="s">
        <v>269</v>
      </c>
      <c r="AC139" s="4">
        <v>380</v>
      </c>
      <c r="AD139" s="4">
        <v>220</v>
      </c>
      <c r="AE139" s="5">
        <v>96</v>
      </c>
    </row>
    <row r="140" spans="1:31">
      <c r="A140" s="3" t="s">
        <v>422</v>
      </c>
      <c r="B140" s="4" t="s">
        <v>228</v>
      </c>
      <c r="C140" s="4">
        <v>1035</v>
      </c>
      <c r="D140" s="4">
        <v>700</v>
      </c>
      <c r="E140" s="4">
        <v>365</v>
      </c>
      <c r="F140" s="4">
        <v>90</v>
      </c>
      <c r="G140" s="4" t="s">
        <v>334</v>
      </c>
      <c r="H140" s="4" t="s">
        <v>270</v>
      </c>
      <c r="I140" s="4" t="s">
        <v>269</v>
      </c>
      <c r="J140" s="4" t="s">
        <v>270</v>
      </c>
      <c r="K140" s="4" t="s">
        <v>269</v>
      </c>
      <c r="L140" s="4" t="s">
        <v>269</v>
      </c>
      <c r="M140" s="4">
        <v>75000</v>
      </c>
      <c r="N140" s="4">
        <v>75000</v>
      </c>
      <c r="O140" s="4">
        <v>2</v>
      </c>
      <c r="P140" s="4">
        <v>10</v>
      </c>
      <c r="Q140" s="4">
        <v>1000</v>
      </c>
      <c r="R140" s="4">
        <v>200</v>
      </c>
      <c r="S140" s="4">
        <v>1100</v>
      </c>
      <c r="T140" s="4">
        <v>540</v>
      </c>
      <c r="U140" s="4">
        <v>800</v>
      </c>
      <c r="V140" s="4">
        <v>540</v>
      </c>
      <c r="W140" s="4">
        <v>600</v>
      </c>
      <c r="X140" s="4">
        <v>40</v>
      </c>
      <c r="Y140" s="4">
        <v>26</v>
      </c>
      <c r="Z140" s="4" t="s">
        <v>270</v>
      </c>
      <c r="AA140" s="4" t="s">
        <v>269</v>
      </c>
      <c r="AB140" s="4" t="s">
        <v>269</v>
      </c>
      <c r="AC140" s="4">
        <v>480</v>
      </c>
      <c r="AD140" s="4">
        <v>380</v>
      </c>
      <c r="AE140" s="5">
        <v>113.6</v>
      </c>
    </row>
    <row r="141" spans="1:31">
      <c r="A141" s="3" t="s">
        <v>423</v>
      </c>
      <c r="B141" s="4" t="s">
        <v>228</v>
      </c>
      <c r="C141" s="4">
        <v>1035</v>
      </c>
      <c r="D141" s="4">
        <v>700</v>
      </c>
      <c r="E141" s="4">
        <v>365</v>
      </c>
      <c r="F141" s="4">
        <v>90</v>
      </c>
      <c r="G141" s="4" t="s">
        <v>334</v>
      </c>
      <c r="H141" s="4" t="s">
        <v>270</v>
      </c>
      <c r="I141" s="4" t="s">
        <v>269</v>
      </c>
      <c r="J141" s="4" t="s">
        <v>270</v>
      </c>
      <c r="K141" s="4" t="s">
        <v>269</v>
      </c>
      <c r="L141" s="4" t="s">
        <v>269</v>
      </c>
      <c r="M141" s="4">
        <v>100000</v>
      </c>
      <c r="N141" s="4">
        <v>10000</v>
      </c>
      <c r="O141" s="4">
        <v>2</v>
      </c>
      <c r="P141" s="4">
        <v>10</v>
      </c>
      <c r="Q141" s="4">
        <v>1000</v>
      </c>
      <c r="R141" s="4">
        <v>200</v>
      </c>
      <c r="S141" s="4">
        <v>1100</v>
      </c>
      <c r="T141" s="4">
        <v>540</v>
      </c>
      <c r="U141" s="4">
        <v>800</v>
      </c>
      <c r="V141" s="4">
        <v>540</v>
      </c>
      <c r="W141" s="4">
        <v>600</v>
      </c>
      <c r="X141" s="4">
        <v>40</v>
      </c>
      <c r="Y141" s="4">
        <v>30</v>
      </c>
      <c r="Z141" s="4" t="s">
        <v>270</v>
      </c>
      <c r="AA141" s="4" t="s">
        <v>269</v>
      </c>
      <c r="AB141" s="4" t="s">
        <v>269</v>
      </c>
      <c r="AC141" s="4">
        <v>480</v>
      </c>
      <c r="AD141" s="4">
        <v>380</v>
      </c>
      <c r="AE141" s="5">
        <v>168.8</v>
      </c>
    </row>
    <row r="142" spans="1:31">
      <c r="A142" s="17" t="s">
        <v>424</v>
      </c>
      <c r="B142" s="18" t="s">
        <v>228</v>
      </c>
      <c r="C142" s="4">
        <v>583</v>
      </c>
      <c r="D142" s="4">
        <v>620</v>
      </c>
      <c r="E142" s="4">
        <v>318</v>
      </c>
      <c r="F142" s="4">
        <v>50</v>
      </c>
      <c r="G142" s="4" t="s">
        <v>334</v>
      </c>
      <c r="H142" s="4" t="s">
        <v>270</v>
      </c>
      <c r="I142" s="4" t="s">
        <v>269</v>
      </c>
      <c r="J142" s="18" t="s">
        <v>269</v>
      </c>
      <c r="K142" s="4" t="s">
        <v>269</v>
      </c>
      <c r="L142" s="18" t="s">
        <v>270</v>
      </c>
      <c r="M142" s="4">
        <v>20000</v>
      </c>
      <c r="N142" s="4">
        <v>20600</v>
      </c>
      <c r="O142" s="4">
        <v>2</v>
      </c>
      <c r="P142" s="4">
        <v>2</v>
      </c>
      <c r="Q142" s="4">
        <v>1000</v>
      </c>
      <c r="R142" s="4">
        <v>480</v>
      </c>
      <c r="S142" s="4">
        <v>800</v>
      </c>
      <c r="T142" s="4">
        <v>480</v>
      </c>
      <c r="U142" s="4">
        <v>800</v>
      </c>
      <c r="V142" s="4">
        <v>480</v>
      </c>
      <c r="X142" s="4">
        <v>13.75</v>
      </c>
      <c r="Y142" s="4">
        <v>11</v>
      </c>
      <c r="Z142" s="18" t="s">
        <v>270</v>
      </c>
      <c r="AA142" s="18" t="s">
        <v>269</v>
      </c>
      <c r="AB142" s="18" t="s">
        <v>269</v>
      </c>
      <c r="AC142" s="4">
        <v>440</v>
      </c>
      <c r="AD142" s="4">
        <v>380</v>
      </c>
      <c r="AE142" s="5">
        <v>33.4</v>
      </c>
    </row>
    <row r="143" spans="1:31">
      <c r="A143" s="3" t="s">
        <v>425</v>
      </c>
      <c r="B143" s="4" t="s">
        <v>228</v>
      </c>
      <c r="C143" s="4">
        <v>270</v>
      </c>
      <c r="D143" s="4">
        <v>182</v>
      </c>
      <c r="E143" s="4">
        <v>34.5</v>
      </c>
      <c r="F143" s="4">
        <v>4</v>
      </c>
      <c r="G143" s="4" t="s">
        <v>268</v>
      </c>
      <c r="H143" s="4" t="s">
        <v>269</v>
      </c>
      <c r="I143" s="4" t="s">
        <v>270</v>
      </c>
      <c r="J143" s="4" t="s">
        <v>270</v>
      </c>
      <c r="K143" s="18" t="s">
        <v>270</v>
      </c>
      <c r="L143" s="4" t="s">
        <v>270</v>
      </c>
      <c r="M143" s="4">
        <v>1000</v>
      </c>
      <c r="N143" s="4">
        <v>1000</v>
      </c>
      <c r="O143" s="4">
        <v>1</v>
      </c>
      <c r="P143" s="4">
        <v>2</v>
      </c>
      <c r="Q143" s="4">
        <v>60</v>
      </c>
      <c r="R143" s="4">
        <v>24</v>
      </c>
      <c r="S143" s="4">
        <v>45</v>
      </c>
      <c r="T143" s="4">
        <v>31</v>
      </c>
      <c r="U143" s="4">
        <v>45</v>
      </c>
      <c r="V143" s="4">
        <v>31</v>
      </c>
      <c r="X143" s="4">
        <v>24</v>
      </c>
      <c r="Y143" s="4">
        <v>20</v>
      </c>
      <c r="Z143" s="4" t="s">
        <v>269</v>
      </c>
      <c r="AA143" s="4" t="s">
        <v>270</v>
      </c>
      <c r="AB143" s="4" t="s">
        <v>270</v>
      </c>
      <c r="AC143" s="4">
        <v>275</v>
      </c>
      <c r="AD143" s="4">
        <v>180</v>
      </c>
      <c r="AE143" s="5">
        <v>4.54</v>
      </c>
    </row>
    <row r="144" spans="1:31">
      <c r="A144" s="3" t="s">
        <v>426</v>
      </c>
      <c r="B144" s="4" t="s">
        <v>228</v>
      </c>
      <c r="C144" s="4">
        <v>684</v>
      </c>
      <c r="D144" s="4">
        <v>488</v>
      </c>
      <c r="E144" s="4">
        <v>270</v>
      </c>
      <c r="F144" s="4">
        <v>37</v>
      </c>
      <c r="G144" s="4" t="s">
        <v>268</v>
      </c>
      <c r="H144" s="4" t="s">
        <v>269</v>
      </c>
      <c r="I144" s="4" t="s">
        <v>269</v>
      </c>
      <c r="J144" s="4" t="s">
        <v>270</v>
      </c>
      <c r="K144" s="4" t="s">
        <v>269</v>
      </c>
      <c r="L144" s="4" t="s">
        <v>270</v>
      </c>
      <c r="M144" s="4">
        <v>25000</v>
      </c>
      <c r="N144" s="4">
        <v>25000</v>
      </c>
      <c r="O144" s="4">
        <v>2</v>
      </c>
      <c r="P144" s="4">
        <v>4</v>
      </c>
      <c r="Q144" s="4">
        <v>1100</v>
      </c>
      <c r="R144" s="4">
        <v>250</v>
      </c>
      <c r="S144" s="4">
        <v>1000</v>
      </c>
      <c r="T144" s="4">
        <v>200</v>
      </c>
      <c r="U144" s="4">
        <v>1000</v>
      </c>
      <c r="V144" s="4">
        <v>200</v>
      </c>
      <c r="W144" s="4">
        <v>350</v>
      </c>
      <c r="X144" s="4">
        <v>45</v>
      </c>
      <c r="Y144" s="4">
        <v>30</v>
      </c>
      <c r="Z144" s="4" t="s">
        <v>270</v>
      </c>
      <c r="AA144" s="4" t="s">
        <v>269</v>
      </c>
      <c r="AB144" s="4" t="s">
        <v>270</v>
      </c>
      <c r="AC144" s="4">
        <v>240</v>
      </c>
      <c r="AD144" s="4">
        <v>220</v>
      </c>
      <c r="AE144" s="5" t="s">
        <v>427</v>
      </c>
    </row>
    <row r="145" spans="1:31">
      <c r="A145" s="3" t="s">
        <v>428</v>
      </c>
      <c r="B145" s="4" t="s">
        <v>228</v>
      </c>
      <c r="C145" s="4">
        <v>1050</v>
      </c>
      <c r="D145" s="4">
        <v>660</v>
      </c>
      <c r="E145" s="4">
        <v>340</v>
      </c>
      <c r="F145" s="4">
        <v>86</v>
      </c>
      <c r="G145" s="4" t="s">
        <v>289</v>
      </c>
      <c r="H145" s="4" t="s">
        <v>269</v>
      </c>
      <c r="I145" s="4" t="s">
        <v>269</v>
      </c>
      <c r="J145" s="4" t="s">
        <v>270</v>
      </c>
      <c r="K145" s="4" t="s">
        <v>269</v>
      </c>
      <c r="L145" s="4" t="s">
        <v>270</v>
      </c>
      <c r="M145" s="4">
        <v>75000</v>
      </c>
      <c r="N145" s="4">
        <v>75000</v>
      </c>
      <c r="O145" s="4">
        <v>2</v>
      </c>
      <c r="P145" s="4">
        <v>9</v>
      </c>
      <c r="Q145" s="4">
        <v>1100</v>
      </c>
      <c r="R145" s="4">
        <v>300</v>
      </c>
      <c r="S145" s="4">
        <v>950</v>
      </c>
      <c r="T145" s="4">
        <v>200</v>
      </c>
      <c r="U145" s="4">
        <v>850</v>
      </c>
      <c r="V145" s="4">
        <v>400</v>
      </c>
      <c r="W145" s="4">
        <v>615</v>
      </c>
      <c r="X145" s="4">
        <v>45</v>
      </c>
      <c r="Y145" s="4">
        <v>30</v>
      </c>
      <c r="Z145" s="4" t="s">
        <v>270</v>
      </c>
      <c r="AA145" s="4" t="s">
        <v>269</v>
      </c>
      <c r="AB145" s="4" t="s">
        <v>270</v>
      </c>
      <c r="AC145" s="4">
        <v>230</v>
      </c>
      <c r="AD145" s="4">
        <v>220</v>
      </c>
      <c r="AE145" s="5">
        <v>197</v>
      </c>
    </row>
    <row r="146" spans="1:31">
      <c r="A146" s="3" t="s">
        <v>429</v>
      </c>
      <c r="B146" s="4" t="s">
        <v>430</v>
      </c>
      <c r="C146" s="4">
        <v>460</v>
      </c>
      <c r="D146" s="4">
        <v>357</v>
      </c>
      <c r="E146" s="4">
        <v>122</v>
      </c>
      <c r="F146" s="4">
        <v>9.2</v>
      </c>
      <c r="G146" s="4" t="s">
        <v>268</v>
      </c>
      <c r="H146" s="4" t="s">
        <v>269</v>
      </c>
      <c r="I146" s="4" t="s">
        <v>270</v>
      </c>
      <c r="J146" s="4" t="s">
        <v>270</v>
      </c>
      <c r="K146" s="18" t="s">
        <v>270</v>
      </c>
      <c r="L146" s="4" t="s">
        <v>270</v>
      </c>
      <c r="M146" s="4">
        <v>1500</v>
      </c>
      <c r="N146" s="4">
        <v>1600</v>
      </c>
      <c r="O146" s="4">
        <v>1</v>
      </c>
      <c r="P146" s="4">
        <v>1</v>
      </c>
      <c r="Q146" s="4">
        <v>600</v>
      </c>
      <c r="R146" s="4">
        <v>50</v>
      </c>
      <c r="S146" s="4">
        <v>500</v>
      </c>
      <c r="T146" s="4">
        <v>160</v>
      </c>
      <c r="U146" s="4">
        <v>500</v>
      </c>
      <c r="V146" s="4">
        <v>160</v>
      </c>
      <c r="W146" s="4">
        <v>360</v>
      </c>
      <c r="X146" s="4">
        <v>10</v>
      </c>
      <c r="Y146" s="4">
        <v>10</v>
      </c>
      <c r="Z146" s="4" t="s">
        <v>269</v>
      </c>
      <c r="AA146" s="4" t="s">
        <v>270</v>
      </c>
      <c r="AB146" s="4" t="s">
        <v>270</v>
      </c>
      <c r="AC146" s="4">
        <v>280</v>
      </c>
      <c r="AD146" s="4">
        <v>180</v>
      </c>
      <c r="AE146" s="5">
        <v>7</v>
      </c>
    </row>
    <row r="147" spans="1:31">
      <c r="A147" s="3" t="s">
        <v>431</v>
      </c>
      <c r="B147" s="4" t="s">
        <v>430</v>
      </c>
      <c r="C147" s="4">
        <v>460</v>
      </c>
      <c r="D147" s="4">
        <v>357</v>
      </c>
      <c r="E147" s="4">
        <v>122</v>
      </c>
      <c r="F147" s="4">
        <v>9.2</v>
      </c>
      <c r="G147" s="4" t="s">
        <v>268</v>
      </c>
      <c r="H147" s="4" t="s">
        <v>269</v>
      </c>
      <c r="I147" s="4" t="s">
        <v>270</v>
      </c>
      <c r="J147" s="4" t="s">
        <v>270</v>
      </c>
      <c r="K147" s="18" t="s">
        <v>270</v>
      </c>
      <c r="L147" s="4" t="s">
        <v>270</v>
      </c>
      <c r="M147" s="4">
        <v>2500</v>
      </c>
      <c r="N147" s="4">
        <v>2650</v>
      </c>
      <c r="O147" s="4">
        <v>1</v>
      </c>
      <c r="P147" s="4">
        <v>1</v>
      </c>
      <c r="Q147" s="4">
        <v>600</v>
      </c>
      <c r="R147" s="4">
        <v>50</v>
      </c>
      <c r="S147" s="4">
        <v>500</v>
      </c>
      <c r="T147" s="4">
        <v>160</v>
      </c>
      <c r="U147" s="4">
        <v>500</v>
      </c>
      <c r="V147" s="4">
        <v>160</v>
      </c>
      <c r="W147" s="4">
        <v>360</v>
      </c>
      <c r="X147" s="4">
        <v>10</v>
      </c>
      <c r="Y147" s="4">
        <v>10</v>
      </c>
      <c r="Z147" s="4" t="s">
        <v>269</v>
      </c>
      <c r="AA147" s="4" t="s">
        <v>270</v>
      </c>
      <c r="AB147" s="4" t="s">
        <v>270</v>
      </c>
      <c r="AC147" s="4">
        <v>280</v>
      </c>
      <c r="AD147" s="4">
        <v>180</v>
      </c>
      <c r="AE147" s="5">
        <v>11</v>
      </c>
    </row>
  </sheetData>
  <sheetProtection algorithmName="SHA-512" hashValue="kQwK6wahmRZj32Q7279AjgXkTfwqi9m1CXAviqJS3+fAeCNgDOFh76UFRG9/DpE7nd9MqaWunMS1yvQ5/ePfoQ==" saltValue="9msBcckU7KoHJPl9VSsk/A==" spinCount="100000" sheet="1" objects="1" scenarios="1"/>
  <autoFilter xmlns:etc="http://www.wps.cn/officeDocument/2017/etCustomData" ref="A2:AE147" etc:filterBottomFollowUsedRange="0">
    <extLst/>
  </autoFilter>
  <sortState ref="A3:AE142">
    <sortCondition ref="B142"/>
  </sortState>
  <pageMargins left="0.511811024" right="0.511811024" top="0.787401575" bottom="0.787401575" header="0.31496062" footer="0.31496062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Inicio</vt:lpstr>
      <vt:lpstr>Dados Técnicos de Módulos</vt:lpstr>
      <vt:lpstr>Dados Técnicos de Inversores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Sakuma</dc:creator>
  <cp:lastModifiedBy>pedro.sakuma</cp:lastModifiedBy>
  <dcterms:created xsi:type="dcterms:W3CDTF">2023-01-31T14:15:00Z</dcterms:created>
  <cp:lastPrinted>2024-10-10T11:19:00Z</cp:lastPrinted>
  <dcterms:modified xsi:type="dcterms:W3CDTF">2025-04-09T20:19:47Z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3156080602F44095968057E7A8919FD2_13</vt:lpwstr>
  </property>
  <property fmtid="{D5CDD505-2E9C-101B-9397-08002B2CF9AE}" pid="3" name="KSOProductBuildVer">
    <vt:lpwstr>1046-12.2.0.20782</vt:lpwstr>
  </property>
</Properties>
</file>