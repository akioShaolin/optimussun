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Optimus Sun/v0.0.0/"/>
    </mc:Choice>
  </mc:AlternateContent>
  <xr:revisionPtr revIDLastSave="5" documentId="11_726F1A712E931A224BCBE5946444A3C82790BF34" xr6:coauthVersionLast="47" xr6:coauthVersionMax="47" xr10:uidLastSave="{FB5C8676-3C09-4881-B202-533567BC1421}"/>
  <bookViews>
    <workbookView xWindow="-120" yWindow="-120" windowWidth="20730" windowHeight="11040" firstSheet="1" activeTab="3" xr2:uid="{00000000-000D-0000-FFFF-FFFF00000000}"/>
  </bookViews>
  <sheets>
    <sheet name="Inicio" sheetId="4" r:id="rId1"/>
    <sheet name="Dados Técnicos de Módulos" sheetId="1" r:id="rId2"/>
    <sheet name="Dados Técnicos de Inversores" sheetId="2" r:id="rId3"/>
    <sheet name="Fatores Climáticos" sheetId="3" r:id="rId4"/>
  </sheets>
  <definedNames>
    <definedName name="_xlnm._FilterDatabase" localSheetId="2" hidden="1">'Dados Técnicos de Inversores'!$A$2:$AE$109</definedName>
    <definedName name="_xlnm._FilterDatabase" localSheetId="1" hidden="1">'Dados Técnicos de Módulos'!$A$1:$P$97</definedName>
    <definedName name="inv_3Fios">'Dados Técnicos de Inversores'!$AA$3:$AA$1048576</definedName>
    <definedName name="inv_4Fios">'Dados Técnicos de Inversores'!$AB$3:$AB$1048576</definedName>
    <definedName name="inv_Altura">'Dados Técnicos de Inversores'!$E$2:$E$1048576</definedName>
    <definedName name="inv_Comprimento">'Dados Técnicos de Inversores'!$C$3:$C$1048576</definedName>
    <definedName name="inv_CorrCAMax">'Dados Técnicos de Inversores'!$AE$3:$AE$1048576</definedName>
    <definedName name="inv_CorrCurtoMPPT">'Dados Técnicos de Inversores'!$X$3:$X$1048576</definedName>
    <definedName name="inv_CorrMaxMPPT">'Dados Técnicos de Inversores'!$Y$3:$Y$1048576</definedName>
    <definedName name="inv_Dados">'Dados Técnicos de Inversores'!$A$3:$AE$1048576</definedName>
    <definedName name="inv_Display">'Dados Técnicos de Inversores'!$J$3:$J$1048576</definedName>
    <definedName name="inv_Fabricante">'Dados Técnicos de Inversores'!$B$3:$B$1048576</definedName>
    <definedName name="inv_Largura">'Dados Técnicos de Inversores'!$D$3:$D$1048576</definedName>
    <definedName name="inv_Led">'Dados Técnicos de Inversores'!$K$3:$K$1048576</definedName>
    <definedName name="inv_Modelo">'Dados Técnicos de Inversores'!$A$3:$A$1048576</definedName>
    <definedName name="inv_MonoBi">'Dados Técnicos de Inversores'!$Z$3:$Z$1048576</definedName>
    <definedName name="inv_Peso">'Dados Técnicos de Inversores'!$F$2:$F$1048576</definedName>
    <definedName name="inv_PotMax">'Dados Técnicos de Inversores'!$N$3:$N$1048576</definedName>
    <definedName name="inv_PotNominal">'Dados Técnicos de Inversores'!$M$3:$M$1048576</definedName>
    <definedName name="inv_QuantMPPT">'Dados Técnicos de Inversores'!$O$3:$O$1048576</definedName>
    <definedName name="inv_QuantStrMPPT">'Dados Técnicos de Inversores'!$Q$3:$Q$1048576</definedName>
    <definedName name="inv_RS485">'Dados Técnicos de Inversores'!$I$3:$I$1048576</definedName>
    <definedName name="inv_TenFLMaxMPPT">'Dados Técnicos de Inversores'!$U$3:$U$1048576</definedName>
    <definedName name="inv_TenFLMinMPPT">'Dados Técnicos de Inversores'!$V$3:$V$1048576</definedName>
    <definedName name="inv_TenNomCAMax">'Dados Técnicos de Inversores'!$AC$3:$AC$1048576</definedName>
    <definedName name="inv_TenNomCAMin">'Dados Técnicos de Inversores'!$AD$3:$AD$1048576</definedName>
    <definedName name="inv_TenNomMPPT">'Dados Técnicos de Inversores'!$W$3:$W$1048576</definedName>
    <definedName name="inv_TenOpMaxMPPT">'Dados Técnicos de Inversores'!$T$3:$T$1048576</definedName>
    <definedName name="inv_TenOpMinMPPT">'Dados Técnicos de Inversores'!$T$3:$T$1048576</definedName>
    <definedName name="inv_TenPartMaxMPPT">'Dados Técnicos de Inversores'!$R$3:$R$1048576</definedName>
    <definedName name="inv_TenPartMinMPPT">'Dados Técnicos de Inversores'!$S$3:$S$1048576</definedName>
    <definedName name="inv_USB">'Dados Técnicos de Inversores'!$L$3:$L$1048576</definedName>
    <definedName name="inv_Ventilacao">'Dados Técnicos de Inversores'!$G$3:$G$1048576</definedName>
    <definedName name="inv_Wifi">'Dados Técnicos de Inversores'!$H$3:$H$1048576</definedName>
    <definedName name="mod_Altura">'Dados Técnicos de Módulos'!$G$2:$G$1048576</definedName>
    <definedName name="mod_CoefCor">'Dados Técnicos de Módulos'!$P$2:$P$1048576</definedName>
    <definedName name="mod_CoefPot">'Dados Técnicos de Módulos'!$N$2:$N$1048576</definedName>
    <definedName name="mod_CofTen">'Dados Técnicos de Módulos'!$O$2:$O$1048576</definedName>
    <definedName name="mod_Comprimento">'Dados Técnicos de Módulos'!$E$2:$E$1048576</definedName>
    <definedName name="mod_Dados">'Dados Técnicos de Módulos'!$A$2:$P$1048576</definedName>
    <definedName name="mod_EstruturaCristalina">'Dados Técnicos de Módulos'!$D$2:$D$1048576</definedName>
    <definedName name="mod_Fabricante">'Dados Técnicos de Módulos'!$B$2:$B$1048576</definedName>
    <definedName name="mod_Face">'Dados Técnicos de Módulos'!$C$2:$C$1048576</definedName>
    <definedName name="mod_Ipmax">'Dados Técnicos de Módulos'!$M$2:$M$1048576</definedName>
    <definedName name="mod_Isc">'Dados Técnicos de Módulos'!$L$2:$L$1048576</definedName>
    <definedName name="mod_Largura">'Dados Técnicos de Módulos'!$F$2:$F$1048576</definedName>
    <definedName name="mod_Modelo">'Dados Técnicos de Módulos'!$A$2:$A$1048576</definedName>
    <definedName name="mod_Peso">'Dados Técnicos de Módulos'!$H$2:$H$1048576</definedName>
    <definedName name="mod_PotenciaNominal">'Dados Técnicos de Módulos'!$I$2:$I$1048576</definedName>
    <definedName name="mod_Voc">'Dados Técnicos de Módulos'!$J$2:$J$1048576</definedName>
    <definedName name="mod_Vpmax">'Dados Técnicos de Módulos'!$K$2:$K$1048576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15" i="4"/>
  <c r="E14" i="4"/>
  <c r="E6" i="4" s="1"/>
  <c r="E13" i="4"/>
  <c r="E8" i="4" s="1"/>
  <c r="H12" i="4"/>
  <c r="E12" i="4"/>
  <c r="B8" i="4" s="1"/>
  <c r="H11" i="4"/>
  <c r="E11" i="4"/>
  <c r="H10" i="4"/>
  <c r="E10" i="4"/>
  <c r="H9" i="4"/>
  <c r="H8" i="4"/>
  <c r="H7" i="4"/>
  <c r="H6" i="4"/>
  <c r="H5" i="4"/>
  <c r="H4" i="4"/>
  <c r="H3" i="4"/>
  <c r="H2" i="4"/>
  <c r="E2" i="4"/>
  <c r="E5" i="4" l="1"/>
  <c r="B9" i="4" s="1"/>
  <c r="E3" i="4"/>
  <c r="E7" i="4"/>
  <c r="B12" i="4"/>
  <c r="B10" i="4"/>
  <c r="E4" i="4"/>
  <c r="B11" i="4" l="1"/>
</calcChain>
</file>

<file path=xl/sharedStrings.xml><?xml version="1.0" encoding="utf-8"?>
<sst xmlns="http://schemas.openxmlformats.org/spreadsheetml/2006/main" count="1655" uniqueCount="304">
  <si>
    <t>Módulo</t>
  </si>
  <si>
    <t>Inversor</t>
  </si>
  <si>
    <t>TP7F72M(H)-535</t>
  </si>
  <si>
    <t>Modelo</t>
  </si>
  <si>
    <t>SUN2000-30KTL-M3</t>
  </si>
  <si>
    <t>Tensão de circuito aberto mínima</t>
  </si>
  <si>
    <t>Tensão mínima de entrada</t>
  </si>
  <si>
    <t>Quantidade de módulos</t>
  </si>
  <si>
    <t>Tensão de circuito aberto máxima</t>
  </si>
  <si>
    <t>Tensão máxima de entrada</t>
  </si>
  <si>
    <t>Temp. Minima</t>
  </si>
  <si>
    <t>Tensão em máxima potência mínima</t>
  </si>
  <si>
    <t>Tensão mínima de operação</t>
  </si>
  <si>
    <t>Temp. Maxima</t>
  </si>
  <si>
    <t>Tensão em máxima potência máxima</t>
  </si>
  <si>
    <t>Tensão máxima de operação</t>
  </si>
  <si>
    <t>Corrente de curto-circuito máxima</t>
  </si>
  <si>
    <t>Tensão mínima em FL (220-230Vac)</t>
  </si>
  <si>
    <t>Quant. Max séries por MPPT</t>
  </si>
  <si>
    <t>Corrente em máxima potência máxima</t>
  </si>
  <si>
    <t>Tensão máxima em FL (220-230Vac)</t>
  </si>
  <si>
    <t>Quant. mínima de módulos</t>
  </si>
  <si>
    <t>Corrente de curto-circuito por MPPT</t>
  </si>
  <si>
    <t>Quant. máxima de módulos</t>
  </si>
  <si>
    <t>Tensão de circuito aberto (STC)</t>
  </si>
  <si>
    <t>Corrente max. Operação por MPPT</t>
  </si>
  <si>
    <t>Quant. mínima em FL</t>
  </si>
  <si>
    <t>Tensão em máxima potência (STC)</t>
  </si>
  <si>
    <t>Quant. Entradas por MPPT</t>
  </si>
  <si>
    <t>Quant. máxima em FL</t>
  </si>
  <si>
    <t>Corrente de curto-circuito (STC)</t>
  </si>
  <si>
    <t>Quant. MPPT</t>
  </si>
  <si>
    <t>Corrente em máxima potência (STC)</t>
  </si>
  <si>
    <t>Coef. Temp Voc</t>
  </si>
  <si>
    <t>Coef. Temp Isc</t>
  </si>
  <si>
    <t>Coef. Temp PN</t>
  </si>
  <si>
    <t>Fabricante</t>
  </si>
  <si>
    <t>Face</t>
  </si>
  <si>
    <t>Estrutura Cristalina</t>
  </si>
  <si>
    <t>Comprimento (mm)</t>
  </si>
  <si>
    <t>Largura (mm)</t>
  </si>
  <si>
    <t>Altura (mm)</t>
  </si>
  <si>
    <t>Peso (kg)</t>
  </si>
  <si>
    <t>Potência Nominal (Wp)</t>
  </si>
  <si>
    <t>Voc (V)</t>
  </si>
  <si>
    <t>Vpmax (V)</t>
  </si>
  <si>
    <t>Isc (A)</t>
  </si>
  <si>
    <t>Ipmax (A)</t>
  </si>
  <si>
    <t>Coef. Temp. Potência Nominal (%/°C)</t>
  </si>
  <si>
    <t>Coef. Temp. Tensão de Circuito Aberto (%/°C)</t>
  </si>
  <si>
    <t>Coef. Temp. Corrente de Curto-Circuito (%/°C)</t>
  </si>
  <si>
    <t>CHSM72M-HC-405</t>
  </si>
  <si>
    <t>ASTRONERGY</t>
  </si>
  <si>
    <t>MONOFACIAL</t>
  </si>
  <si>
    <t>MONOCRISTALINO</t>
  </si>
  <si>
    <t>CHSM72M-HC-410</t>
  </si>
  <si>
    <t>CHSM72M-HC-415</t>
  </si>
  <si>
    <t>CHSM72M-HC-420</t>
  </si>
  <si>
    <t>BYD335PIK-36</t>
  </si>
  <si>
    <t>BYD</t>
  </si>
  <si>
    <t>POLICRISTALINO</t>
  </si>
  <si>
    <t>BYD340PIK-36</t>
  </si>
  <si>
    <t>BYD345PIK-36</t>
  </si>
  <si>
    <t>BYD350PIK-36</t>
  </si>
  <si>
    <t>TSM-390DE09</t>
  </si>
  <si>
    <t>TRINA SOLAR</t>
  </si>
  <si>
    <t>TSM-395DE09</t>
  </si>
  <si>
    <t>TSM-400DE09</t>
  </si>
  <si>
    <t>TSM-405DE09</t>
  </si>
  <si>
    <t>TSM-485DE18</t>
  </si>
  <si>
    <t>TSM-490DE18</t>
  </si>
  <si>
    <t>TSM-495DE18</t>
  </si>
  <si>
    <t>TSM-500DE18</t>
  </si>
  <si>
    <t>TSM-505DE18</t>
  </si>
  <si>
    <t>TSM-510DE18</t>
  </si>
  <si>
    <t>TSM-525DEG19C.20</t>
  </si>
  <si>
    <t>BIFACIAL</t>
  </si>
  <si>
    <t>TSM-530DEG19C.20</t>
  </si>
  <si>
    <t>TSM-535DEG19C.20</t>
  </si>
  <si>
    <t>TSM-540DEG19C.20</t>
  </si>
  <si>
    <t>TSM-545DEG19C.20</t>
  </si>
  <si>
    <t>TSM-550DEG19C.20</t>
  </si>
  <si>
    <t>RSM120-8-585BMGD</t>
  </si>
  <si>
    <t>RISEN</t>
  </si>
  <si>
    <t>RSM120-8-590BMGD</t>
  </si>
  <si>
    <t>RSM120-8-595BMGD</t>
  </si>
  <si>
    <t>RSM120-8-600BMGD</t>
  </si>
  <si>
    <t>RSM120-8-605BMGD</t>
  </si>
  <si>
    <t>CHSM72M-HC-525</t>
  </si>
  <si>
    <t>CHSM72M-HC-530</t>
  </si>
  <si>
    <t>CHSM72M-HC-535</t>
  </si>
  <si>
    <t>CHSM72M-HC-540</t>
  </si>
  <si>
    <t>CHSM72M-HC-545</t>
  </si>
  <si>
    <t>BYD325-P6K-36-5B</t>
  </si>
  <si>
    <t>BYD330-P6K-36-5B</t>
  </si>
  <si>
    <t>BYD335-P6K-36-5B</t>
  </si>
  <si>
    <t>BYD340-P6K-36-5B</t>
  </si>
  <si>
    <t>JKM320PP-72</t>
  </si>
  <si>
    <t>JINKO</t>
  </si>
  <si>
    <t>JKM325PP-72</t>
  </si>
  <si>
    <t>JKM330PP-72</t>
  </si>
  <si>
    <t>JKM335PP-72</t>
  </si>
  <si>
    <t>JKM340PP-72</t>
  </si>
  <si>
    <t>RSM144-6-330P</t>
  </si>
  <si>
    <t>RSM144-6-335P</t>
  </si>
  <si>
    <t>RSM144-6-340P</t>
  </si>
  <si>
    <t>RSM144-6-345P</t>
  </si>
  <si>
    <t>CHSM6612P-330</t>
  </si>
  <si>
    <t>CHSM6612P-335</t>
  </si>
  <si>
    <t>CHSM6612P-340</t>
  </si>
  <si>
    <t>CHSM6612P-345</t>
  </si>
  <si>
    <t>TSM-340PE15H</t>
  </si>
  <si>
    <t>TSM-345PE15H</t>
  </si>
  <si>
    <t>TSM-350PE15H</t>
  </si>
  <si>
    <t>TSM-355PE15H</t>
  </si>
  <si>
    <t>TSM-390DE15M(II)</t>
  </si>
  <si>
    <t>TSM-395DE15M(II)</t>
  </si>
  <si>
    <t>TSM-400DE15M(II)</t>
  </si>
  <si>
    <t>TSM-405DE15M(II)</t>
  </si>
  <si>
    <t>TSM-410DE15M(II)</t>
  </si>
  <si>
    <t>TSM-415DE15M(II)</t>
  </si>
  <si>
    <t>BYD 520 MLK-36</t>
  </si>
  <si>
    <t>BYD 525 MLK-36</t>
  </si>
  <si>
    <t>BYD 530 MLK-36</t>
  </si>
  <si>
    <t>BYD 535 MLK-36</t>
  </si>
  <si>
    <t>BYD 540 MLK-36</t>
  </si>
  <si>
    <t>RSM144-7-430M</t>
  </si>
  <si>
    <t>RSM144-7-435M</t>
  </si>
  <si>
    <t>RSM144-7-440M</t>
  </si>
  <si>
    <t>RSM144-7-445M</t>
  </si>
  <si>
    <t>RSM144-7-450M</t>
  </si>
  <si>
    <t>RSM156-6-425M</t>
  </si>
  <si>
    <t>RSM156-6-430M</t>
  </si>
  <si>
    <t>RSM156-6-435M</t>
  </si>
  <si>
    <t>RSM156-6-440M</t>
  </si>
  <si>
    <t>RSM156-6-445M</t>
  </si>
  <si>
    <t>SS-535-72MDH</t>
  </si>
  <si>
    <t>SUNOVA</t>
  </si>
  <si>
    <t>SS-540-72MDH</t>
  </si>
  <si>
    <t>SS-545-72MDH</t>
  </si>
  <si>
    <t>SS-550-72MDH</t>
  </si>
  <si>
    <t>TSM-430DE17M.TO(II)</t>
  </si>
  <si>
    <t>TSM-435DE17M.TO(II)</t>
  </si>
  <si>
    <t>TSM-440DE17M.TO(II)</t>
  </si>
  <si>
    <t>TSM-445DE17M.TO(II)</t>
  </si>
  <si>
    <t>TSM-450DE17M.TO(II)</t>
  </si>
  <si>
    <t>TP7F72M(H)-530</t>
  </si>
  <si>
    <t>TALESUN</t>
  </si>
  <si>
    <t>TP7F72M(H)-540</t>
  </si>
  <si>
    <t>TP7F72M(H)-545</t>
  </si>
  <si>
    <t>TP7F72M(H)-550</t>
  </si>
  <si>
    <t>TSM-585DEG20C.20</t>
  </si>
  <si>
    <t>TSM-590DEG20C.20</t>
  </si>
  <si>
    <t>TSM-595DEG20C.20</t>
  </si>
  <si>
    <t>TSM-600DEG20C.20</t>
  </si>
  <si>
    <t>TSM-605DEG20C.20</t>
  </si>
  <si>
    <t>SS-555-72MDH</t>
  </si>
  <si>
    <t>Dimensões</t>
  </si>
  <si>
    <t>Comunicação</t>
  </si>
  <si>
    <t>Potência</t>
  </si>
  <si>
    <t>MPPT</t>
  </si>
  <si>
    <t>CA</t>
  </si>
  <si>
    <t>Ventilação</t>
  </si>
  <si>
    <t>Wifi</t>
  </si>
  <si>
    <t>RS485</t>
  </si>
  <si>
    <t>Display</t>
  </si>
  <si>
    <t>Led</t>
  </si>
  <si>
    <t>USB</t>
  </si>
  <si>
    <t>Potência Nominal (W)</t>
  </si>
  <si>
    <t>Potência máxima (VA)</t>
  </si>
  <si>
    <t>Entradas por MPPT</t>
  </si>
  <si>
    <t>Quantidade de MPPT</t>
  </si>
  <si>
    <t>Tensão máxima de partida do MPPT (Vcc)</t>
  </si>
  <si>
    <t>Tensão mínima de partida do MPPT (Vcc)</t>
  </si>
  <si>
    <t>Tensão máxima de operação do MPPT (Vcc)</t>
  </si>
  <si>
    <t>Tensão mínima de operação do MPPT (Vcc)</t>
  </si>
  <si>
    <t>Tensão máxima FL (220Vac) do MPPT (Vcc)</t>
  </si>
  <si>
    <t>Tensão mínima FL (220Vac) do MPPT (Vcc)</t>
  </si>
  <si>
    <t>Tensão Nominal de operação do MPPT (Vcc)</t>
  </si>
  <si>
    <t>Corrente de Curto circuito do MPPT (Acc)</t>
  </si>
  <si>
    <t>Corrente máxima de operação do MPPT (Acc)</t>
  </si>
  <si>
    <t>Monofásico / Bifásico</t>
  </si>
  <si>
    <t>Trifásico 3 fios</t>
  </si>
  <si>
    <t>Trifásico 4 fios</t>
  </si>
  <si>
    <t>Tensão nominal máxima de saída (Vac)</t>
  </si>
  <si>
    <t>Tensão nominal mínima de saída (Vac)</t>
  </si>
  <si>
    <t>Corrente máxima de saída (Aac)</t>
  </si>
  <si>
    <t>SUN2000L-2KTL</t>
  </si>
  <si>
    <t>HUAWEI</t>
  </si>
  <si>
    <t>Convecção Natural</t>
  </si>
  <si>
    <t>Sim</t>
  </si>
  <si>
    <t>Não</t>
  </si>
  <si>
    <t>SUN2000L-3KTL</t>
  </si>
  <si>
    <t>SUN2000L-3.68KTL</t>
  </si>
  <si>
    <t>SUN2000L-4KTL</t>
  </si>
  <si>
    <t>SUN2000L-4.6KTL</t>
  </si>
  <si>
    <t>SUN2000L-5KTL</t>
  </si>
  <si>
    <t>SUN2000-8KTL</t>
  </si>
  <si>
    <t>SUN2000-10KTL</t>
  </si>
  <si>
    <t>SUN2000-12KTL</t>
  </si>
  <si>
    <t>SUN2000-15KTL</t>
  </si>
  <si>
    <t>SUN2000-17KTL</t>
  </si>
  <si>
    <t>SUN2000-20KTL</t>
  </si>
  <si>
    <t>SUN2000-23KTL</t>
  </si>
  <si>
    <t>SUN2000-28KTL</t>
  </si>
  <si>
    <t>SUN2000-29.9KTL</t>
  </si>
  <si>
    <t>SUN2000-33KTL-A</t>
  </si>
  <si>
    <t>SUN2000-36KTL</t>
  </si>
  <si>
    <t>SUN2000-42KTL</t>
  </si>
  <si>
    <t>SUN2000-8KTL-M0</t>
  </si>
  <si>
    <t>SUN2000-10KTL-M0</t>
  </si>
  <si>
    <t>SUN2000-12KTL-M0</t>
  </si>
  <si>
    <t>SUN2000-15KTL-M0</t>
  </si>
  <si>
    <t>SUN2000-17KTL-M0</t>
  </si>
  <si>
    <t>SUN2000-20KTL-M0</t>
  </si>
  <si>
    <t>SUN2000-8KTL-M2</t>
  </si>
  <si>
    <t>SUN2000-10KTL-M2</t>
  </si>
  <si>
    <t>SUN2000-12KTL-M2</t>
  </si>
  <si>
    <t>SUN2000-15KTL-M2</t>
  </si>
  <si>
    <t>SUN2000-17KTL-M2</t>
  </si>
  <si>
    <t>SUN2000-20KTL-M2</t>
  </si>
  <si>
    <t>SUN2000-20KTL-M3</t>
  </si>
  <si>
    <t>SUN2000-29.9KTL-M3</t>
  </si>
  <si>
    <t>SUN2000-36KTL-M3</t>
  </si>
  <si>
    <t>SUN2000-40KTL-M3</t>
  </si>
  <si>
    <t>SUN2000-50KTL-M0</t>
  </si>
  <si>
    <t>SUN2000-60KTL-M0</t>
  </si>
  <si>
    <t>SUN2000-65KTL-M0</t>
  </si>
  <si>
    <t>SUN2000-75KTL-M1</t>
  </si>
  <si>
    <t>Cooler</t>
  </si>
  <si>
    <t>SUN2000-100KTL-M0</t>
  </si>
  <si>
    <t>SUN2000-110KTL-M0</t>
  </si>
  <si>
    <t>SUN2000-125KTL-M0</t>
  </si>
  <si>
    <t>SUN2000-100KTL-M1</t>
  </si>
  <si>
    <t>SUN2000-90KTL-H0</t>
  </si>
  <si>
    <t>SUN2000-90KTL-H1</t>
  </si>
  <si>
    <t>SUN2000-90KTL-H2</t>
  </si>
  <si>
    <t>SUN2000-100KTL-H0</t>
  </si>
  <si>
    <t>SUN2000-100KTL-H1</t>
  </si>
  <si>
    <t>SUN2000-100KTL-H2</t>
  </si>
  <si>
    <t>SUN2000-105KTL-H1</t>
  </si>
  <si>
    <t>GW700-XS</t>
  </si>
  <si>
    <t>GOODWE</t>
  </si>
  <si>
    <t>GW1000-XS</t>
  </si>
  <si>
    <t>GW1500-XS</t>
  </si>
  <si>
    <t>GW2000-XS</t>
  </si>
  <si>
    <t>GW2500-XS</t>
  </si>
  <si>
    <t>GW3000-XS</t>
  </si>
  <si>
    <t>GW3300-XS</t>
  </si>
  <si>
    <t>GW2500N-XS</t>
  </si>
  <si>
    <t>GW3000N-XS</t>
  </si>
  <si>
    <t>GW75K-MT</t>
  </si>
  <si>
    <t>GW5000-MS</t>
  </si>
  <si>
    <t>GW6000-MS</t>
  </si>
  <si>
    <t>GW7000-MS</t>
  </si>
  <si>
    <t>GW8500-MS</t>
  </si>
  <si>
    <t>GW10K-MS</t>
  </si>
  <si>
    <t>GW2900D-NS</t>
  </si>
  <si>
    <t>GW3000D-NS</t>
  </si>
  <si>
    <t>GW3600D-NS</t>
  </si>
  <si>
    <t>GW4200D-NS</t>
  </si>
  <si>
    <t>GW5000D-NS</t>
  </si>
  <si>
    <t>GW6000D-NS</t>
  </si>
  <si>
    <t>GW3000T-DS</t>
  </si>
  <si>
    <t>GW3600T-DS</t>
  </si>
  <si>
    <t>GW4200T-DS</t>
  </si>
  <si>
    <t>GW5000T-DS</t>
  </si>
  <si>
    <t>GW6000T-DS</t>
  </si>
  <si>
    <t>G7</t>
  </si>
  <si>
    <t>FOX ESS</t>
  </si>
  <si>
    <t>G8</t>
  </si>
  <si>
    <t>G9</t>
  </si>
  <si>
    <t>G10</t>
  </si>
  <si>
    <t>G10.5</t>
  </si>
  <si>
    <t>T3</t>
  </si>
  <si>
    <t>T4</t>
  </si>
  <si>
    <t>T5</t>
  </si>
  <si>
    <t>T6</t>
  </si>
  <si>
    <t>T8</t>
  </si>
  <si>
    <t>T10</t>
  </si>
  <si>
    <t>T12</t>
  </si>
  <si>
    <t>T15</t>
  </si>
  <si>
    <t>T17</t>
  </si>
  <si>
    <t>T20</t>
  </si>
  <si>
    <t>T25</t>
  </si>
  <si>
    <t>F3000</t>
  </si>
  <si>
    <t>F3600</t>
  </si>
  <si>
    <t>F4600</t>
  </si>
  <si>
    <t>F5000</t>
  </si>
  <si>
    <t>F5300</t>
  </si>
  <si>
    <t>F6000</t>
  </si>
  <si>
    <t>PHB1500-NS</t>
  </si>
  <si>
    <t>PHB</t>
  </si>
  <si>
    <t>PHB3000-NS</t>
  </si>
  <si>
    <t>PHB5000D-NS</t>
  </si>
  <si>
    <t>PHB14K-DT</t>
  </si>
  <si>
    <t>PHB20K-DP</t>
  </si>
  <si>
    <t>PHB25K-DT</t>
  </si>
  <si>
    <t>PHB35K-MT</t>
  </si>
  <si>
    <t>PHB50K-MT</t>
  </si>
  <si>
    <t>PHB60K-MT</t>
  </si>
  <si>
    <t>SIW200G M050 W1</t>
  </si>
  <si>
    <t>WEG</t>
  </si>
  <si>
    <t>CONVECÇÃO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</si>
</sst>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1" fillId="0" borderId="12" xfId="0" applyFont="1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3" borderId="15" xfId="0" applyFill="1" applyBorder="1"/>
    <xf numFmtId="0" fontId="0" fillId="3" borderId="16" xfId="0" applyFill="1" applyBorder="1" applyAlignment="1">
      <alignment horizontal="right"/>
    </xf>
    <xf numFmtId="0" fontId="0" fillId="2" borderId="9" xfId="0" applyFill="1" applyBorder="1"/>
    <xf numFmtId="0" fontId="0" fillId="2" borderId="13" xfId="0" applyFill="1" applyBorder="1" applyAlignment="1">
      <alignment horizontal="right"/>
    </xf>
    <xf numFmtId="0" fontId="0" fillId="2" borderId="1" xfId="0" applyFill="1" applyBorder="1"/>
    <xf numFmtId="0" fontId="0" fillId="2" borderId="3" xfId="0" applyFill="1" applyBorder="1" applyAlignment="1">
      <alignment horizontal="right"/>
    </xf>
    <xf numFmtId="0" fontId="0" fillId="3" borderId="1" xfId="0" applyFill="1" applyBorder="1"/>
    <xf numFmtId="0" fontId="0" fillId="3" borderId="3" xfId="0" applyFill="1" applyBorder="1" applyAlignment="1">
      <alignment horizontal="right"/>
    </xf>
    <xf numFmtId="2" fontId="0" fillId="2" borderId="3" xfId="0" applyNumberFormat="1" applyFill="1" applyBorder="1"/>
    <xf numFmtId="0" fontId="0" fillId="2" borderId="3" xfId="0" applyFill="1" applyBorder="1"/>
    <xf numFmtId="0" fontId="0" fillId="3" borderId="3" xfId="0" applyFill="1" applyBorder="1"/>
    <xf numFmtId="0" fontId="0" fillId="3" borderId="17" xfId="0" applyFill="1" applyBorder="1"/>
    <xf numFmtId="0" fontId="0" fillId="3" borderId="18" xfId="0" applyFill="1" applyBorder="1"/>
    <xf numFmtId="0" fontId="0" fillId="4" borderId="15" xfId="0" applyFill="1" applyBorder="1"/>
    <xf numFmtId="0" fontId="0" fillId="4" borderId="16" xfId="0" applyFill="1" applyBorder="1"/>
    <xf numFmtId="0" fontId="0" fillId="2" borderId="17" xfId="0" applyFill="1" applyBorder="1"/>
    <xf numFmtId="2" fontId="0" fillId="2" borderId="18" xfId="0" applyNumberFormat="1" applyFill="1" applyBorder="1"/>
    <xf numFmtId="0" fontId="0" fillId="4" borderId="1" xfId="0" applyFill="1" applyBorder="1"/>
    <xf numFmtId="1" fontId="0" fillId="4" borderId="3" xfId="0" applyNumberFormat="1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5" xfId="0" applyFill="1" applyBorder="1"/>
    <xf numFmtId="0" fontId="0" fillId="2" borderId="16" xfId="0" applyFill="1" applyBorder="1"/>
    <xf numFmtId="0" fontId="0" fillId="4" borderId="17" xfId="0" applyFill="1" applyBorder="1"/>
    <xf numFmtId="1" fontId="0" fillId="4" borderId="18" xfId="0" applyNumberFormat="1" applyFill="1" applyBorder="1"/>
    <xf numFmtId="0" fontId="0" fillId="2" borderId="18" xfId="0" applyFill="1" applyBorder="1"/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16"/>
  <sheetViews>
    <sheetView workbookViewId="0">
      <selection activeCell="A8" sqref="A8"/>
    </sheetView>
  </sheetViews>
  <sheetFormatPr defaultColWidth="9" defaultRowHeight="15"/>
  <cols>
    <col min="1" max="1" width="25.85546875" customWidth="1"/>
    <col min="2" max="2" width="18.140625" customWidth="1"/>
    <col min="4" max="4" width="36" customWidth="1"/>
    <col min="5" max="5" width="26.7109375" customWidth="1"/>
    <col min="6" max="6" width="8.140625" customWidth="1"/>
    <col min="7" max="7" width="33.42578125" customWidth="1"/>
    <col min="8" max="8" width="18.140625" customWidth="1"/>
    <col min="9" max="10" width="25.140625" customWidth="1"/>
    <col min="11" max="11" width="32" customWidth="1"/>
    <col min="12" max="12" width="33.42578125" customWidth="1"/>
  </cols>
  <sheetData>
    <row r="1" spans="1:8">
      <c r="D1" s="41" t="s">
        <v>0</v>
      </c>
      <c r="E1" s="42"/>
      <c r="G1" s="43" t="s">
        <v>1</v>
      </c>
      <c r="H1" s="44"/>
    </row>
    <row r="2" spans="1:8">
      <c r="A2" s="15" t="s">
        <v>0</v>
      </c>
      <c r="B2" s="16" t="s">
        <v>2</v>
      </c>
      <c r="D2" s="17" t="s">
        <v>3</v>
      </c>
      <c r="E2" s="18" t="str">
        <f>$B$2</f>
        <v>TP7F72M(H)-535</v>
      </c>
      <c r="G2" s="19" t="s">
        <v>3</v>
      </c>
      <c r="H2" s="20" t="str">
        <f>$B$3</f>
        <v>SUN2000-30KTL-M3</v>
      </c>
    </row>
    <row r="3" spans="1:8">
      <c r="A3" s="21" t="s">
        <v>1</v>
      </c>
      <c r="B3" s="22" t="s">
        <v>4</v>
      </c>
      <c r="D3" s="19" t="s">
        <v>5</v>
      </c>
      <c r="E3" s="23">
        <f>$E$10*(1+(($B$6-25)*$E$14/100))</f>
        <v>47.281199999999998</v>
      </c>
      <c r="G3" s="19" t="s">
        <v>6</v>
      </c>
      <c r="H3" s="24">
        <f>VLOOKUP($H$2,inv_Dados,18,0)</f>
        <v>200</v>
      </c>
    </row>
    <row r="4" spans="1:8">
      <c r="A4" s="21" t="s">
        <v>7</v>
      </c>
      <c r="B4" s="25"/>
      <c r="D4" s="19" t="s">
        <v>8</v>
      </c>
      <c r="E4" s="23">
        <f>$E$10*(1+(($B$5-25)*$E$14/100))</f>
        <v>50.479200000000006</v>
      </c>
      <c r="G4" s="19" t="s">
        <v>9</v>
      </c>
      <c r="H4" s="24">
        <f>VLOOKUP($H$2,inv_Dados,17,0)</f>
        <v>1100</v>
      </c>
    </row>
    <row r="5" spans="1:8">
      <c r="A5" s="21" t="s">
        <v>10</v>
      </c>
      <c r="B5" s="25">
        <v>15</v>
      </c>
      <c r="D5" s="19" t="s">
        <v>11</v>
      </c>
      <c r="E5" s="23">
        <f>$E$11*(1+(($B$6-25)*$E$14/100))</f>
        <v>39.400999999999996</v>
      </c>
      <c r="G5" s="19" t="s">
        <v>12</v>
      </c>
      <c r="H5" s="24">
        <f>VLOOKUP($H$2,inv_Dados,20,0)</f>
        <v>200</v>
      </c>
    </row>
    <row r="6" spans="1:8">
      <c r="A6" s="26" t="s">
        <v>13</v>
      </c>
      <c r="B6" s="27">
        <v>40</v>
      </c>
      <c r="D6" s="19" t="s">
        <v>14</v>
      </c>
      <c r="E6" s="23">
        <f>$E$11*(1+(($B$5-25)*$E$14/100))</f>
        <v>42.066000000000003</v>
      </c>
      <c r="G6" s="19" t="s">
        <v>15</v>
      </c>
      <c r="H6" s="24">
        <f>VLOOKUP($H$2,inv_Dados,19,0)</f>
        <v>1000</v>
      </c>
    </row>
    <row r="7" spans="1:8">
      <c r="D7" s="19" t="s">
        <v>16</v>
      </c>
      <c r="E7" s="23">
        <f>$E$12*(1+(($B$6-25)*$E$15/100))</f>
        <v>13.899074500000001</v>
      </c>
      <c r="G7" s="19" t="s">
        <v>17</v>
      </c>
      <c r="H7" s="24">
        <f>VLOOKUP($H$2,inv_Dados,22,0)</f>
        <v>500</v>
      </c>
    </row>
    <row r="8" spans="1:8">
      <c r="A8" s="28" t="s">
        <v>18</v>
      </c>
      <c r="B8" s="29">
        <f>TRUNC(H9/E12)</f>
        <v>2</v>
      </c>
      <c r="D8" s="30" t="s">
        <v>19</v>
      </c>
      <c r="E8" s="31">
        <f>$E$13*(1+(($B$6-25)*$E$15/100))</f>
        <v>13.134172500000002</v>
      </c>
      <c r="G8" s="19" t="s">
        <v>20</v>
      </c>
      <c r="H8" s="24">
        <f>VLOOKUP($H$2,inv_Dados,21,0)</f>
        <v>800</v>
      </c>
    </row>
    <row r="9" spans="1:8">
      <c r="A9" s="32" t="s">
        <v>21</v>
      </c>
      <c r="B9" s="33">
        <f>ROUNDUP(H5/E5,0)</f>
        <v>6</v>
      </c>
      <c r="D9" s="34"/>
      <c r="E9" s="35"/>
      <c r="G9" s="19" t="s">
        <v>22</v>
      </c>
      <c r="H9" s="24">
        <f>VLOOKUP($H$2,inv_Dados,24,0)</f>
        <v>40</v>
      </c>
    </row>
    <row r="10" spans="1:8">
      <c r="A10" s="32" t="s">
        <v>23</v>
      </c>
      <c r="B10" s="33">
        <f>TRUNC(H6/E6)</f>
        <v>23</v>
      </c>
      <c r="D10" s="36" t="s">
        <v>24</v>
      </c>
      <c r="E10" s="37">
        <f>VLOOKUP($E$2,mod_Dados,10,0)</f>
        <v>49.2</v>
      </c>
      <c r="G10" s="19" t="s">
        <v>25</v>
      </c>
      <c r="H10" s="24">
        <f>VLOOKUP($H$2,inv_Dados,25,0)</f>
        <v>26</v>
      </c>
    </row>
    <row r="11" spans="1:8">
      <c r="A11" s="32" t="s">
        <v>26</v>
      </c>
      <c r="B11" s="33">
        <f>ROUNDUP(H7/E5,0)</f>
        <v>13</v>
      </c>
      <c r="D11" s="19" t="s">
        <v>27</v>
      </c>
      <c r="E11" s="24">
        <f>VLOOKUP($E$2,mod_Dados,11,0)</f>
        <v>41</v>
      </c>
      <c r="G11" s="19" t="s">
        <v>28</v>
      </c>
      <c r="H11" s="24">
        <f>VLOOKUP($H$2,inv_Dados,15,0)</f>
        <v>2</v>
      </c>
    </row>
    <row r="12" spans="1:8">
      <c r="A12" s="38" t="s">
        <v>29</v>
      </c>
      <c r="B12" s="39">
        <f>TRUNC(H8/E6)</f>
        <v>19</v>
      </c>
      <c r="D12" s="19" t="s">
        <v>30</v>
      </c>
      <c r="E12" s="24">
        <f>VLOOKUP($E$2,mod_Dados,12,0)</f>
        <v>13.81</v>
      </c>
      <c r="G12" s="30" t="s">
        <v>31</v>
      </c>
      <c r="H12" s="40">
        <f>VLOOKUP($H$2,inv_Dados,16,0)</f>
        <v>4</v>
      </c>
    </row>
    <row r="13" spans="1:8">
      <c r="D13" s="19" t="s">
        <v>32</v>
      </c>
      <c r="E13" s="24">
        <f>VLOOKUP($E$2,mod_Dados,13,0)</f>
        <v>13.05</v>
      </c>
    </row>
    <row r="14" spans="1:8">
      <c r="D14" s="19" t="s">
        <v>33</v>
      </c>
      <c r="E14" s="24">
        <f>VLOOKUP($E$2,mod_Dados,15,0)</f>
        <v>-0.26</v>
      </c>
    </row>
    <row r="15" spans="1:8">
      <c r="D15" s="19" t="s">
        <v>34</v>
      </c>
      <c r="E15" s="24">
        <f>VLOOKUP($E$2,mod_Dados,16,0)</f>
        <v>4.2999999999999997E-2</v>
      </c>
    </row>
    <row r="16" spans="1:8">
      <c r="D16" s="30" t="s">
        <v>35</v>
      </c>
      <c r="E16" s="40">
        <f>VLOOKUP($E$2,mod_Dados,14,0)</f>
        <v>-0.36</v>
      </c>
    </row>
  </sheetData>
  <mergeCells count="2">
    <mergeCell ref="D1:E1"/>
    <mergeCell ref="G1:H1"/>
  </mergeCells>
  <dataValidations count="2">
    <dataValidation type="list" allowBlank="1" showInputMessage="1" showErrorMessage="1" promptTitle="Modulos" prompt="Selecione um módulo" sqref="B2" xr:uid="{00000000-0002-0000-0000-000000000000}">
      <formula1>mod_Modelo</formula1>
    </dataValidation>
    <dataValidation type="list" allowBlank="1" showInputMessage="1" showErrorMessage="1" promptTitle="Inversores" prompt="Selecione um inversor" sqref="B3" xr:uid="{00000000-0002-0000-0000-000001000000}">
      <formula1>inv_Modelo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97"/>
  <sheetViews>
    <sheetView workbookViewId="0">
      <selection activeCell="A98" sqref="A98:AE98"/>
    </sheetView>
  </sheetViews>
  <sheetFormatPr defaultColWidth="9" defaultRowHeight="15"/>
  <cols>
    <col min="1" max="1" width="20.28515625" style="3" customWidth="1"/>
    <col min="2" max="2" width="12.7109375" style="2" customWidth="1"/>
    <col min="3" max="8" width="18" style="3" customWidth="1"/>
    <col min="9" max="9" width="22.140625" style="3" customWidth="1"/>
    <col min="10" max="10" width="9.140625" style="3"/>
    <col min="11" max="11" width="10.28515625" style="3" customWidth="1"/>
    <col min="12" max="13" width="9.140625" style="3"/>
    <col min="14" max="14" width="34.85546875" style="3" customWidth="1"/>
    <col min="15" max="15" width="42.28515625" style="3" customWidth="1"/>
    <col min="16" max="16" width="42.85546875" style="4" customWidth="1"/>
  </cols>
  <sheetData>
    <row r="1" spans="1:16">
      <c r="A1" s="12" t="s">
        <v>3</v>
      </c>
      <c r="B1" s="13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  <c r="M1" s="12" t="s">
        <v>47</v>
      </c>
      <c r="N1" s="12" t="s">
        <v>48</v>
      </c>
      <c r="O1" s="12" t="s">
        <v>49</v>
      </c>
      <c r="P1" s="14" t="s">
        <v>50</v>
      </c>
    </row>
    <row r="2" spans="1:16">
      <c r="A2" s="3" t="s">
        <v>51</v>
      </c>
      <c r="B2" s="2" t="s">
        <v>52</v>
      </c>
      <c r="C2" s="3" t="s">
        <v>53</v>
      </c>
      <c r="D2" s="3" t="s">
        <v>54</v>
      </c>
      <c r="E2" s="3">
        <v>2018</v>
      </c>
      <c r="F2" s="3">
        <v>1002</v>
      </c>
      <c r="G2" s="3">
        <v>35</v>
      </c>
      <c r="H2" s="3">
        <v>22.6</v>
      </c>
      <c r="I2" s="3">
        <v>405</v>
      </c>
      <c r="J2" s="3">
        <v>49.53</v>
      </c>
      <c r="K2" s="3">
        <v>41.59</v>
      </c>
      <c r="L2" s="3">
        <v>10.31</v>
      </c>
      <c r="M2" s="3">
        <v>9.74</v>
      </c>
      <c r="N2" s="3">
        <v>-0.35</v>
      </c>
      <c r="O2" s="3">
        <v>-0.28000000000000003</v>
      </c>
      <c r="P2" s="4">
        <v>3.5000000000000003E-2</v>
      </c>
    </row>
    <row r="3" spans="1:16">
      <c r="A3" s="3" t="s">
        <v>55</v>
      </c>
      <c r="B3" s="2" t="s">
        <v>52</v>
      </c>
      <c r="C3" s="3" t="s">
        <v>53</v>
      </c>
      <c r="D3" s="3" t="s">
        <v>54</v>
      </c>
      <c r="E3" s="3">
        <v>2018</v>
      </c>
      <c r="F3" s="3">
        <v>1002</v>
      </c>
      <c r="G3" s="3">
        <v>35</v>
      </c>
      <c r="H3" s="3">
        <v>22.6</v>
      </c>
      <c r="I3" s="3">
        <v>410</v>
      </c>
      <c r="J3" s="3">
        <v>49.8</v>
      </c>
      <c r="K3" s="3">
        <v>41.85</v>
      </c>
      <c r="L3" s="3">
        <v>10.38</v>
      </c>
      <c r="M3" s="3">
        <v>9.8000000000000007</v>
      </c>
      <c r="N3" s="3">
        <v>-0.35</v>
      </c>
      <c r="O3" s="3">
        <v>-0.28000000000000003</v>
      </c>
      <c r="P3" s="4">
        <v>3.5000000000000003E-2</v>
      </c>
    </row>
    <row r="4" spans="1:16">
      <c r="A4" s="3" t="s">
        <v>56</v>
      </c>
      <c r="B4" s="2" t="s">
        <v>52</v>
      </c>
      <c r="C4" s="3" t="s">
        <v>53</v>
      </c>
      <c r="D4" s="3" t="s">
        <v>54</v>
      </c>
      <c r="E4" s="3">
        <v>2018</v>
      </c>
      <c r="F4" s="3">
        <v>1002</v>
      </c>
      <c r="G4" s="3">
        <v>35</v>
      </c>
      <c r="H4" s="3">
        <v>22.6</v>
      </c>
      <c r="I4" s="3">
        <v>415</v>
      </c>
      <c r="J4" s="3">
        <v>50.06</v>
      </c>
      <c r="K4" s="3">
        <v>42.11</v>
      </c>
      <c r="L4" s="3">
        <v>10.45</v>
      </c>
      <c r="M4" s="3">
        <v>9.86</v>
      </c>
      <c r="N4" s="3">
        <v>-0.35</v>
      </c>
      <c r="O4" s="3">
        <v>-0.28000000000000003</v>
      </c>
      <c r="P4" s="4">
        <v>3.5000000000000003E-2</v>
      </c>
    </row>
    <row r="5" spans="1:16">
      <c r="A5" s="3" t="s">
        <v>57</v>
      </c>
      <c r="B5" s="2" t="s">
        <v>52</v>
      </c>
      <c r="C5" s="3" t="s">
        <v>53</v>
      </c>
      <c r="D5" s="3" t="s">
        <v>54</v>
      </c>
      <c r="E5" s="3">
        <v>2018</v>
      </c>
      <c r="F5" s="3">
        <v>1002</v>
      </c>
      <c r="G5" s="3">
        <v>35</v>
      </c>
      <c r="H5" s="3">
        <v>22.6</v>
      </c>
      <c r="I5" s="3">
        <v>420</v>
      </c>
      <c r="J5" s="3">
        <v>50.32</v>
      </c>
      <c r="K5" s="3">
        <v>42.35</v>
      </c>
      <c r="L5" s="3">
        <v>10.52</v>
      </c>
      <c r="M5" s="3">
        <v>9.92</v>
      </c>
      <c r="N5" s="3">
        <v>-0.35</v>
      </c>
      <c r="O5" s="3">
        <v>-0.28000000000000003</v>
      </c>
      <c r="P5" s="4">
        <v>3.5000000000000003E-2</v>
      </c>
    </row>
    <row r="6" spans="1:16">
      <c r="A6" s="3" t="s">
        <v>58</v>
      </c>
      <c r="B6" s="2" t="s">
        <v>59</v>
      </c>
      <c r="C6" s="3" t="s">
        <v>53</v>
      </c>
      <c r="D6" s="3" t="s">
        <v>60</v>
      </c>
      <c r="E6" s="3">
        <v>2008</v>
      </c>
      <c r="F6" s="3">
        <v>1002</v>
      </c>
      <c r="G6" s="3">
        <v>35</v>
      </c>
      <c r="H6" s="3">
        <v>21.8</v>
      </c>
      <c r="I6" s="3">
        <v>335</v>
      </c>
      <c r="J6" s="3">
        <v>45.44</v>
      </c>
      <c r="K6" s="3">
        <v>38.1</v>
      </c>
      <c r="L6" s="3">
        <v>9.25</v>
      </c>
      <c r="M6" s="3">
        <v>8.7899999999999991</v>
      </c>
      <c r="N6" s="3">
        <v>-0.35</v>
      </c>
      <c r="O6" s="3">
        <v>-0.28499999999999998</v>
      </c>
      <c r="P6" s="4">
        <v>5.7000000000000002E-2</v>
      </c>
    </row>
    <row r="7" spans="1:16">
      <c r="A7" s="3" t="s">
        <v>61</v>
      </c>
      <c r="B7" s="2" t="s">
        <v>59</v>
      </c>
      <c r="C7" s="3" t="s">
        <v>53</v>
      </c>
      <c r="D7" s="3" t="s">
        <v>60</v>
      </c>
      <c r="E7" s="3">
        <v>2008</v>
      </c>
      <c r="F7" s="3">
        <v>1002</v>
      </c>
      <c r="G7" s="3">
        <v>35</v>
      </c>
      <c r="H7" s="3">
        <v>21.8</v>
      </c>
      <c r="I7" s="3">
        <v>340</v>
      </c>
      <c r="J7" s="3">
        <v>45.69</v>
      </c>
      <c r="K7" s="3">
        <v>38.36</v>
      </c>
      <c r="L7" s="3">
        <v>9.31</v>
      </c>
      <c r="M7" s="3">
        <v>8.86</v>
      </c>
      <c r="N7" s="3">
        <v>-0.35</v>
      </c>
      <c r="O7" s="3">
        <v>-0.28499999999999998</v>
      </c>
      <c r="P7" s="4">
        <v>5.7000000000000002E-2</v>
      </c>
    </row>
    <row r="8" spans="1:16">
      <c r="A8" s="3" t="s">
        <v>62</v>
      </c>
      <c r="B8" s="2" t="s">
        <v>59</v>
      </c>
      <c r="C8" s="3" t="s">
        <v>53</v>
      </c>
      <c r="D8" s="3" t="s">
        <v>60</v>
      </c>
      <c r="E8" s="3">
        <v>2008</v>
      </c>
      <c r="F8" s="3">
        <v>1002</v>
      </c>
      <c r="G8" s="3">
        <v>35</v>
      </c>
      <c r="H8" s="3">
        <v>21.8</v>
      </c>
      <c r="I8" s="3">
        <v>345</v>
      </c>
      <c r="J8" s="3">
        <v>45.94</v>
      </c>
      <c r="K8" s="3">
        <v>38.619999999999997</v>
      </c>
      <c r="L8" s="3">
        <v>9.36</v>
      </c>
      <c r="M8" s="3">
        <v>8.93</v>
      </c>
      <c r="N8" s="3">
        <v>-0.35</v>
      </c>
      <c r="O8" s="3">
        <v>-0.28499999999999998</v>
      </c>
      <c r="P8" s="4">
        <v>5.7000000000000002E-2</v>
      </c>
    </row>
    <row r="9" spans="1:16">
      <c r="A9" s="3" t="s">
        <v>63</v>
      </c>
      <c r="B9" s="2" t="s">
        <v>59</v>
      </c>
      <c r="C9" s="3" t="s">
        <v>53</v>
      </c>
      <c r="D9" s="3" t="s">
        <v>60</v>
      </c>
      <c r="E9" s="3">
        <v>2008</v>
      </c>
      <c r="F9" s="3">
        <v>1002</v>
      </c>
      <c r="G9" s="3">
        <v>35</v>
      </c>
      <c r="H9" s="3">
        <v>21.8</v>
      </c>
      <c r="I9" s="3">
        <v>350</v>
      </c>
      <c r="J9" s="3">
        <v>46.19</v>
      </c>
      <c r="K9" s="3">
        <v>38.869999999999997</v>
      </c>
      <c r="L9" s="3">
        <v>9.42</v>
      </c>
      <c r="M9" s="3">
        <v>9</v>
      </c>
      <c r="N9" s="3">
        <v>-0.35</v>
      </c>
      <c r="O9" s="3">
        <v>-0.28499999999999998</v>
      </c>
      <c r="P9" s="4">
        <v>5.7000000000000002E-2</v>
      </c>
    </row>
    <row r="10" spans="1:16">
      <c r="A10" s="3" t="s">
        <v>64</v>
      </c>
      <c r="B10" s="2" t="s">
        <v>65</v>
      </c>
      <c r="C10" s="3" t="s">
        <v>53</v>
      </c>
      <c r="D10" s="3" t="s">
        <v>54</v>
      </c>
      <c r="E10" s="3">
        <v>1754</v>
      </c>
      <c r="F10" s="3">
        <v>1096</v>
      </c>
      <c r="G10" s="3">
        <v>30</v>
      </c>
      <c r="H10" s="3">
        <v>21</v>
      </c>
      <c r="I10" s="3">
        <v>390</v>
      </c>
      <c r="J10" s="3">
        <v>40.799999999999997</v>
      </c>
      <c r="K10" s="3">
        <v>33.799999999999997</v>
      </c>
      <c r="L10" s="3">
        <v>12.14</v>
      </c>
      <c r="M10" s="3">
        <v>11.54</v>
      </c>
      <c r="N10" s="3">
        <v>-0.34</v>
      </c>
      <c r="O10" s="3">
        <v>-0.25</v>
      </c>
      <c r="P10" s="4">
        <v>0.04</v>
      </c>
    </row>
    <row r="11" spans="1:16">
      <c r="A11" s="3" t="s">
        <v>66</v>
      </c>
      <c r="B11" s="2" t="s">
        <v>65</v>
      </c>
      <c r="C11" s="3" t="s">
        <v>53</v>
      </c>
      <c r="D11" s="3" t="s">
        <v>54</v>
      </c>
      <c r="E11" s="3">
        <v>1754</v>
      </c>
      <c r="F11" s="3">
        <v>1096</v>
      </c>
      <c r="G11" s="3">
        <v>30</v>
      </c>
      <c r="H11" s="3">
        <v>21</v>
      </c>
      <c r="I11" s="3">
        <v>395</v>
      </c>
      <c r="J11" s="3">
        <v>41</v>
      </c>
      <c r="K11" s="3">
        <v>34</v>
      </c>
      <c r="L11" s="3">
        <v>12.21</v>
      </c>
      <c r="M11" s="3">
        <v>11.62</v>
      </c>
      <c r="N11" s="3">
        <v>-0.34</v>
      </c>
      <c r="O11" s="3">
        <v>-0.25</v>
      </c>
      <c r="P11" s="4">
        <v>0.04</v>
      </c>
    </row>
    <row r="12" spans="1:16">
      <c r="A12" s="3" t="s">
        <v>67</v>
      </c>
      <c r="B12" s="2" t="s">
        <v>65</v>
      </c>
      <c r="C12" s="3" t="s">
        <v>53</v>
      </c>
      <c r="D12" s="3" t="s">
        <v>54</v>
      </c>
      <c r="E12" s="3">
        <v>1754</v>
      </c>
      <c r="F12" s="3">
        <v>1096</v>
      </c>
      <c r="G12" s="3">
        <v>30</v>
      </c>
      <c r="H12" s="3">
        <v>21</v>
      </c>
      <c r="I12" s="3">
        <v>400</v>
      </c>
      <c r="J12" s="3">
        <v>41.2</v>
      </c>
      <c r="K12" s="3">
        <v>34.200000000000003</v>
      </c>
      <c r="L12" s="3">
        <v>12.28</v>
      </c>
      <c r="M12" s="3">
        <v>11.7</v>
      </c>
      <c r="N12" s="3">
        <v>-0.34</v>
      </c>
      <c r="O12" s="3">
        <v>-0.25</v>
      </c>
      <c r="P12" s="4">
        <v>0.04</v>
      </c>
    </row>
    <row r="13" spans="1:16">
      <c r="A13" s="3" t="s">
        <v>68</v>
      </c>
      <c r="B13" s="2" t="s">
        <v>65</v>
      </c>
      <c r="C13" s="3" t="s">
        <v>53</v>
      </c>
      <c r="D13" s="3" t="s">
        <v>54</v>
      </c>
      <c r="E13" s="3">
        <v>1754</v>
      </c>
      <c r="F13" s="3">
        <v>1096</v>
      </c>
      <c r="G13" s="3">
        <v>30</v>
      </c>
      <c r="H13" s="3">
        <v>21</v>
      </c>
      <c r="I13" s="3">
        <v>405</v>
      </c>
      <c r="J13" s="3">
        <v>41.4</v>
      </c>
      <c r="K13" s="3">
        <v>34.4</v>
      </c>
      <c r="L13" s="3">
        <v>12.34</v>
      </c>
      <c r="M13" s="3">
        <v>11.77</v>
      </c>
      <c r="N13" s="3">
        <v>-0.34</v>
      </c>
      <c r="O13" s="3">
        <v>-0.25</v>
      </c>
      <c r="P13" s="4">
        <v>0.04</v>
      </c>
    </row>
    <row r="14" spans="1:16">
      <c r="A14" s="3" t="s">
        <v>69</v>
      </c>
      <c r="B14" s="2" t="s">
        <v>65</v>
      </c>
      <c r="C14" s="3" t="s">
        <v>53</v>
      </c>
      <c r="D14" s="3" t="s">
        <v>54</v>
      </c>
      <c r="E14" s="3">
        <v>2187</v>
      </c>
      <c r="F14" s="3">
        <v>1102</v>
      </c>
      <c r="G14" s="3">
        <v>35</v>
      </c>
      <c r="H14" s="3">
        <v>26.5</v>
      </c>
      <c r="I14" s="3">
        <v>485</v>
      </c>
      <c r="J14" s="3">
        <v>51.1</v>
      </c>
      <c r="K14" s="3">
        <v>42.2</v>
      </c>
      <c r="L14" s="3">
        <v>12.07</v>
      </c>
      <c r="M14" s="3">
        <v>11.49</v>
      </c>
      <c r="N14" s="3">
        <v>-0.34</v>
      </c>
      <c r="O14" s="3">
        <v>-0.25</v>
      </c>
      <c r="P14" s="4">
        <v>0.04</v>
      </c>
    </row>
    <row r="15" spans="1:16">
      <c r="A15" s="3" t="s">
        <v>70</v>
      </c>
      <c r="B15" s="2" t="s">
        <v>65</v>
      </c>
      <c r="C15" s="3" t="s">
        <v>53</v>
      </c>
      <c r="D15" s="3" t="s">
        <v>54</v>
      </c>
      <c r="E15" s="3">
        <v>2187</v>
      </c>
      <c r="F15" s="3">
        <v>1102</v>
      </c>
      <c r="G15" s="3">
        <v>35</v>
      </c>
      <c r="H15" s="3">
        <v>26.5</v>
      </c>
      <c r="I15" s="3">
        <v>490</v>
      </c>
      <c r="J15" s="3">
        <v>51.3</v>
      </c>
      <c r="K15" s="3">
        <v>42.4</v>
      </c>
      <c r="L15" s="3">
        <v>12.14</v>
      </c>
      <c r="M15" s="3">
        <v>11.56</v>
      </c>
      <c r="N15" s="3">
        <v>-0.34</v>
      </c>
      <c r="O15" s="3">
        <v>-0.25</v>
      </c>
      <c r="P15" s="4">
        <v>0.04</v>
      </c>
    </row>
    <row r="16" spans="1:16">
      <c r="A16" s="3" t="s">
        <v>71</v>
      </c>
      <c r="B16" s="2" t="s">
        <v>65</v>
      </c>
      <c r="C16" s="3" t="s">
        <v>53</v>
      </c>
      <c r="D16" s="3" t="s">
        <v>54</v>
      </c>
      <c r="E16" s="3">
        <v>2187</v>
      </c>
      <c r="F16" s="3">
        <v>1102</v>
      </c>
      <c r="G16" s="3">
        <v>35</v>
      </c>
      <c r="H16" s="3">
        <v>26.5</v>
      </c>
      <c r="I16" s="3">
        <v>495</v>
      </c>
      <c r="J16" s="3">
        <v>51.5</v>
      </c>
      <c r="K16" s="3">
        <v>42.6</v>
      </c>
      <c r="L16" s="3">
        <v>12.21</v>
      </c>
      <c r="M16" s="3">
        <v>11.63</v>
      </c>
      <c r="N16" s="3">
        <v>-0.34</v>
      </c>
      <c r="O16" s="3">
        <v>-0.25</v>
      </c>
      <c r="P16" s="4">
        <v>0.04</v>
      </c>
    </row>
    <row r="17" spans="1:16">
      <c r="A17" s="3" t="s">
        <v>72</v>
      </c>
      <c r="B17" s="2" t="s">
        <v>65</v>
      </c>
      <c r="C17" s="3" t="s">
        <v>53</v>
      </c>
      <c r="D17" s="3" t="s">
        <v>54</v>
      </c>
      <c r="E17" s="3">
        <v>2187</v>
      </c>
      <c r="F17" s="3">
        <v>1102</v>
      </c>
      <c r="G17" s="3">
        <v>35</v>
      </c>
      <c r="H17" s="3">
        <v>26.5</v>
      </c>
      <c r="I17" s="3">
        <v>500</v>
      </c>
      <c r="J17" s="3">
        <v>51.7</v>
      </c>
      <c r="K17" s="3">
        <v>42.8</v>
      </c>
      <c r="L17" s="3">
        <v>12.28</v>
      </c>
      <c r="M17" s="3">
        <v>11.69</v>
      </c>
      <c r="N17" s="3">
        <v>-0.34</v>
      </c>
      <c r="O17" s="3">
        <v>-0.25</v>
      </c>
      <c r="P17" s="4">
        <v>0.04</v>
      </c>
    </row>
    <row r="18" spans="1:16">
      <c r="A18" s="3" t="s">
        <v>73</v>
      </c>
      <c r="B18" s="2" t="s">
        <v>65</v>
      </c>
      <c r="C18" s="3" t="s">
        <v>53</v>
      </c>
      <c r="D18" s="3" t="s">
        <v>54</v>
      </c>
      <c r="E18" s="3">
        <v>2187</v>
      </c>
      <c r="F18" s="3">
        <v>1102</v>
      </c>
      <c r="G18" s="3">
        <v>35</v>
      </c>
      <c r="H18" s="3">
        <v>26.5</v>
      </c>
      <c r="I18" s="3">
        <v>505</v>
      </c>
      <c r="J18" s="3">
        <v>51.9</v>
      </c>
      <c r="K18" s="3">
        <v>43</v>
      </c>
      <c r="L18" s="3">
        <v>12.35</v>
      </c>
      <c r="M18" s="3">
        <v>11.75</v>
      </c>
      <c r="N18" s="3">
        <v>-0.34</v>
      </c>
      <c r="O18" s="3">
        <v>-0.25</v>
      </c>
      <c r="P18" s="4">
        <v>0.04</v>
      </c>
    </row>
    <row r="19" spans="1:16">
      <c r="A19" s="3" t="s">
        <v>74</v>
      </c>
      <c r="B19" s="2" t="s">
        <v>65</v>
      </c>
      <c r="C19" s="3" t="s">
        <v>53</v>
      </c>
      <c r="D19" s="3" t="s">
        <v>54</v>
      </c>
      <c r="E19" s="3">
        <v>2187</v>
      </c>
      <c r="F19" s="3">
        <v>1102</v>
      </c>
      <c r="G19" s="3">
        <v>35</v>
      </c>
      <c r="H19" s="3">
        <v>26.5</v>
      </c>
      <c r="I19" s="3">
        <v>510</v>
      </c>
      <c r="J19" s="3">
        <v>52.1</v>
      </c>
      <c r="K19" s="3">
        <v>43.2</v>
      </c>
      <c r="L19" s="3">
        <v>12.42</v>
      </c>
      <c r="M19" s="3">
        <v>11.81</v>
      </c>
      <c r="N19" s="3">
        <v>-0.34</v>
      </c>
      <c r="O19" s="3">
        <v>-0.25</v>
      </c>
      <c r="P19" s="4">
        <v>0.04</v>
      </c>
    </row>
    <row r="20" spans="1:16">
      <c r="A20" s="3" t="s">
        <v>75</v>
      </c>
      <c r="B20" s="2" t="s">
        <v>65</v>
      </c>
      <c r="C20" s="3" t="s">
        <v>76</v>
      </c>
      <c r="D20" s="3" t="s">
        <v>54</v>
      </c>
      <c r="E20" s="3">
        <v>2384</v>
      </c>
      <c r="F20" s="3">
        <v>1096</v>
      </c>
      <c r="G20" s="3">
        <v>35</v>
      </c>
      <c r="H20" s="3">
        <v>32.299999999999997</v>
      </c>
      <c r="I20" s="3">
        <v>525</v>
      </c>
      <c r="J20" s="3">
        <v>37.1</v>
      </c>
      <c r="K20" s="3">
        <v>30.8</v>
      </c>
      <c r="L20" s="3">
        <v>18.14</v>
      </c>
      <c r="M20" s="3">
        <v>17.04</v>
      </c>
      <c r="N20" s="3">
        <v>-0.34</v>
      </c>
      <c r="O20" s="3">
        <v>-0.25</v>
      </c>
      <c r="P20" s="4">
        <v>0.04</v>
      </c>
    </row>
    <row r="21" spans="1:16">
      <c r="A21" s="3" t="s">
        <v>77</v>
      </c>
      <c r="B21" s="2" t="s">
        <v>65</v>
      </c>
      <c r="C21" s="3" t="s">
        <v>76</v>
      </c>
      <c r="D21" s="3" t="s">
        <v>54</v>
      </c>
      <c r="E21" s="3">
        <v>2384</v>
      </c>
      <c r="F21" s="3">
        <v>1096</v>
      </c>
      <c r="G21" s="3">
        <v>35</v>
      </c>
      <c r="H21" s="3">
        <v>32.299999999999997</v>
      </c>
      <c r="I21" s="3">
        <v>530</v>
      </c>
      <c r="J21" s="3">
        <v>37.299999999999997</v>
      </c>
      <c r="K21" s="3">
        <v>31</v>
      </c>
      <c r="L21" s="3">
        <v>18.190000000000001</v>
      </c>
      <c r="M21" s="3">
        <v>17.11</v>
      </c>
      <c r="N21" s="3">
        <v>-0.34</v>
      </c>
      <c r="O21" s="3">
        <v>-0.25</v>
      </c>
      <c r="P21" s="4">
        <v>0.04</v>
      </c>
    </row>
    <row r="22" spans="1:16">
      <c r="A22" s="3" t="s">
        <v>78</v>
      </c>
      <c r="B22" s="2" t="s">
        <v>65</v>
      </c>
      <c r="C22" s="3" t="s">
        <v>76</v>
      </c>
      <c r="D22" s="3" t="s">
        <v>54</v>
      </c>
      <c r="E22" s="3">
        <v>2384</v>
      </c>
      <c r="F22" s="3">
        <v>1096</v>
      </c>
      <c r="G22" s="3">
        <v>35</v>
      </c>
      <c r="H22" s="3">
        <v>32.299999999999997</v>
      </c>
      <c r="I22" s="3">
        <v>535</v>
      </c>
      <c r="J22" s="3">
        <v>37.5</v>
      </c>
      <c r="K22" s="3">
        <v>31.2</v>
      </c>
      <c r="L22" s="3">
        <v>18.239999999999998</v>
      </c>
      <c r="M22" s="3">
        <v>17.16</v>
      </c>
      <c r="N22" s="3">
        <v>-0.34</v>
      </c>
      <c r="O22" s="3">
        <v>-0.25</v>
      </c>
      <c r="P22" s="4">
        <v>0.04</v>
      </c>
    </row>
    <row r="23" spans="1:16">
      <c r="A23" s="3" t="s">
        <v>79</v>
      </c>
      <c r="B23" s="2" t="s">
        <v>65</v>
      </c>
      <c r="C23" s="3" t="s">
        <v>76</v>
      </c>
      <c r="D23" s="3" t="s">
        <v>54</v>
      </c>
      <c r="E23" s="3">
        <v>2384</v>
      </c>
      <c r="F23" s="3">
        <v>1096</v>
      </c>
      <c r="G23" s="3">
        <v>35</v>
      </c>
      <c r="H23" s="3">
        <v>32.299999999999997</v>
      </c>
      <c r="I23" s="3">
        <v>540</v>
      </c>
      <c r="J23" s="3">
        <v>37.700000000000003</v>
      </c>
      <c r="K23" s="3">
        <v>31.4</v>
      </c>
      <c r="L23" s="3">
        <v>18.3</v>
      </c>
      <c r="M23" s="3">
        <v>17.21</v>
      </c>
      <c r="N23" s="3">
        <v>-0.34</v>
      </c>
      <c r="O23" s="3">
        <v>-0.25</v>
      </c>
      <c r="P23" s="4">
        <v>0.04</v>
      </c>
    </row>
    <row r="24" spans="1:16">
      <c r="A24" s="3" t="s">
        <v>80</v>
      </c>
      <c r="B24" s="2" t="s">
        <v>65</v>
      </c>
      <c r="C24" s="3" t="s">
        <v>76</v>
      </c>
      <c r="D24" s="3" t="s">
        <v>54</v>
      </c>
      <c r="E24" s="3">
        <v>2384</v>
      </c>
      <c r="F24" s="3">
        <v>1096</v>
      </c>
      <c r="G24" s="3">
        <v>35</v>
      </c>
      <c r="H24" s="3">
        <v>32.299999999999997</v>
      </c>
      <c r="I24" s="3">
        <v>545</v>
      </c>
      <c r="J24" s="3">
        <v>37.9</v>
      </c>
      <c r="K24" s="3">
        <v>31.6</v>
      </c>
      <c r="L24" s="3">
        <v>18.350000000000001</v>
      </c>
      <c r="M24" s="3">
        <v>17.239999999999998</v>
      </c>
      <c r="N24" s="3">
        <v>-0.34</v>
      </c>
      <c r="O24" s="3">
        <v>-0.25</v>
      </c>
      <c r="P24" s="4">
        <v>0.04</v>
      </c>
    </row>
    <row r="25" spans="1:16">
      <c r="A25" s="3" t="s">
        <v>81</v>
      </c>
      <c r="B25" s="2" t="s">
        <v>65</v>
      </c>
      <c r="C25" s="3" t="s">
        <v>76</v>
      </c>
      <c r="D25" s="3" t="s">
        <v>54</v>
      </c>
      <c r="E25" s="3">
        <v>2384</v>
      </c>
      <c r="F25" s="3">
        <v>1096</v>
      </c>
      <c r="G25" s="3">
        <v>35</v>
      </c>
      <c r="H25" s="3">
        <v>32.299999999999997</v>
      </c>
      <c r="I25" s="3">
        <v>550</v>
      </c>
      <c r="J25" s="3">
        <v>38.1</v>
      </c>
      <c r="K25" s="3">
        <v>31.8</v>
      </c>
      <c r="L25" s="3">
        <v>18.39</v>
      </c>
      <c r="M25" s="3">
        <v>17.29</v>
      </c>
      <c r="N25" s="3">
        <v>-0.34</v>
      </c>
      <c r="O25" s="3">
        <v>-0.25</v>
      </c>
      <c r="P25" s="4">
        <v>0.04</v>
      </c>
    </row>
    <row r="26" spans="1:16">
      <c r="A26" s="3" t="s">
        <v>82</v>
      </c>
      <c r="B26" s="2" t="s">
        <v>83</v>
      </c>
      <c r="C26" s="3" t="s">
        <v>76</v>
      </c>
      <c r="D26" s="3" t="s">
        <v>54</v>
      </c>
      <c r="E26" s="3">
        <v>2172</v>
      </c>
      <c r="F26" s="3">
        <v>1303</v>
      </c>
      <c r="G26" s="3">
        <v>35</v>
      </c>
      <c r="H26" s="3">
        <v>35</v>
      </c>
      <c r="I26" s="3">
        <v>585</v>
      </c>
      <c r="J26" s="3">
        <v>41.1</v>
      </c>
      <c r="K26" s="3">
        <v>34.22</v>
      </c>
      <c r="L26" s="3">
        <v>18.11</v>
      </c>
      <c r="M26" s="3">
        <v>17.100000000000001</v>
      </c>
      <c r="N26" s="3">
        <v>-0.34</v>
      </c>
      <c r="O26" s="3">
        <v>-0.25</v>
      </c>
      <c r="P26" s="4">
        <v>0.04</v>
      </c>
    </row>
    <row r="27" spans="1:16">
      <c r="A27" s="3" t="s">
        <v>84</v>
      </c>
      <c r="B27" s="2" t="s">
        <v>83</v>
      </c>
      <c r="C27" s="3" t="s">
        <v>76</v>
      </c>
      <c r="D27" s="3" t="s">
        <v>54</v>
      </c>
      <c r="E27" s="3">
        <v>2172</v>
      </c>
      <c r="F27" s="3">
        <v>1303</v>
      </c>
      <c r="G27" s="3">
        <v>35</v>
      </c>
      <c r="H27" s="3">
        <v>35</v>
      </c>
      <c r="I27" s="3">
        <v>590</v>
      </c>
      <c r="J27" s="3">
        <v>41.3</v>
      </c>
      <c r="K27" s="3">
        <v>34.42</v>
      </c>
      <c r="L27" s="3">
        <v>18.16</v>
      </c>
      <c r="M27" s="3">
        <v>17.149999999999999</v>
      </c>
      <c r="N27" s="3">
        <v>-0.34</v>
      </c>
      <c r="O27" s="3">
        <v>-0.25</v>
      </c>
      <c r="P27" s="4">
        <v>0.04</v>
      </c>
    </row>
    <row r="28" spans="1:16">
      <c r="A28" s="3" t="s">
        <v>85</v>
      </c>
      <c r="B28" s="2" t="s">
        <v>83</v>
      </c>
      <c r="C28" s="3" t="s">
        <v>76</v>
      </c>
      <c r="D28" s="3" t="s">
        <v>54</v>
      </c>
      <c r="E28" s="3">
        <v>2172</v>
      </c>
      <c r="F28" s="3">
        <v>1303</v>
      </c>
      <c r="G28" s="3">
        <v>35</v>
      </c>
      <c r="H28" s="3">
        <v>35</v>
      </c>
      <c r="I28" s="3">
        <v>595</v>
      </c>
      <c r="J28" s="3">
        <v>41.5</v>
      </c>
      <c r="K28" s="3">
        <v>34.6</v>
      </c>
      <c r="L28" s="3">
        <v>18.21</v>
      </c>
      <c r="M28" s="3">
        <v>17.2</v>
      </c>
      <c r="N28" s="3">
        <v>-0.34</v>
      </c>
      <c r="O28" s="3">
        <v>-0.25</v>
      </c>
      <c r="P28" s="4">
        <v>0.04</v>
      </c>
    </row>
    <row r="29" spans="1:16">
      <c r="A29" s="3" t="s">
        <v>86</v>
      </c>
      <c r="B29" s="2" t="s">
        <v>83</v>
      </c>
      <c r="C29" s="3" t="s">
        <v>76</v>
      </c>
      <c r="D29" s="3" t="s">
        <v>54</v>
      </c>
      <c r="E29" s="3">
        <v>2172</v>
      </c>
      <c r="F29" s="3">
        <v>1303</v>
      </c>
      <c r="G29" s="3">
        <v>35</v>
      </c>
      <c r="H29" s="3">
        <v>35</v>
      </c>
      <c r="I29" s="3">
        <v>600</v>
      </c>
      <c r="J29" s="3">
        <v>41.7</v>
      </c>
      <c r="K29" s="3">
        <v>34.799999999999997</v>
      </c>
      <c r="L29" s="3">
        <v>18.260000000000002</v>
      </c>
      <c r="M29" s="3">
        <v>17.25</v>
      </c>
      <c r="N29" s="3">
        <v>-0.34</v>
      </c>
      <c r="O29" s="3">
        <v>-0.25</v>
      </c>
      <c r="P29" s="4">
        <v>0.04</v>
      </c>
    </row>
    <row r="30" spans="1:16">
      <c r="A30" s="3" t="s">
        <v>87</v>
      </c>
      <c r="B30" s="2" t="s">
        <v>83</v>
      </c>
      <c r="C30" s="3" t="s">
        <v>76</v>
      </c>
      <c r="D30" s="3" t="s">
        <v>54</v>
      </c>
      <c r="E30" s="3">
        <v>2172</v>
      </c>
      <c r="F30" s="3">
        <v>1303</v>
      </c>
      <c r="G30" s="3">
        <v>35</v>
      </c>
      <c r="H30" s="3">
        <v>35</v>
      </c>
      <c r="I30" s="3">
        <v>605</v>
      </c>
      <c r="J30" s="3">
        <v>41.9</v>
      </c>
      <c r="K30" s="3">
        <v>34.979999999999997</v>
      </c>
      <c r="L30" s="3">
        <v>18.32</v>
      </c>
      <c r="M30" s="3">
        <v>17.3</v>
      </c>
      <c r="N30" s="3">
        <v>-0.34</v>
      </c>
      <c r="O30" s="3">
        <v>-0.25</v>
      </c>
      <c r="P30" s="4">
        <v>0.04</v>
      </c>
    </row>
    <row r="31" spans="1:16">
      <c r="A31" s="3" t="s">
        <v>88</v>
      </c>
      <c r="B31" s="2" t="s">
        <v>52</v>
      </c>
      <c r="C31" s="3" t="s">
        <v>53</v>
      </c>
      <c r="D31" s="3" t="s">
        <v>54</v>
      </c>
      <c r="E31" s="3">
        <v>2256</v>
      </c>
      <c r="F31" s="3">
        <v>1133</v>
      </c>
      <c r="G31" s="3">
        <v>35</v>
      </c>
      <c r="H31" s="3">
        <v>27.2</v>
      </c>
      <c r="I31" s="3">
        <v>525</v>
      </c>
      <c r="J31" s="3">
        <v>49.1</v>
      </c>
      <c r="K31" s="3">
        <v>41.26</v>
      </c>
      <c r="L31" s="3">
        <v>13.43</v>
      </c>
      <c r="M31" s="3">
        <v>12.72</v>
      </c>
      <c r="N31" s="3">
        <v>-0.35</v>
      </c>
      <c r="O31" s="3">
        <v>-0.27</v>
      </c>
      <c r="P31" s="4">
        <v>4.4999999999999998E-2</v>
      </c>
    </row>
    <row r="32" spans="1:16">
      <c r="A32" s="3" t="s">
        <v>89</v>
      </c>
      <c r="B32" s="2" t="s">
        <v>52</v>
      </c>
      <c r="C32" s="3" t="s">
        <v>53</v>
      </c>
      <c r="D32" s="3" t="s">
        <v>54</v>
      </c>
      <c r="E32" s="3">
        <v>2256</v>
      </c>
      <c r="F32" s="3">
        <v>1133</v>
      </c>
      <c r="G32" s="3">
        <v>35</v>
      </c>
      <c r="H32" s="3">
        <v>27.2</v>
      </c>
      <c r="I32" s="3">
        <v>530</v>
      </c>
      <c r="J32" s="3">
        <v>49.3</v>
      </c>
      <c r="K32" s="3">
        <v>41.43</v>
      </c>
      <c r="L32" s="3">
        <v>13.52</v>
      </c>
      <c r="M32" s="3">
        <v>12.79</v>
      </c>
      <c r="N32" s="3">
        <v>-0.35</v>
      </c>
      <c r="O32" s="3">
        <v>-0.27</v>
      </c>
      <c r="P32" s="4">
        <v>4.4999999999999998E-2</v>
      </c>
    </row>
    <row r="33" spans="1:16">
      <c r="A33" s="3" t="s">
        <v>90</v>
      </c>
      <c r="B33" s="2" t="s">
        <v>52</v>
      </c>
      <c r="C33" s="3" t="s">
        <v>53</v>
      </c>
      <c r="D33" s="3" t="s">
        <v>54</v>
      </c>
      <c r="E33" s="3">
        <v>2256</v>
      </c>
      <c r="F33" s="3">
        <v>1133</v>
      </c>
      <c r="G33" s="3">
        <v>35</v>
      </c>
      <c r="H33" s="3">
        <v>27.2</v>
      </c>
      <c r="I33" s="3">
        <v>535</v>
      </c>
      <c r="J33" s="3">
        <v>49.5</v>
      </c>
      <c r="K33" s="3">
        <v>41.6</v>
      </c>
      <c r="L33" s="3">
        <v>13.61</v>
      </c>
      <c r="M33" s="3">
        <v>12.86</v>
      </c>
      <c r="N33" s="3">
        <v>-0.35</v>
      </c>
      <c r="O33" s="3">
        <v>-0.27</v>
      </c>
      <c r="P33" s="4">
        <v>4.4999999999999998E-2</v>
      </c>
    </row>
    <row r="34" spans="1:16">
      <c r="A34" s="3" t="s">
        <v>91</v>
      </c>
      <c r="B34" s="2" t="s">
        <v>52</v>
      </c>
      <c r="C34" s="3" t="s">
        <v>53</v>
      </c>
      <c r="D34" s="3" t="s">
        <v>54</v>
      </c>
      <c r="E34" s="3">
        <v>2256</v>
      </c>
      <c r="F34" s="3">
        <v>1133</v>
      </c>
      <c r="G34" s="3">
        <v>35</v>
      </c>
      <c r="H34" s="3">
        <v>27.2</v>
      </c>
      <c r="I34" s="3">
        <v>540</v>
      </c>
      <c r="J34" s="3">
        <v>49.7</v>
      </c>
      <c r="K34" s="3">
        <v>41.76</v>
      </c>
      <c r="L34" s="3">
        <v>13.72</v>
      </c>
      <c r="M34" s="3">
        <v>12.93</v>
      </c>
      <c r="N34" s="3">
        <v>-0.35</v>
      </c>
      <c r="O34" s="3">
        <v>-0.27</v>
      </c>
      <c r="P34" s="4">
        <v>4.4999999999999998E-2</v>
      </c>
    </row>
    <row r="35" spans="1:16">
      <c r="A35" s="3" t="s">
        <v>92</v>
      </c>
      <c r="B35" s="2" t="s">
        <v>52</v>
      </c>
      <c r="C35" s="3" t="s">
        <v>53</v>
      </c>
      <c r="D35" s="3" t="s">
        <v>54</v>
      </c>
      <c r="E35" s="3">
        <v>2256</v>
      </c>
      <c r="F35" s="3">
        <v>1133</v>
      </c>
      <c r="G35" s="3">
        <v>35</v>
      </c>
      <c r="H35" s="3">
        <v>27.2</v>
      </c>
      <c r="I35" s="3">
        <v>545</v>
      </c>
      <c r="J35" s="3">
        <v>49.9</v>
      </c>
      <c r="K35" s="3">
        <v>41.93</v>
      </c>
      <c r="L35" s="3">
        <v>13.81</v>
      </c>
      <c r="M35" s="3">
        <v>13</v>
      </c>
      <c r="N35" s="3">
        <v>-0.35</v>
      </c>
      <c r="O35" s="3">
        <v>-0.27</v>
      </c>
      <c r="P35" s="4">
        <v>4.4999999999999998E-2</v>
      </c>
    </row>
    <row r="36" spans="1:16">
      <c r="A36" s="3" t="s">
        <v>93</v>
      </c>
      <c r="B36" s="2" t="s">
        <v>59</v>
      </c>
      <c r="C36" s="3" t="s">
        <v>53</v>
      </c>
      <c r="D36" s="3" t="s">
        <v>60</v>
      </c>
      <c r="E36" s="3">
        <v>1962</v>
      </c>
      <c r="F36" s="3">
        <v>992</v>
      </c>
      <c r="G36" s="3">
        <v>35</v>
      </c>
      <c r="H36" s="3">
        <v>21.5</v>
      </c>
      <c r="I36" s="3">
        <v>325</v>
      </c>
      <c r="J36" s="3">
        <v>46.69</v>
      </c>
      <c r="K36" s="3">
        <v>36.979999999999997</v>
      </c>
      <c r="L36" s="3">
        <v>9.25</v>
      </c>
      <c r="M36" s="3">
        <v>8.7899999999999991</v>
      </c>
      <c r="N36" s="3">
        <v>-0.39</v>
      </c>
      <c r="O36" s="3">
        <v>-0.31</v>
      </c>
      <c r="P36" s="4">
        <v>7.0000000000000007E-2</v>
      </c>
    </row>
    <row r="37" spans="1:16">
      <c r="A37" s="3" t="s">
        <v>94</v>
      </c>
      <c r="B37" s="2" t="s">
        <v>59</v>
      </c>
      <c r="C37" s="3" t="s">
        <v>53</v>
      </c>
      <c r="D37" s="3" t="s">
        <v>60</v>
      </c>
      <c r="E37" s="3">
        <v>1962</v>
      </c>
      <c r="F37" s="3">
        <v>992</v>
      </c>
      <c r="G37" s="3">
        <v>35</v>
      </c>
      <c r="H37" s="3">
        <v>21.5</v>
      </c>
      <c r="I37" s="3">
        <v>330</v>
      </c>
      <c r="J37" s="3">
        <v>46.98</v>
      </c>
      <c r="K37" s="3">
        <v>37.159999999999997</v>
      </c>
      <c r="L37" s="3">
        <v>9.31</v>
      </c>
      <c r="M37" s="3">
        <v>8.8800000000000008</v>
      </c>
      <c r="N37" s="3">
        <v>-0.39</v>
      </c>
      <c r="O37" s="3">
        <v>-0.31</v>
      </c>
      <c r="P37" s="4">
        <v>7.0000000000000007E-2</v>
      </c>
    </row>
    <row r="38" spans="1:16">
      <c r="A38" s="3" t="s">
        <v>95</v>
      </c>
      <c r="B38" s="2" t="s">
        <v>59</v>
      </c>
      <c r="C38" s="3" t="s">
        <v>53</v>
      </c>
      <c r="D38" s="3" t="s">
        <v>60</v>
      </c>
      <c r="E38" s="3">
        <v>1962</v>
      </c>
      <c r="F38" s="3">
        <v>992</v>
      </c>
      <c r="G38" s="3">
        <v>35</v>
      </c>
      <c r="H38" s="3">
        <v>21.5</v>
      </c>
      <c r="I38" s="3">
        <v>335</v>
      </c>
      <c r="J38" s="3">
        <v>47.28</v>
      </c>
      <c r="K38" s="3">
        <v>37.35</v>
      </c>
      <c r="L38" s="3">
        <v>9.39</v>
      </c>
      <c r="M38" s="3">
        <v>8.9700000000000006</v>
      </c>
      <c r="N38" s="3">
        <v>-0.39</v>
      </c>
      <c r="O38" s="3">
        <v>-0.31</v>
      </c>
      <c r="P38" s="4">
        <v>7.0000000000000007E-2</v>
      </c>
    </row>
    <row r="39" spans="1:16">
      <c r="A39" s="3" t="s">
        <v>96</v>
      </c>
      <c r="B39" s="2" t="s">
        <v>59</v>
      </c>
      <c r="C39" s="3" t="s">
        <v>53</v>
      </c>
      <c r="D39" s="3" t="s">
        <v>60</v>
      </c>
      <c r="E39" s="3">
        <v>1962</v>
      </c>
      <c r="F39" s="3">
        <v>992</v>
      </c>
      <c r="G39" s="3">
        <v>35</v>
      </c>
      <c r="H39" s="3">
        <v>21.5</v>
      </c>
      <c r="I39" s="3">
        <v>340</v>
      </c>
      <c r="J39" s="3">
        <v>47.58</v>
      </c>
      <c r="K39" s="3">
        <v>37.53</v>
      </c>
      <c r="L39" s="3">
        <v>9.4700000000000006</v>
      </c>
      <c r="M39" s="3">
        <v>9.06</v>
      </c>
      <c r="N39" s="3">
        <v>-0.39</v>
      </c>
      <c r="O39" s="3">
        <v>-0.31</v>
      </c>
      <c r="P39" s="4">
        <v>7.0000000000000007E-2</v>
      </c>
    </row>
    <row r="40" spans="1:16">
      <c r="A40" s="3" t="s">
        <v>97</v>
      </c>
      <c r="B40" s="2" t="s">
        <v>98</v>
      </c>
      <c r="C40" s="3" t="s">
        <v>53</v>
      </c>
      <c r="D40" s="3" t="s">
        <v>60</v>
      </c>
      <c r="E40" s="3">
        <v>1956</v>
      </c>
      <c r="F40" s="3">
        <v>942</v>
      </c>
      <c r="G40" s="3">
        <v>40</v>
      </c>
      <c r="H40" s="3">
        <v>26.5</v>
      </c>
      <c r="I40" s="3">
        <v>320</v>
      </c>
      <c r="J40" s="3">
        <v>46.4</v>
      </c>
      <c r="K40" s="3">
        <v>37.4</v>
      </c>
      <c r="L40" s="3">
        <v>9.0500000000000007</v>
      </c>
      <c r="M40" s="3">
        <v>8.56</v>
      </c>
      <c r="N40" s="3">
        <v>-0.4</v>
      </c>
      <c r="O40" s="3">
        <v>-0.31</v>
      </c>
      <c r="P40" s="4">
        <v>0.06</v>
      </c>
    </row>
    <row r="41" spans="1:16">
      <c r="A41" s="3" t="s">
        <v>99</v>
      </c>
      <c r="B41" s="2" t="s">
        <v>98</v>
      </c>
      <c r="C41" s="3" t="s">
        <v>53</v>
      </c>
      <c r="D41" s="3" t="s">
        <v>60</v>
      </c>
      <c r="E41" s="3">
        <v>1956</v>
      </c>
      <c r="F41" s="3">
        <v>942</v>
      </c>
      <c r="G41" s="3">
        <v>40</v>
      </c>
      <c r="H41" s="3">
        <v>26.5</v>
      </c>
      <c r="I41" s="3">
        <v>325</v>
      </c>
      <c r="J41" s="3">
        <v>46.7</v>
      </c>
      <c r="K41" s="3">
        <v>37.6</v>
      </c>
      <c r="L41" s="3">
        <v>9.1</v>
      </c>
      <c r="M41" s="3">
        <v>8.66</v>
      </c>
      <c r="N41" s="3">
        <v>-0.4</v>
      </c>
      <c r="O41" s="3">
        <v>-0.31</v>
      </c>
      <c r="P41" s="4">
        <v>0.06</v>
      </c>
    </row>
    <row r="42" spans="1:16">
      <c r="A42" s="3" t="s">
        <v>100</v>
      </c>
      <c r="B42" s="2" t="s">
        <v>98</v>
      </c>
      <c r="C42" s="3" t="s">
        <v>53</v>
      </c>
      <c r="D42" s="3" t="s">
        <v>60</v>
      </c>
      <c r="E42" s="3">
        <v>1956</v>
      </c>
      <c r="F42" s="3">
        <v>942</v>
      </c>
      <c r="G42" s="3">
        <v>40</v>
      </c>
      <c r="H42" s="3">
        <v>26.5</v>
      </c>
      <c r="I42" s="3">
        <v>330</v>
      </c>
      <c r="J42" s="3">
        <v>46.9</v>
      </c>
      <c r="K42" s="3">
        <v>37.799999999999997</v>
      </c>
      <c r="L42" s="3">
        <v>9.14</v>
      </c>
      <c r="M42" s="3">
        <v>8.74</v>
      </c>
      <c r="N42" s="3">
        <v>-0.4</v>
      </c>
      <c r="O42" s="3">
        <v>-0.31</v>
      </c>
      <c r="P42" s="4">
        <v>0.06</v>
      </c>
    </row>
    <row r="43" spans="1:16">
      <c r="A43" s="3" t="s">
        <v>101</v>
      </c>
      <c r="B43" s="2" t="s">
        <v>98</v>
      </c>
      <c r="C43" s="3" t="s">
        <v>53</v>
      </c>
      <c r="D43" s="3" t="s">
        <v>60</v>
      </c>
      <c r="E43" s="3">
        <v>1956</v>
      </c>
      <c r="F43" s="3">
        <v>942</v>
      </c>
      <c r="G43" s="3">
        <v>40</v>
      </c>
      <c r="H43" s="3">
        <v>26.5</v>
      </c>
      <c r="I43" s="3">
        <v>335</v>
      </c>
      <c r="J43" s="3">
        <v>47.2</v>
      </c>
      <c r="K43" s="3">
        <v>38</v>
      </c>
      <c r="L43" s="3">
        <v>9.18</v>
      </c>
      <c r="M43" s="3">
        <v>8.82</v>
      </c>
      <c r="N43" s="3">
        <v>-0.4</v>
      </c>
      <c r="O43" s="3">
        <v>-0.31</v>
      </c>
      <c r="P43" s="4">
        <v>0.06</v>
      </c>
    </row>
    <row r="44" spans="1:16">
      <c r="A44" s="3" t="s">
        <v>102</v>
      </c>
      <c r="B44" s="2" t="s">
        <v>98</v>
      </c>
      <c r="C44" s="3" t="s">
        <v>53</v>
      </c>
      <c r="D44" s="3" t="s">
        <v>60</v>
      </c>
      <c r="E44" s="3">
        <v>1956</v>
      </c>
      <c r="F44" s="3">
        <v>942</v>
      </c>
      <c r="G44" s="3">
        <v>40</v>
      </c>
      <c r="H44" s="3">
        <v>26.5</v>
      </c>
      <c r="I44" s="3">
        <v>340</v>
      </c>
      <c r="J44" s="3">
        <v>47.5</v>
      </c>
      <c r="K44" s="3">
        <v>38.200000000000003</v>
      </c>
      <c r="L44" s="3">
        <v>9.2200000000000006</v>
      </c>
      <c r="M44" s="3">
        <v>8.91</v>
      </c>
      <c r="N44" s="3">
        <v>-0.4</v>
      </c>
      <c r="O44" s="3">
        <v>-0.31</v>
      </c>
      <c r="P44" s="4">
        <v>0.06</v>
      </c>
    </row>
    <row r="45" spans="1:16">
      <c r="A45" s="3" t="s">
        <v>103</v>
      </c>
      <c r="B45" s="2" t="s">
        <v>83</v>
      </c>
      <c r="C45" s="3" t="s">
        <v>53</v>
      </c>
      <c r="D45" s="3" t="s">
        <v>60</v>
      </c>
      <c r="E45" s="3">
        <v>2010</v>
      </c>
      <c r="F45" s="3">
        <v>992</v>
      </c>
      <c r="G45" s="3">
        <v>40</v>
      </c>
      <c r="H45" s="3">
        <v>23</v>
      </c>
      <c r="I45" s="3">
        <v>330</v>
      </c>
      <c r="J45" s="3">
        <v>43</v>
      </c>
      <c r="K45" s="3">
        <v>34.5</v>
      </c>
      <c r="L45" s="3">
        <v>7.49</v>
      </c>
      <c r="M45" s="3">
        <v>7.13</v>
      </c>
      <c r="N45" s="3">
        <v>-0.39</v>
      </c>
      <c r="O45" s="3">
        <v>-0.32</v>
      </c>
      <c r="P45" s="4">
        <v>0.05</v>
      </c>
    </row>
    <row r="46" spans="1:16">
      <c r="A46" s="3" t="s">
        <v>104</v>
      </c>
      <c r="B46" s="2" t="s">
        <v>83</v>
      </c>
      <c r="C46" s="3" t="s">
        <v>53</v>
      </c>
      <c r="D46" s="3" t="s">
        <v>60</v>
      </c>
      <c r="E46" s="3">
        <v>2010</v>
      </c>
      <c r="F46" s="3">
        <v>992</v>
      </c>
      <c r="G46" s="3">
        <v>40</v>
      </c>
      <c r="H46" s="3">
        <v>23</v>
      </c>
      <c r="I46" s="3">
        <v>335</v>
      </c>
      <c r="J46" s="3">
        <v>43.3</v>
      </c>
      <c r="K46" s="3">
        <v>34.700000000000003</v>
      </c>
      <c r="L46" s="3">
        <v>7.53</v>
      </c>
      <c r="M46" s="3">
        <v>7.19</v>
      </c>
      <c r="N46" s="3">
        <v>-0.39</v>
      </c>
      <c r="O46" s="3">
        <v>-0.32</v>
      </c>
      <c r="P46" s="4">
        <v>0.05</v>
      </c>
    </row>
    <row r="47" spans="1:16">
      <c r="A47" s="3" t="s">
        <v>105</v>
      </c>
      <c r="B47" s="2" t="s">
        <v>83</v>
      </c>
      <c r="C47" s="3" t="s">
        <v>53</v>
      </c>
      <c r="D47" s="3" t="s">
        <v>60</v>
      </c>
      <c r="E47" s="3">
        <v>2010</v>
      </c>
      <c r="F47" s="3">
        <v>992</v>
      </c>
      <c r="G47" s="3">
        <v>40</v>
      </c>
      <c r="H47" s="3">
        <v>23</v>
      </c>
      <c r="I47" s="3">
        <v>340</v>
      </c>
      <c r="J47" s="3">
        <v>43.6</v>
      </c>
      <c r="K47" s="3">
        <v>34.9</v>
      </c>
      <c r="L47" s="3">
        <v>7.57</v>
      </c>
      <c r="M47" s="3">
        <v>7.26</v>
      </c>
      <c r="N47" s="3">
        <v>-0.39</v>
      </c>
      <c r="O47" s="3">
        <v>-0.32</v>
      </c>
      <c r="P47" s="4">
        <v>0.05</v>
      </c>
    </row>
    <row r="48" spans="1:16">
      <c r="A48" s="3" t="s">
        <v>106</v>
      </c>
      <c r="B48" s="2" t="s">
        <v>83</v>
      </c>
      <c r="C48" s="3" t="s">
        <v>53</v>
      </c>
      <c r="D48" s="3" t="s">
        <v>60</v>
      </c>
      <c r="E48" s="3">
        <v>2010</v>
      </c>
      <c r="F48" s="3">
        <v>992</v>
      </c>
      <c r="G48" s="3">
        <v>40</v>
      </c>
      <c r="H48" s="3">
        <v>23</v>
      </c>
      <c r="I48" s="3">
        <v>345</v>
      </c>
      <c r="J48" s="3">
        <v>43.9</v>
      </c>
      <c r="K48" s="3">
        <v>35.200000000000003</v>
      </c>
      <c r="L48" s="3">
        <v>7.61</v>
      </c>
      <c r="M48" s="3">
        <v>7.31</v>
      </c>
      <c r="N48" s="3">
        <v>-0.39</v>
      </c>
      <c r="O48" s="3">
        <v>-0.32</v>
      </c>
      <c r="P48" s="4">
        <v>0.05</v>
      </c>
    </row>
    <row r="49" spans="1:16">
      <c r="A49" s="3" t="s">
        <v>107</v>
      </c>
      <c r="B49" s="2" t="s">
        <v>52</v>
      </c>
      <c r="C49" s="3" t="s">
        <v>53</v>
      </c>
      <c r="D49" s="3" t="s">
        <v>60</v>
      </c>
      <c r="E49" s="3">
        <v>1954</v>
      </c>
      <c r="F49" s="3">
        <v>990</v>
      </c>
      <c r="G49" s="3">
        <v>40</v>
      </c>
      <c r="H49" s="3">
        <v>21.8</v>
      </c>
      <c r="I49" s="3">
        <v>330</v>
      </c>
      <c r="J49" s="3">
        <v>45.86</v>
      </c>
      <c r="K49" s="3">
        <v>37.15</v>
      </c>
      <c r="L49" s="3">
        <v>9.52</v>
      </c>
      <c r="M49" s="3">
        <v>8.89</v>
      </c>
      <c r="N49" s="3">
        <v>-0.40799999999999997</v>
      </c>
      <c r="O49" s="3">
        <v>-0.311</v>
      </c>
      <c r="P49" s="4">
        <v>0.05</v>
      </c>
    </row>
    <row r="50" spans="1:16">
      <c r="A50" s="3" t="s">
        <v>108</v>
      </c>
      <c r="B50" s="2" t="s">
        <v>52</v>
      </c>
      <c r="C50" s="3" t="s">
        <v>53</v>
      </c>
      <c r="D50" s="3" t="s">
        <v>60</v>
      </c>
      <c r="E50" s="3">
        <v>1954</v>
      </c>
      <c r="F50" s="3">
        <v>990</v>
      </c>
      <c r="G50" s="3">
        <v>40</v>
      </c>
      <c r="H50" s="3">
        <v>21.8</v>
      </c>
      <c r="I50" s="3">
        <v>335</v>
      </c>
      <c r="J50" s="3">
        <v>45.98</v>
      </c>
      <c r="K50" s="3">
        <v>37.26</v>
      </c>
      <c r="L50" s="3">
        <v>9.57</v>
      </c>
      <c r="M50" s="3">
        <v>9</v>
      </c>
      <c r="N50" s="3">
        <v>-0.40799999999999997</v>
      </c>
      <c r="O50" s="3">
        <v>-0.311</v>
      </c>
      <c r="P50" s="4">
        <v>0.05</v>
      </c>
    </row>
    <row r="51" spans="1:16">
      <c r="A51" s="3" t="s">
        <v>109</v>
      </c>
      <c r="B51" s="2" t="s">
        <v>52</v>
      </c>
      <c r="C51" s="3" t="s">
        <v>53</v>
      </c>
      <c r="D51" s="3" t="s">
        <v>60</v>
      </c>
      <c r="E51" s="3">
        <v>1954</v>
      </c>
      <c r="F51" s="3">
        <v>990</v>
      </c>
      <c r="G51" s="3">
        <v>40</v>
      </c>
      <c r="H51" s="3">
        <v>21.8</v>
      </c>
      <c r="I51" s="3">
        <v>340</v>
      </c>
      <c r="J51" s="3">
        <v>46.16</v>
      </c>
      <c r="K51" s="3">
        <v>37.33</v>
      </c>
      <c r="L51" s="3">
        <v>9.6199999999999992</v>
      </c>
      <c r="M51" s="3">
        <v>9.11</v>
      </c>
      <c r="N51" s="3">
        <v>-0.40799999999999997</v>
      </c>
      <c r="O51" s="3">
        <v>-0.311</v>
      </c>
      <c r="P51" s="4">
        <v>0.05</v>
      </c>
    </row>
    <row r="52" spans="1:16">
      <c r="A52" s="3" t="s">
        <v>110</v>
      </c>
      <c r="B52" s="2" t="s">
        <v>52</v>
      </c>
      <c r="C52" s="3" t="s">
        <v>53</v>
      </c>
      <c r="D52" s="3" t="s">
        <v>60</v>
      </c>
      <c r="E52" s="3">
        <v>1954</v>
      </c>
      <c r="F52" s="3">
        <v>990</v>
      </c>
      <c r="G52" s="3">
        <v>40</v>
      </c>
      <c r="H52" s="3">
        <v>21.8</v>
      </c>
      <c r="I52" s="3">
        <v>345</v>
      </c>
      <c r="J52" s="3">
        <v>46.37</v>
      </c>
      <c r="K52" s="3">
        <v>37.380000000000003</v>
      </c>
      <c r="L52" s="3">
        <v>9.67</v>
      </c>
      <c r="M52" s="3">
        <v>9.23</v>
      </c>
      <c r="N52" s="3">
        <v>-0.40799999999999997</v>
      </c>
      <c r="O52" s="3">
        <v>-0.311</v>
      </c>
      <c r="P52" s="4">
        <v>0.05</v>
      </c>
    </row>
    <row r="53" spans="1:16">
      <c r="A53" s="3" t="s">
        <v>111</v>
      </c>
      <c r="B53" s="2" t="s">
        <v>65</v>
      </c>
      <c r="C53" s="3" t="s">
        <v>53</v>
      </c>
      <c r="D53" s="3" t="s">
        <v>60</v>
      </c>
      <c r="E53" s="3">
        <v>2024</v>
      </c>
      <c r="F53" s="3">
        <v>1004</v>
      </c>
      <c r="G53" s="3">
        <v>35</v>
      </c>
      <c r="H53" s="3">
        <v>22.8</v>
      </c>
      <c r="I53" s="3">
        <v>340</v>
      </c>
      <c r="J53" s="3">
        <v>46.2</v>
      </c>
      <c r="K53" s="3">
        <v>37.5</v>
      </c>
      <c r="L53" s="3">
        <v>9.5299999999999994</v>
      </c>
      <c r="M53" s="3">
        <v>9.06</v>
      </c>
      <c r="N53" s="3">
        <v>-0.38</v>
      </c>
      <c r="O53" s="3">
        <v>-0.31</v>
      </c>
      <c r="P53" s="4">
        <v>0.05</v>
      </c>
    </row>
    <row r="54" spans="1:16">
      <c r="A54" s="3" t="s">
        <v>112</v>
      </c>
      <c r="B54" s="2" t="s">
        <v>65</v>
      </c>
      <c r="C54" s="3" t="s">
        <v>53</v>
      </c>
      <c r="D54" s="3" t="s">
        <v>60</v>
      </c>
      <c r="E54" s="3">
        <v>2024</v>
      </c>
      <c r="F54" s="3">
        <v>1004</v>
      </c>
      <c r="G54" s="3">
        <v>35</v>
      </c>
      <c r="H54" s="3">
        <v>22.8</v>
      </c>
      <c r="I54" s="3">
        <v>345</v>
      </c>
      <c r="J54" s="3">
        <v>46.4</v>
      </c>
      <c r="K54" s="3">
        <v>37.700000000000003</v>
      </c>
      <c r="L54" s="3">
        <v>9.6199999999999992</v>
      </c>
      <c r="M54" s="3">
        <v>9.15</v>
      </c>
      <c r="N54" s="3">
        <v>-0.38</v>
      </c>
      <c r="O54" s="3">
        <v>-0.31</v>
      </c>
      <c r="P54" s="4">
        <v>0.05</v>
      </c>
    </row>
    <row r="55" spans="1:16">
      <c r="A55" s="3" t="s">
        <v>113</v>
      </c>
      <c r="B55" s="2" t="s">
        <v>65</v>
      </c>
      <c r="C55" s="3" t="s">
        <v>53</v>
      </c>
      <c r="D55" s="3" t="s">
        <v>60</v>
      </c>
      <c r="E55" s="3">
        <v>2024</v>
      </c>
      <c r="F55" s="3">
        <v>1004</v>
      </c>
      <c r="G55" s="3">
        <v>35</v>
      </c>
      <c r="H55" s="3">
        <v>22.8</v>
      </c>
      <c r="I55" s="3">
        <v>350</v>
      </c>
      <c r="J55" s="3">
        <v>46.7</v>
      </c>
      <c r="K55" s="3">
        <v>37.9</v>
      </c>
      <c r="L55" s="3">
        <v>9.7100000000000009</v>
      </c>
      <c r="M55" s="3">
        <v>9.23</v>
      </c>
      <c r="N55" s="3">
        <v>-0.38</v>
      </c>
      <c r="O55" s="3">
        <v>-0.31</v>
      </c>
      <c r="P55" s="4">
        <v>0.05</v>
      </c>
    </row>
    <row r="56" spans="1:16">
      <c r="A56" s="3" t="s">
        <v>114</v>
      </c>
      <c r="B56" s="2" t="s">
        <v>65</v>
      </c>
      <c r="C56" s="3" t="s">
        <v>53</v>
      </c>
      <c r="D56" s="3" t="s">
        <v>60</v>
      </c>
      <c r="E56" s="3">
        <v>2024</v>
      </c>
      <c r="F56" s="3">
        <v>1004</v>
      </c>
      <c r="G56" s="3">
        <v>35</v>
      </c>
      <c r="H56" s="3">
        <v>22.8</v>
      </c>
      <c r="I56" s="3">
        <v>355</v>
      </c>
      <c r="J56" s="3">
        <v>47</v>
      </c>
      <c r="K56" s="3">
        <v>38.1</v>
      </c>
      <c r="L56" s="3">
        <v>9.81</v>
      </c>
      <c r="M56" s="3">
        <v>9.32</v>
      </c>
      <c r="N56" s="3">
        <v>-0.38</v>
      </c>
      <c r="O56" s="3">
        <v>-0.31</v>
      </c>
      <c r="P56" s="4">
        <v>0.05</v>
      </c>
    </row>
    <row r="57" spans="1:16">
      <c r="A57" s="3" t="s">
        <v>115</v>
      </c>
      <c r="B57" s="2" t="s">
        <v>65</v>
      </c>
      <c r="C57" s="3" t="s">
        <v>53</v>
      </c>
      <c r="D57" s="3" t="s">
        <v>54</v>
      </c>
      <c r="E57" s="3">
        <v>2024</v>
      </c>
      <c r="F57" s="3">
        <v>1004</v>
      </c>
      <c r="G57" s="3">
        <v>35</v>
      </c>
      <c r="H57" s="3">
        <v>22.8</v>
      </c>
      <c r="I57" s="3">
        <v>390</v>
      </c>
      <c r="J57" s="3">
        <v>48.8</v>
      </c>
      <c r="K57" s="3">
        <v>40</v>
      </c>
      <c r="L57" s="3">
        <v>10.3</v>
      </c>
      <c r="M57" s="3">
        <v>9.75</v>
      </c>
      <c r="N57" s="3">
        <v>-0.37</v>
      </c>
      <c r="O57" s="3">
        <v>-0.28999999999999998</v>
      </c>
      <c r="P57" s="4">
        <v>0.05</v>
      </c>
    </row>
    <row r="58" spans="1:16">
      <c r="A58" s="3" t="s">
        <v>116</v>
      </c>
      <c r="B58" s="2" t="s">
        <v>65</v>
      </c>
      <c r="C58" s="3" t="s">
        <v>53</v>
      </c>
      <c r="D58" s="3" t="s">
        <v>54</v>
      </c>
      <c r="E58" s="3">
        <v>2024</v>
      </c>
      <c r="F58" s="3">
        <v>1004</v>
      </c>
      <c r="G58" s="3">
        <v>35</v>
      </c>
      <c r="H58" s="3">
        <v>22.8</v>
      </c>
      <c r="I58" s="3">
        <v>395</v>
      </c>
      <c r="J58" s="3">
        <v>48.7</v>
      </c>
      <c r="K58" s="3">
        <v>40.1</v>
      </c>
      <c r="L58" s="3">
        <v>10.37</v>
      </c>
      <c r="M58" s="3">
        <v>9.86</v>
      </c>
      <c r="N58" s="3">
        <v>-0.37</v>
      </c>
      <c r="O58" s="3">
        <v>-0.28999999999999998</v>
      </c>
      <c r="P58" s="4">
        <v>0.05</v>
      </c>
    </row>
    <row r="59" spans="1:16">
      <c r="A59" s="3" t="s">
        <v>117</v>
      </c>
      <c r="B59" s="2" t="s">
        <v>65</v>
      </c>
      <c r="C59" s="3" t="s">
        <v>53</v>
      </c>
      <c r="D59" s="3" t="s">
        <v>54</v>
      </c>
      <c r="E59" s="3">
        <v>2024</v>
      </c>
      <c r="F59" s="3">
        <v>1004</v>
      </c>
      <c r="G59" s="3">
        <v>35</v>
      </c>
      <c r="H59" s="3">
        <v>22.8</v>
      </c>
      <c r="I59" s="3">
        <v>400</v>
      </c>
      <c r="J59" s="3">
        <v>49</v>
      </c>
      <c r="K59" s="3">
        <v>40.299999999999997</v>
      </c>
      <c r="L59" s="3">
        <v>10.45</v>
      </c>
      <c r="M59" s="3">
        <v>9.92</v>
      </c>
      <c r="N59" s="3">
        <v>-0.37</v>
      </c>
      <c r="O59" s="3">
        <v>-0.28999999999999998</v>
      </c>
      <c r="P59" s="4">
        <v>0.05</v>
      </c>
    </row>
    <row r="60" spans="1:16">
      <c r="A60" s="3" t="s">
        <v>118</v>
      </c>
      <c r="B60" s="2" t="s">
        <v>65</v>
      </c>
      <c r="C60" s="3" t="s">
        <v>53</v>
      </c>
      <c r="D60" s="3" t="s">
        <v>54</v>
      </c>
      <c r="E60" s="3">
        <v>2024</v>
      </c>
      <c r="F60" s="3">
        <v>1004</v>
      </c>
      <c r="G60" s="3">
        <v>35</v>
      </c>
      <c r="H60" s="3">
        <v>22.8</v>
      </c>
      <c r="I60" s="3">
        <v>405</v>
      </c>
      <c r="J60" s="3">
        <v>49.2</v>
      </c>
      <c r="K60" s="3">
        <v>40.5</v>
      </c>
      <c r="L60" s="3">
        <v>10.52</v>
      </c>
      <c r="M60" s="3">
        <v>10</v>
      </c>
      <c r="N60" s="3">
        <v>-0.37</v>
      </c>
      <c r="O60" s="3">
        <v>-0.28999999999999998</v>
      </c>
      <c r="P60" s="4">
        <v>0.05</v>
      </c>
    </row>
    <row r="61" spans="1:16">
      <c r="A61" s="3" t="s">
        <v>119</v>
      </c>
      <c r="B61" s="2" t="s">
        <v>65</v>
      </c>
      <c r="C61" s="3" t="s">
        <v>53</v>
      </c>
      <c r="D61" s="3" t="s">
        <v>54</v>
      </c>
      <c r="E61" s="3">
        <v>2024</v>
      </c>
      <c r="F61" s="3">
        <v>1004</v>
      </c>
      <c r="G61" s="3">
        <v>35</v>
      </c>
      <c r="H61" s="3">
        <v>22.8</v>
      </c>
      <c r="I61" s="3">
        <v>410</v>
      </c>
      <c r="J61" s="3">
        <v>49.4</v>
      </c>
      <c r="K61" s="3">
        <v>40.700000000000003</v>
      </c>
      <c r="L61" s="3">
        <v>10.59</v>
      </c>
      <c r="M61" s="3">
        <v>10.07</v>
      </c>
      <c r="N61" s="3">
        <v>-0.37</v>
      </c>
      <c r="O61" s="3">
        <v>-0.28999999999999998</v>
      </c>
      <c r="P61" s="4">
        <v>0.05</v>
      </c>
    </row>
    <row r="62" spans="1:16">
      <c r="A62" s="3" t="s">
        <v>120</v>
      </c>
      <c r="B62" s="2" t="s">
        <v>65</v>
      </c>
      <c r="C62" s="3" t="s">
        <v>53</v>
      </c>
      <c r="D62" s="3" t="s">
        <v>54</v>
      </c>
      <c r="E62" s="3">
        <v>2024</v>
      </c>
      <c r="F62" s="3">
        <v>1004</v>
      </c>
      <c r="G62" s="3">
        <v>35</v>
      </c>
      <c r="H62" s="3">
        <v>22.8</v>
      </c>
      <c r="I62" s="3">
        <v>415</v>
      </c>
      <c r="J62" s="3">
        <v>49.6</v>
      </c>
      <c r="K62" s="3">
        <v>40.9</v>
      </c>
      <c r="L62" s="3">
        <v>10.66</v>
      </c>
      <c r="M62" s="3">
        <v>10.15</v>
      </c>
      <c r="N62" s="3">
        <v>-0.37</v>
      </c>
      <c r="O62" s="3">
        <v>-0.28999999999999998</v>
      </c>
      <c r="P62" s="4">
        <v>0.05</v>
      </c>
    </row>
    <row r="63" spans="1:16">
      <c r="A63" s="3" t="s">
        <v>121</v>
      </c>
      <c r="B63" s="2" t="s">
        <v>59</v>
      </c>
      <c r="C63" s="3" t="s">
        <v>76</v>
      </c>
      <c r="D63" s="3" t="s">
        <v>54</v>
      </c>
      <c r="E63" s="3">
        <v>2256</v>
      </c>
      <c r="F63" s="3">
        <v>1133</v>
      </c>
      <c r="G63" s="3">
        <v>35</v>
      </c>
      <c r="H63" s="3">
        <v>29</v>
      </c>
      <c r="I63" s="3">
        <v>520</v>
      </c>
      <c r="J63" s="3">
        <v>48.52</v>
      </c>
      <c r="K63" s="3">
        <v>41.17</v>
      </c>
      <c r="L63" s="3">
        <v>13.37</v>
      </c>
      <c r="M63" s="3">
        <v>12.64</v>
      </c>
      <c r="N63" s="3">
        <v>-0.39</v>
      </c>
      <c r="O63" s="3">
        <v>-0.3</v>
      </c>
      <c r="P63" s="4">
        <v>0.06</v>
      </c>
    </row>
    <row r="64" spans="1:16">
      <c r="A64" s="3" t="s">
        <v>122</v>
      </c>
      <c r="B64" s="2" t="s">
        <v>59</v>
      </c>
      <c r="C64" s="3" t="s">
        <v>76</v>
      </c>
      <c r="D64" s="3" t="s">
        <v>54</v>
      </c>
      <c r="E64" s="3">
        <v>2256</v>
      </c>
      <c r="F64" s="3">
        <v>1133</v>
      </c>
      <c r="G64" s="3">
        <v>35</v>
      </c>
      <c r="H64" s="3">
        <v>29</v>
      </c>
      <c r="I64" s="3">
        <v>525</v>
      </c>
      <c r="J64" s="3">
        <v>48.82</v>
      </c>
      <c r="K64" s="3">
        <v>41.39</v>
      </c>
      <c r="L64" s="3">
        <v>13.41</v>
      </c>
      <c r="M64" s="3">
        <v>12.69</v>
      </c>
      <c r="N64" s="3">
        <v>-0.39</v>
      </c>
      <c r="O64" s="3">
        <v>-0.3</v>
      </c>
      <c r="P64" s="4">
        <v>0.06</v>
      </c>
    </row>
    <row r="65" spans="1:16">
      <c r="A65" s="3" t="s">
        <v>123</v>
      </c>
      <c r="B65" s="2" t="s">
        <v>59</v>
      </c>
      <c r="C65" s="3" t="s">
        <v>76</v>
      </c>
      <c r="D65" s="3" t="s">
        <v>54</v>
      </c>
      <c r="E65" s="3">
        <v>2256</v>
      </c>
      <c r="F65" s="3">
        <v>1133</v>
      </c>
      <c r="G65" s="3">
        <v>35</v>
      </c>
      <c r="H65" s="3">
        <v>29</v>
      </c>
      <c r="I65" s="3">
        <v>530</v>
      </c>
      <c r="J65" s="3">
        <v>49.12</v>
      </c>
      <c r="K65" s="3">
        <v>41.61</v>
      </c>
      <c r="L65" s="3">
        <v>13.45</v>
      </c>
      <c r="M65" s="3">
        <v>12.74</v>
      </c>
      <c r="N65" s="3">
        <v>-0.39</v>
      </c>
      <c r="O65" s="3">
        <v>-0.3</v>
      </c>
      <c r="P65" s="4">
        <v>0.06</v>
      </c>
    </row>
    <row r="66" spans="1:16">
      <c r="A66" s="3" t="s">
        <v>124</v>
      </c>
      <c r="B66" s="2" t="s">
        <v>59</v>
      </c>
      <c r="C66" s="3" t="s">
        <v>76</v>
      </c>
      <c r="D66" s="3" t="s">
        <v>54</v>
      </c>
      <c r="E66" s="3">
        <v>2256</v>
      </c>
      <c r="F66" s="3">
        <v>1133</v>
      </c>
      <c r="G66" s="3">
        <v>35</v>
      </c>
      <c r="H66" s="3">
        <v>29</v>
      </c>
      <c r="I66" s="3">
        <v>535</v>
      </c>
      <c r="J66" s="3">
        <v>49.42</v>
      </c>
      <c r="K66" s="3">
        <v>41.83</v>
      </c>
      <c r="L66" s="3">
        <v>13.49</v>
      </c>
      <c r="M66" s="3">
        <v>12.79</v>
      </c>
      <c r="N66" s="3">
        <v>-0.39</v>
      </c>
      <c r="O66" s="3">
        <v>-0.3</v>
      </c>
      <c r="P66" s="4">
        <v>0.06</v>
      </c>
    </row>
    <row r="67" spans="1:16">
      <c r="A67" s="3" t="s">
        <v>125</v>
      </c>
      <c r="B67" s="2" t="s">
        <v>59</v>
      </c>
      <c r="C67" s="3" t="s">
        <v>76</v>
      </c>
      <c r="D67" s="3" t="s">
        <v>54</v>
      </c>
      <c r="E67" s="3">
        <v>2256</v>
      </c>
      <c r="F67" s="3">
        <v>1133</v>
      </c>
      <c r="G67" s="3">
        <v>35</v>
      </c>
      <c r="H67" s="3">
        <v>29</v>
      </c>
      <c r="I67" s="3">
        <v>540</v>
      </c>
      <c r="J67" s="3">
        <v>49.72</v>
      </c>
      <c r="K67" s="3">
        <v>42.05</v>
      </c>
      <c r="L67" s="3">
        <v>13.53</v>
      </c>
      <c r="M67" s="3">
        <v>12.84</v>
      </c>
      <c r="N67" s="3">
        <v>-0.39</v>
      </c>
      <c r="O67" s="3">
        <v>-0.3</v>
      </c>
      <c r="P67" s="4">
        <v>0.06</v>
      </c>
    </row>
    <row r="68" spans="1:16">
      <c r="A68" s="3" t="s">
        <v>126</v>
      </c>
      <c r="B68" s="2" t="s">
        <v>83</v>
      </c>
      <c r="C68" s="3" t="s">
        <v>53</v>
      </c>
      <c r="D68" s="3" t="s">
        <v>54</v>
      </c>
      <c r="E68" s="3">
        <v>2108</v>
      </c>
      <c r="F68" s="3">
        <v>1048</v>
      </c>
      <c r="G68" s="3">
        <v>40</v>
      </c>
      <c r="H68" s="3">
        <v>25</v>
      </c>
      <c r="I68" s="3">
        <v>430</v>
      </c>
      <c r="J68" s="3">
        <v>49.3</v>
      </c>
      <c r="K68" s="3">
        <v>40.97</v>
      </c>
      <c r="L68" s="3">
        <v>11.1</v>
      </c>
      <c r="M68" s="3">
        <v>10.5</v>
      </c>
      <c r="N68" s="3">
        <v>-0.37</v>
      </c>
      <c r="O68" s="3">
        <v>-0.28999999999999998</v>
      </c>
      <c r="P68" s="4">
        <v>0.05</v>
      </c>
    </row>
    <row r="69" spans="1:16">
      <c r="A69" s="3" t="s">
        <v>127</v>
      </c>
      <c r="B69" s="2" t="s">
        <v>83</v>
      </c>
      <c r="C69" s="3" t="s">
        <v>53</v>
      </c>
      <c r="D69" s="3" t="s">
        <v>54</v>
      </c>
      <c r="E69" s="3">
        <v>2108</v>
      </c>
      <c r="F69" s="3">
        <v>1048</v>
      </c>
      <c r="G69" s="3">
        <v>40</v>
      </c>
      <c r="H69" s="3">
        <v>25</v>
      </c>
      <c r="I69" s="3">
        <v>435</v>
      </c>
      <c r="J69" s="3">
        <v>49.4</v>
      </c>
      <c r="K69" s="3">
        <v>41.05</v>
      </c>
      <c r="L69" s="3">
        <v>11.2</v>
      </c>
      <c r="M69" s="3">
        <v>10.6</v>
      </c>
      <c r="N69" s="3">
        <v>-0.37</v>
      </c>
      <c r="O69" s="3">
        <v>-0.28999999999999998</v>
      </c>
      <c r="P69" s="4">
        <v>0.05</v>
      </c>
    </row>
    <row r="70" spans="1:16">
      <c r="A70" s="3" t="s">
        <v>128</v>
      </c>
      <c r="B70" s="2" t="s">
        <v>83</v>
      </c>
      <c r="C70" s="3" t="s">
        <v>53</v>
      </c>
      <c r="D70" s="3" t="s">
        <v>54</v>
      </c>
      <c r="E70" s="3">
        <v>2108</v>
      </c>
      <c r="F70" s="3">
        <v>1048</v>
      </c>
      <c r="G70" s="3">
        <v>40</v>
      </c>
      <c r="H70" s="3">
        <v>25</v>
      </c>
      <c r="I70" s="3">
        <v>440</v>
      </c>
      <c r="J70" s="3">
        <v>49.5</v>
      </c>
      <c r="K70" s="3">
        <v>41.13</v>
      </c>
      <c r="L70" s="3">
        <v>11.3</v>
      </c>
      <c r="M70" s="3">
        <v>10.7</v>
      </c>
      <c r="N70" s="3">
        <v>-0.37</v>
      </c>
      <c r="O70" s="3">
        <v>-0.28999999999999998</v>
      </c>
      <c r="P70" s="4">
        <v>0.05</v>
      </c>
    </row>
    <row r="71" spans="1:16">
      <c r="A71" s="3" t="s">
        <v>129</v>
      </c>
      <c r="B71" s="2" t="s">
        <v>83</v>
      </c>
      <c r="C71" s="3" t="s">
        <v>53</v>
      </c>
      <c r="D71" s="3" t="s">
        <v>54</v>
      </c>
      <c r="E71" s="3">
        <v>2108</v>
      </c>
      <c r="F71" s="3">
        <v>1048</v>
      </c>
      <c r="G71" s="3">
        <v>40</v>
      </c>
      <c r="H71" s="3">
        <v>25</v>
      </c>
      <c r="I71" s="3">
        <v>445</v>
      </c>
      <c r="J71" s="3">
        <v>49.6</v>
      </c>
      <c r="K71" s="3">
        <v>41.25</v>
      </c>
      <c r="L71" s="3">
        <v>11.4</v>
      </c>
      <c r="M71" s="3">
        <v>10.8</v>
      </c>
      <c r="N71" s="3">
        <v>-0.37</v>
      </c>
      <c r="O71" s="3">
        <v>-0.28999999999999998</v>
      </c>
      <c r="P71" s="4">
        <v>0.05</v>
      </c>
    </row>
    <row r="72" spans="1:16">
      <c r="A72" s="3" t="s">
        <v>130</v>
      </c>
      <c r="B72" s="2" t="s">
        <v>83</v>
      </c>
      <c r="C72" s="3" t="s">
        <v>53</v>
      </c>
      <c r="D72" s="3" t="s">
        <v>54</v>
      </c>
      <c r="E72" s="3">
        <v>2108</v>
      </c>
      <c r="F72" s="3">
        <v>1048</v>
      </c>
      <c r="G72" s="3">
        <v>40</v>
      </c>
      <c r="H72" s="3">
        <v>25</v>
      </c>
      <c r="I72" s="3">
        <v>450</v>
      </c>
      <c r="J72" s="3">
        <v>49.7</v>
      </c>
      <c r="K72" s="3">
        <v>41.3</v>
      </c>
      <c r="L72" s="3">
        <v>11.5</v>
      </c>
      <c r="M72" s="3">
        <v>10.9</v>
      </c>
      <c r="N72" s="3">
        <v>-0.37</v>
      </c>
      <c r="O72" s="3">
        <v>-0.28999999999999998</v>
      </c>
      <c r="P72" s="4">
        <v>0.05</v>
      </c>
    </row>
    <row r="73" spans="1:16">
      <c r="A73" s="3" t="s">
        <v>131</v>
      </c>
      <c r="B73" s="2" t="s">
        <v>83</v>
      </c>
      <c r="C73" s="3" t="s">
        <v>53</v>
      </c>
      <c r="D73" s="3" t="s">
        <v>54</v>
      </c>
      <c r="E73" s="3">
        <v>2178</v>
      </c>
      <c r="F73" s="3">
        <v>996</v>
      </c>
      <c r="G73" s="3">
        <v>40</v>
      </c>
      <c r="H73" s="3">
        <v>25.5</v>
      </c>
      <c r="I73" s="3">
        <v>425</v>
      </c>
      <c r="J73" s="3">
        <v>52.23</v>
      </c>
      <c r="K73" s="3">
        <v>43.5</v>
      </c>
      <c r="L73" s="3">
        <v>10.38</v>
      </c>
      <c r="M73" s="3">
        <v>9.7799999999999994</v>
      </c>
      <c r="N73" s="3">
        <v>-0.37</v>
      </c>
      <c r="O73" s="3">
        <v>-0.28999999999999998</v>
      </c>
      <c r="P73" s="4">
        <v>0.05</v>
      </c>
    </row>
    <row r="74" spans="1:16">
      <c r="A74" s="3" t="s">
        <v>132</v>
      </c>
      <c r="B74" s="2" t="s">
        <v>83</v>
      </c>
      <c r="C74" s="3" t="s">
        <v>53</v>
      </c>
      <c r="D74" s="3" t="s">
        <v>54</v>
      </c>
      <c r="E74" s="3">
        <v>2178</v>
      </c>
      <c r="F74" s="3">
        <v>996</v>
      </c>
      <c r="G74" s="3">
        <v>40</v>
      </c>
      <c r="H74" s="3">
        <v>25.5</v>
      </c>
      <c r="I74" s="3">
        <v>430</v>
      </c>
      <c r="J74" s="3">
        <v>52.38</v>
      </c>
      <c r="K74" s="3">
        <v>43.6</v>
      </c>
      <c r="L74" s="3">
        <v>10.47</v>
      </c>
      <c r="M74" s="3">
        <v>9.8699999999999992</v>
      </c>
      <c r="N74" s="3">
        <v>-0.37</v>
      </c>
      <c r="O74" s="3">
        <v>-0.28999999999999998</v>
      </c>
      <c r="P74" s="4">
        <v>0.05</v>
      </c>
    </row>
    <row r="75" spans="1:16">
      <c r="A75" s="3" t="s">
        <v>133</v>
      </c>
      <c r="B75" s="2" t="s">
        <v>83</v>
      </c>
      <c r="C75" s="3" t="s">
        <v>53</v>
      </c>
      <c r="D75" s="3" t="s">
        <v>54</v>
      </c>
      <c r="E75" s="3">
        <v>2178</v>
      </c>
      <c r="F75" s="3">
        <v>996</v>
      </c>
      <c r="G75" s="3">
        <v>40</v>
      </c>
      <c r="H75" s="3">
        <v>25.5</v>
      </c>
      <c r="I75" s="3">
        <v>435</v>
      </c>
      <c r="J75" s="3">
        <v>52.5</v>
      </c>
      <c r="K75" s="3">
        <v>43.7</v>
      </c>
      <c r="L75" s="3">
        <v>10.57</v>
      </c>
      <c r="M75" s="3">
        <v>9.9700000000000006</v>
      </c>
      <c r="N75" s="3">
        <v>-0.37</v>
      </c>
      <c r="O75" s="3">
        <v>-0.28999999999999998</v>
      </c>
      <c r="P75" s="4">
        <v>0.05</v>
      </c>
    </row>
    <row r="76" spans="1:16">
      <c r="A76" s="3" t="s">
        <v>134</v>
      </c>
      <c r="B76" s="2" t="s">
        <v>83</v>
      </c>
      <c r="C76" s="3" t="s">
        <v>53</v>
      </c>
      <c r="D76" s="3" t="s">
        <v>54</v>
      </c>
      <c r="E76" s="3">
        <v>2178</v>
      </c>
      <c r="F76" s="3">
        <v>996</v>
      </c>
      <c r="G76" s="3">
        <v>40</v>
      </c>
      <c r="H76" s="3">
        <v>25.5</v>
      </c>
      <c r="I76" s="3">
        <v>440</v>
      </c>
      <c r="J76" s="3">
        <v>52.62</v>
      </c>
      <c r="K76" s="3">
        <v>43.8</v>
      </c>
      <c r="L76" s="3">
        <v>10.67</v>
      </c>
      <c r="M76" s="3">
        <v>10.06</v>
      </c>
      <c r="N76" s="3">
        <v>-0.37</v>
      </c>
      <c r="O76" s="3">
        <v>-0.28999999999999998</v>
      </c>
      <c r="P76" s="4">
        <v>0.05</v>
      </c>
    </row>
    <row r="77" spans="1:16">
      <c r="A77" s="3" t="s">
        <v>135</v>
      </c>
      <c r="B77" s="2" t="s">
        <v>83</v>
      </c>
      <c r="C77" s="3" t="s">
        <v>53</v>
      </c>
      <c r="D77" s="3" t="s">
        <v>54</v>
      </c>
      <c r="E77" s="3">
        <v>2178</v>
      </c>
      <c r="F77" s="3">
        <v>996</v>
      </c>
      <c r="G77" s="3">
        <v>40</v>
      </c>
      <c r="H77" s="3">
        <v>25.5</v>
      </c>
      <c r="I77" s="3">
        <v>445</v>
      </c>
      <c r="J77" s="3">
        <v>52.7</v>
      </c>
      <c r="K77" s="3">
        <v>43.9</v>
      </c>
      <c r="L77" s="3">
        <v>10.77</v>
      </c>
      <c r="M77" s="3">
        <v>10.15</v>
      </c>
      <c r="N77" s="3">
        <v>-0.37</v>
      </c>
      <c r="O77" s="3">
        <v>-0.28999999999999998</v>
      </c>
      <c r="P77" s="4">
        <v>0.05</v>
      </c>
    </row>
    <row r="78" spans="1:16">
      <c r="A78" s="3" t="s">
        <v>136</v>
      </c>
      <c r="B78" s="2" t="s">
        <v>137</v>
      </c>
      <c r="C78" s="3" t="s">
        <v>53</v>
      </c>
      <c r="D78" s="3" t="s">
        <v>54</v>
      </c>
      <c r="E78" s="3">
        <v>2279</v>
      </c>
      <c r="F78" s="3">
        <v>1134</v>
      </c>
      <c r="G78" s="3">
        <v>35</v>
      </c>
      <c r="H78" s="3">
        <v>27.6</v>
      </c>
      <c r="I78" s="3">
        <v>535</v>
      </c>
      <c r="J78" s="3">
        <v>49.34</v>
      </c>
      <c r="K78" s="3">
        <v>40.659999999999997</v>
      </c>
      <c r="L78" s="3">
        <v>13.79</v>
      </c>
      <c r="M78" s="3">
        <v>13.16</v>
      </c>
      <c r="N78" s="3">
        <v>-0.35</v>
      </c>
      <c r="O78" s="3">
        <v>-0.27</v>
      </c>
      <c r="P78" s="4">
        <v>4.8000000000000001E-2</v>
      </c>
    </row>
    <row r="79" spans="1:16">
      <c r="A79" s="3" t="s">
        <v>138</v>
      </c>
      <c r="B79" s="2" t="s">
        <v>137</v>
      </c>
      <c r="C79" s="3" t="s">
        <v>53</v>
      </c>
      <c r="D79" s="3" t="s">
        <v>54</v>
      </c>
      <c r="E79" s="3">
        <v>2279</v>
      </c>
      <c r="F79" s="3">
        <v>1134</v>
      </c>
      <c r="G79" s="3">
        <v>35</v>
      </c>
      <c r="H79" s="3">
        <v>27.6</v>
      </c>
      <c r="I79" s="3">
        <v>540</v>
      </c>
      <c r="J79" s="3">
        <v>49.42</v>
      </c>
      <c r="K79" s="3">
        <v>40.71</v>
      </c>
      <c r="L79" s="3">
        <v>13.85</v>
      </c>
      <c r="M79" s="3">
        <v>13.27</v>
      </c>
      <c r="N79" s="3">
        <v>-0.35</v>
      </c>
      <c r="O79" s="3">
        <v>-0.27</v>
      </c>
      <c r="P79" s="4">
        <v>4.8000000000000001E-2</v>
      </c>
    </row>
    <row r="80" spans="1:16">
      <c r="A80" s="3" t="s">
        <v>139</v>
      </c>
      <c r="B80" s="2" t="s">
        <v>137</v>
      </c>
      <c r="C80" s="3" t="s">
        <v>53</v>
      </c>
      <c r="D80" s="3" t="s">
        <v>54</v>
      </c>
      <c r="E80" s="3">
        <v>2279</v>
      </c>
      <c r="F80" s="3">
        <v>1134</v>
      </c>
      <c r="G80" s="3">
        <v>35</v>
      </c>
      <c r="H80" s="3">
        <v>27.6</v>
      </c>
      <c r="I80" s="3">
        <v>545</v>
      </c>
      <c r="J80" s="3">
        <v>49.51</v>
      </c>
      <c r="K80" s="3">
        <v>40.76</v>
      </c>
      <c r="L80" s="3">
        <v>13.94</v>
      </c>
      <c r="M80" s="3">
        <v>13.38</v>
      </c>
      <c r="N80" s="3">
        <v>-0.35</v>
      </c>
      <c r="O80" s="3">
        <v>-0.27</v>
      </c>
      <c r="P80" s="4">
        <v>4.8000000000000001E-2</v>
      </c>
    </row>
    <row r="81" spans="1:16">
      <c r="A81" s="3" t="s">
        <v>140</v>
      </c>
      <c r="B81" s="2" t="s">
        <v>137</v>
      </c>
      <c r="C81" s="3" t="s">
        <v>53</v>
      </c>
      <c r="D81" s="3" t="s">
        <v>54</v>
      </c>
      <c r="E81" s="3">
        <v>2279</v>
      </c>
      <c r="F81" s="3">
        <v>1134</v>
      </c>
      <c r="G81" s="3">
        <v>35</v>
      </c>
      <c r="H81" s="3">
        <v>27.6</v>
      </c>
      <c r="I81" s="3">
        <v>550</v>
      </c>
      <c r="J81" s="3">
        <v>49.6</v>
      </c>
      <c r="K81" s="3">
        <v>40.83</v>
      </c>
      <c r="L81" s="3">
        <v>14.04</v>
      </c>
      <c r="M81" s="3">
        <v>13.48</v>
      </c>
      <c r="N81" s="3">
        <v>-0.35</v>
      </c>
      <c r="O81" s="3">
        <v>-0.27</v>
      </c>
      <c r="P81" s="4">
        <v>4.8000000000000001E-2</v>
      </c>
    </row>
    <row r="82" spans="1:16">
      <c r="A82" s="3" t="s">
        <v>141</v>
      </c>
      <c r="B82" s="2" t="s">
        <v>65</v>
      </c>
      <c r="C82" s="3" t="s">
        <v>53</v>
      </c>
      <c r="D82" s="3" t="s">
        <v>54</v>
      </c>
      <c r="E82" s="3">
        <v>2102</v>
      </c>
      <c r="F82" s="3">
        <v>1040</v>
      </c>
      <c r="G82" s="3">
        <v>35</v>
      </c>
      <c r="H82" s="3">
        <v>24</v>
      </c>
      <c r="I82" s="3">
        <v>430</v>
      </c>
      <c r="J82" s="3">
        <v>46</v>
      </c>
      <c r="K82" s="3">
        <v>38</v>
      </c>
      <c r="L82" s="3">
        <v>9.0299999999999994</v>
      </c>
      <c r="M82" s="3">
        <v>8.56</v>
      </c>
      <c r="N82" s="3">
        <v>-0.36</v>
      </c>
      <c r="O82" s="3">
        <v>-0.26</v>
      </c>
      <c r="P82" s="4">
        <v>0.04</v>
      </c>
    </row>
    <row r="83" spans="1:16">
      <c r="A83" s="3" t="s">
        <v>142</v>
      </c>
      <c r="B83" s="2" t="s">
        <v>65</v>
      </c>
      <c r="C83" s="3" t="s">
        <v>53</v>
      </c>
      <c r="D83" s="3" t="s">
        <v>54</v>
      </c>
      <c r="E83" s="3">
        <v>2102</v>
      </c>
      <c r="F83" s="3">
        <v>1040</v>
      </c>
      <c r="G83" s="3">
        <v>35</v>
      </c>
      <c r="H83" s="3">
        <v>24</v>
      </c>
      <c r="I83" s="3">
        <v>435</v>
      </c>
      <c r="J83" s="3">
        <v>46.3</v>
      </c>
      <c r="K83" s="3">
        <v>38.200000000000003</v>
      </c>
      <c r="L83" s="3">
        <v>9.11</v>
      </c>
      <c r="M83" s="3">
        <v>8.61</v>
      </c>
      <c r="N83" s="3">
        <v>-0.36</v>
      </c>
      <c r="O83" s="3">
        <v>-0.26</v>
      </c>
      <c r="P83" s="4">
        <v>0.04</v>
      </c>
    </row>
    <row r="84" spans="1:16">
      <c r="A84" s="3" t="s">
        <v>143</v>
      </c>
      <c r="B84" s="2" t="s">
        <v>65</v>
      </c>
      <c r="C84" s="3" t="s">
        <v>53</v>
      </c>
      <c r="D84" s="3" t="s">
        <v>54</v>
      </c>
      <c r="E84" s="3">
        <v>2102</v>
      </c>
      <c r="F84" s="3">
        <v>1040</v>
      </c>
      <c r="G84" s="3">
        <v>35</v>
      </c>
      <c r="H84" s="3">
        <v>24</v>
      </c>
      <c r="I84" s="3">
        <v>440</v>
      </c>
      <c r="J84" s="3">
        <v>46.4</v>
      </c>
      <c r="K84" s="3">
        <v>38.4</v>
      </c>
      <c r="L84" s="3">
        <v>9.17</v>
      </c>
      <c r="M84" s="3">
        <v>8.68</v>
      </c>
      <c r="N84" s="3">
        <v>-0.36</v>
      </c>
      <c r="O84" s="3">
        <v>-0.26</v>
      </c>
      <c r="P84" s="4">
        <v>0.04</v>
      </c>
    </row>
    <row r="85" spans="1:16">
      <c r="A85" s="3" t="s">
        <v>144</v>
      </c>
      <c r="B85" s="2" t="s">
        <v>65</v>
      </c>
      <c r="C85" s="3" t="s">
        <v>53</v>
      </c>
      <c r="D85" s="3" t="s">
        <v>54</v>
      </c>
      <c r="E85" s="3">
        <v>2102</v>
      </c>
      <c r="F85" s="3">
        <v>1040</v>
      </c>
      <c r="G85" s="3">
        <v>35</v>
      </c>
      <c r="H85" s="3">
        <v>24</v>
      </c>
      <c r="I85" s="3">
        <v>445</v>
      </c>
      <c r="J85" s="3">
        <v>46.6</v>
      </c>
      <c r="K85" s="3">
        <v>38.5</v>
      </c>
      <c r="L85" s="3">
        <v>9.23</v>
      </c>
      <c r="M85" s="3">
        <v>8.73</v>
      </c>
      <c r="N85" s="3">
        <v>-0.36</v>
      </c>
      <c r="O85" s="3">
        <v>-0.26</v>
      </c>
      <c r="P85" s="4">
        <v>0.04</v>
      </c>
    </row>
    <row r="86" spans="1:16">
      <c r="A86" s="3" t="s">
        <v>145</v>
      </c>
      <c r="B86" s="2" t="s">
        <v>65</v>
      </c>
      <c r="C86" s="3" t="s">
        <v>53</v>
      </c>
      <c r="D86" s="3" t="s">
        <v>54</v>
      </c>
      <c r="E86" s="3">
        <v>2102</v>
      </c>
      <c r="F86" s="3">
        <v>1040</v>
      </c>
      <c r="G86" s="3">
        <v>35</v>
      </c>
      <c r="H86" s="3">
        <v>24</v>
      </c>
      <c r="I86" s="3">
        <v>450</v>
      </c>
      <c r="J86" s="3">
        <v>46.8</v>
      </c>
      <c r="K86" s="3">
        <v>38.700000000000003</v>
      </c>
      <c r="L86" s="3">
        <v>9.2799999999999994</v>
      </c>
      <c r="M86" s="3">
        <v>8.8000000000000007</v>
      </c>
      <c r="N86" s="3">
        <v>-0.36</v>
      </c>
      <c r="O86" s="3">
        <v>-0.26</v>
      </c>
      <c r="P86" s="4">
        <v>0.04</v>
      </c>
    </row>
    <row r="87" spans="1:16">
      <c r="A87" s="3" t="s">
        <v>146</v>
      </c>
      <c r="B87" s="2" t="s">
        <v>147</v>
      </c>
      <c r="C87" s="3" t="s">
        <v>53</v>
      </c>
      <c r="D87" s="3" t="s">
        <v>54</v>
      </c>
      <c r="E87" s="3">
        <v>2286</v>
      </c>
      <c r="F87" s="3">
        <v>1135</v>
      </c>
      <c r="G87" s="3">
        <v>35</v>
      </c>
      <c r="H87" s="3">
        <v>29</v>
      </c>
      <c r="I87" s="3">
        <v>530</v>
      </c>
      <c r="J87" s="3">
        <v>49</v>
      </c>
      <c r="K87" s="3">
        <v>40.799999999999997</v>
      </c>
      <c r="L87" s="3">
        <v>13.76</v>
      </c>
      <c r="M87" s="3">
        <v>13</v>
      </c>
      <c r="N87" s="3">
        <v>-0.36</v>
      </c>
      <c r="O87" s="3">
        <v>-0.26</v>
      </c>
      <c r="P87" s="4">
        <v>4.2999999999999997E-2</v>
      </c>
    </row>
    <row r="88" spans="1:16">
      <c r="A88" s="3" t="s">
        <v>2</v>
      </c>
      <c r="B88" s="2" t="s">
        <v>147</v>
      </c>
      <c r="C88" s="3" t="s">
        <v>53</v>
      </c>
      <c r="D88" s="3" t="s">
        <v>54</v>
      </c>
      <c r="E88" s="3">
        <v>2286</v>
      </c>
      <c r="F88" s="3">
        <v>1135</v>
      </c>
      <c r="G88" s="3">
        <v>35</v>
      </c>
      <c r="H88" s="3">
        <v>29</v>
      </c>
      <c r="I88" s="3">
        <v>535</v>
      </c>
      <c r="J88" s="3">
        <v>49.2</v>
      </c>
      <c r="K88" s="3">
        <v>41</v>
      </c>
      <c r="L88" s="3">
        <v>13.81</v>
      </c>
      <c r="M88" s="3">
        <v>13.05</v>
      </c>
      <c r="N88" s="3">
        <v>-0.36</v>
      </c>
      <c r="O88" s="3">
        <v>-0.26</v>
      </c>
      <c r="P88" s="4">
        <v>4.2999999999999997E-2</v>
      </c>
    </row>
    <row r="89" spans="1:16">
      <c r="A89" s="3" t="s">
        <v>148</v>
      </c>
      <c r="B89" s="2" t="s">
        <v>147</v>
      </c>
      <c r="C89" s="3" t="s">
        <v>53</v>
      </c>
      <c r="D89" s="3" t="s">
        <v>54</v>
      </c>
      <c r="E89" s="3">
        <v>2286</v>
      </c>
      <c r="F89" s="3">
        <v>1135</v>
      </c>
      <c r="G89" s="3">
        <v>35</v>
      </c>
      <c r="H89" s="3">
        <v>29</v>
      </c>
      <c r="I89" s="3">
        <v>540</v>
      </c>
      <c r="J89" s="3">
        <v>49.4</v>
      </c>
      <c r="K89" s="3">
        <v>41.2</v>
      </c>
      <c r="L89" s="3">
        <v>13.87</v>
      </c>
      <c r="M89" s="3">
        <v>13.11</v>
      </c>
      <c r="N89" s="3">
        <v>-0.36</v>
      </c>
      <c r="O89" s="3">
        <v>-0.26</v>
      </c>
      <c r="P89" s="4">
        <v>4.2999999999999997E-2</v>
      </c>
    </row>
    <row r="90" spans="1:16">
      <c r="A90" s="3" t="s">
        <v>149</v>
      </c>
      <c r="B90" s="2" t="s">
        <v>147</v>
      </c>
      <c r="C90" s="3" t="s">
        <v>53</v>
      </c>
      <c r="D90" s="3" t="s">
        <v>54</v>
      </c>
      <c r="E90" s="3">
        <v>2286</v>
      </c>
      <c r="F90" s="3">
        <v>1135</v>
      </c>
      <c r="G90" s="3">
        <v>35</v>
      </c>
      <c r="H90" s="3">
        <v>29</v>
      </c>
      <c r="I90" s="3">
        <v>545</v>
      </c>
      <c r="J90" s="3">
        <v>49.6</v>
      </c>
      <c r="K90" s="3">
        <v>41.4</v>
      </c>
      <c r="L90" s="3">
        <v>13.93</v>
      </c>
      <c r="M90" s="3">
        <v>13.17</v>
      </c>
      <c r="N90" s="3">
        <v>-0.36</v>
      </c>
      <c r="O90" s="3">
        <v>-0.26</v>
      </c>
      <c r="P90" s="4">
        <v>4.2999999999999997E-2</v>
      </c>
    </row>
    <row r="91" spans="1:16">
      <c r="A91" s="3" t="s">
        <v>150</v>
      </c>
      <c r="B91" s="2" t="s">
        <v>147</v>
      </c>
      <c r="C91" s="3" t="s">
        <v>53</v>
      </c>
      <c r="D91" s="3" t="s">
        <v>54</v>
      </c>
      <c r="E91" s="3">
        <v>2286</v>
      </c>
      <c r="F91" s="3">
        <v>1135</v>
      </c>
      <c r="G91" s="3">
        <v>35</v>
      </c>
      <c r="H91" s="3">
        <v>29</v>
      </c>
      <c r="I91" s="3">
        <v>550</v>
      </c>
      <c r="J91" s="3">
        <v>49.8</v>
      </c>
      <c r="K91" s="3">
        <v>41.6</v>
      </c>
      <c r="L91" s="3">
        <v>13.99</v>
      </c>
      <c r="M91" s="3">
        <v>13.23</v>
      </c>
      <c r="N91" s="3">
        <v>-0.36</v>
      </c>
      <c r="O91" s="3">
        <v>-0.26</v>
      </c>
      <c r="P91" s="4">
        <v>4.2999999999999997E-2</v>
      </c>
    </row>
    <row r="92" spans="1:16">
      <c r="A92" s="3" t="s">
        <v>151</v>
      </c>
      <c r="B92" s="2" t="s">
        <v>65</v>
      </c>
      <c r="C92" s="3" t="s">
        <v>76</v>
      </c>
      <c r="D92" s="3" t="s">
        <v>54</v>
      </c>
      <c r="E92" s="3">
        <v>2172</v>
      </c>
      <c r="F92" s="3">
        <v>1303</v>
      </c>
      <c r="G92" s="3">
        <v>33</v>
      </c>
      <c r="H92" s="3">
        <v>34.9</v>
      </c>
      <c r="I92" s="3">
        <v>585</v>
      </c>
      <c r="J92" s="3">
        <v>41.1</v>
      </c>
      <c r="K92" s="3">
        <v>34</v>
      </c>
      <c r="L92" s="3">
        <v>18.260000000000002</v>
      </c>
      <c r="M92" s="3">
        <v>17.21</v>
      </c>
      <c r="N92" s="3">
        <v>-0.34</v>
      </c>
      <c r="O92" s="3">
        <v>-0.25</v>
      </c>
      <c r="P92" s="4">
        <v>0.04</v>
      </c>
    </row>
    <row r="93" spans="1:16">
      <c r="A93" s="3" t="s">
        <v>152</v>
      </c>
      <c r="B93" s="2" t="s">
        <v>65</v>
      </c>
      <c r="C93" s="3" t="s">
        <v>76</v>
      </c>
      <c r="D93" s="3" t="s">
        <v>54</v>
      </c>
      <c r="E93" s="3">
        <v>2172</v>
      </c>
      <c r="F93" s="3">
        <v>1303</v>
      </c>
      <c r="G93" s="3">
        <v>33</v>
      </c>
      <c r="H93" s="3">
        <v>34.9</v>
      </c>
      <c r="I93" s="3">
        <v>590</v>
      </c>
      <c r="J93" s="3">
        <v>41.3</v>
      </c>
      <c r="K93" s="3">
        <v>34.200000000000003</v>
      </c>
      <c r="L93" s="3">
        <v>18.309999999999999</v>
      </c>
      <c r="M93" s="3">
        <v>17.25</v>
      </c>
      <c r="N93" s="3">
        <v>-0.34</v>
      </c>
      <c r="O93" s="3">
        <v>-0.25</v>
      </c>
      <c r="P93" s="4">
        <v>0.04</v>
      </c>
    </row>
    <row r="94" spans="1:16">
      <c r="A94" s="3" t="s">
        <v>153</v>
      </c>
      <c r="B94" s="2" t="s">
        <v>65</v>
      </c>
      <c r="C94" s="3" t="s">
        <v>76</v>
      </c>
      <c r="D94" s="3" t="s">
        <v>54</v>
      </c>
      <c r="E94" s="3">
        <v>2172</v>
      </c>
      <c r="F94" s="3">
        <v>1303</v>
      </c>
      <c r="G94" s="3">
        <v>33</v>
      </c>
      <c r="H94" s="3">
        <v>34.9</v>
      </c>
      <c r="I94" s="3">
        <v>595</v>
      </c>
      <c r="J94" s="3">
        <v>41.5</v>
      </c>
      <c r="K94" s="3">
        <v>34.4</v>
      </c>
      <c r="L94" s="3">
        <v>18.36</v>
      </c>
      <c r="M94" s="3">
        <v>17.3</v>
      </c>
      <c r="N94" s="3">
        <v>-0.34</v>
      </c>
      <c r="O94" s="3">
        <v>-0.25</v>
      </c>
      <c r="P94" s="4">
        <v>0.04</v>
      </c>
    </row>
    <row r="95" spans="1:16">
      <c r="A95" s="3" t="s">
        <v>154</v>
      </c>
      <c r="B95" s="2" t="s">
        <v>65</v>
      </c>
      <c r="C95" s="3" t="s">
        <v>76</v>
      </c>
      <c r="D95" s="3" t="s">
        <v>54</v>
      </c>
      <c r="E95" s="3">
        <v>2172</v>
      </c>
      <c r="F95" s="3">
        <v>1303</v>
      </c>
      <c r="G95" s="3">
        <v>33</v>
      </c>
      <c r="H95" s="3">
        <v>34.9</v>
      </c>
      <c r="I95" s="3">
        <v>600</v>
      </c>
      <c r="J95" s="3">
        <v>41.7</v>
      </c>
      <c r="K95" s="3">
        <v>34.6</v>
      </c>
      <c r="L95" s="3">
        <v>18.420000000000002</v>
      </c>
      <c r="M95" s="3">
        <v>17.34</v>
      </c>
      <c r="N95" s="3">
        <v>-0.34</v>
      </c>
      <c r="O95" s="3">
        <v>-0.25</v>
      </c>
      <c r="P95" s="4">
        <v>0.04</v>
      </c>
    </row>
    <row r="96" spans="1:16">
      <c r="A96" s="3" t="s">
        <v>155</v>
      </c>
      <c r="B96" s="2" t="s">
        <v>65</v>
      </c>
      <c r="C96" s="3" t="s">
        <v>76</v>
      </c>
      <c r="D96" s="3" t="s">
        <v>54</v>
      </c>
      <c r="E96" s="3">
        <v>2172</v>
      </c>
      <c r="F96" s="3">
        <v>1303</v>
      </c>
      <c r="G96" s="3">
        <v>33</v>
      </c>
      <c r="H96" s="3">
        <v>34.9</v>
      </c>
      <c r="I96" s="3">
        <v>605</v>
      </c>
      <c r="J96" s="3">
        <v>41.9</v>
      </c>
      <c r="K96" s="3">
        <v>34.799999999999997</v>
      </c>
      <c r="L96" s="3">
        <v>18.48</v>
      </c>
      <c r="M96" s="3">
        <v>17.39</v>
      </c>
      <c r="N96" s="3">
        <v>-0.34</v>
      </c>
      <c r="O96" s="3">
        <v>-0.25</v>
      </c>
      <c r="P96" s="4">
        <v>0.04</v>
      </c>
    </row>
    <row r="97" spans="1:16">
      <c r="A97" s="3" t="s">
        <v>156</v>
      </c>
      <c r="B97" s="2" t="s">
        <v>137</v>
      </c>
      <c r="C97" s="3" t="s">
        <v>53</v>
      </c>
      <c r="D97" s="3" t="s">
        <v>54</v>
      </c>
      <c r="E97" s="3">
        <v>2279</v>
      </c>
      <c r="F97" s="3">
        <v>1134</v>
      </c>
      <c r="G97" s="3">
        <v>35</v>
      </c>
      <c r="H97" s="3">
        <v>27.6</v>
      </c>
      <c r="I97" s="3">
        <v>555</v>
      </c>
      <c r="J97" s="3">
        <v>49.68</v>
      </c>
      <c r="K97" s="3">
        <v>40.89</v>
      </c>
      <c r="L97" s="3">
        <v>14.13</v>
      </c>
      <c r="M97" s="3">
        <v>13.58</v>
      </c>
      <c r="N97" s="3">
        <v>-0.35</v>
      </c>
      <c r="O97" s="3">
        <v>-0.27</v>
      </c>
      <c r="P97" s="4">
        <v>4.8000000000000001E-2</v>
      </c>
    </row>
  </sheetData>
  <autoFilter ref="A1:P97" xr:uid="{00000000-0009-0000-0000-000001000000}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E110"/>
  <sheetViews>
    <sheetView workbookViewId="0">
      <selection activeCell="A110" sqref="A110:AE110"/>
    </sheetView>
  </sheetViews>
  <sheetFormatPr defaultColWidth="9" defaultRowHeight="15"/>
  <cols>
    <col min="1" max="1" width="21.42578125" style="2" customWidth="1"/>
    <col min="2" max="2" width="21.42578125" style="3" customWidth="1"/>
    <col min="3" max="3" width="19.85546875" style="3" customWidth="1"/>
    <col min="4" max="4" width="13.85546875" style="3" customWidth="1"/>
    <col min="5" max="5" width="12.5703125" style="3" customWidth="1"/>
    <col min="6" max="6" width="10.85546875" style="3" customWidth="1"/>
    <col min="7" max="7" width="17.7109375" style="3" customWidth="1"/>
    <col min="8" max="8" width="5.5703125" style="3" customWidth="1"/>
    <col min="9" max="9" width="8.140625" style="3" customWidth="1"/>
    <col min="10" max="10" width="8.7109375" style="3" customWidth="1"/>
    <col min="11" max="12" width="5.140625" style="3" customWidth="1"/>
    <col min="13" max="13" width="22.28515625" style="3" customWidth="1"/>
    <col min="14" max="14" width="22.42578125" style="3" customWidth="1"/>
    <col min="15" max="15" width="20.7109375" style="3" customWidth="1"/>
    <col min="16" max="16" width="22" style="3" customWidth="1"/>
    <col min="17" max="17" width="42.7109375" style="3" customWidth="1"/>
    <col min="18" max="18" width="42.42578125" style="3" customWidth="1"/>
    <col min="19" max="19" width="44.85546875" style="3" customWidth="1"/>
    <col min="20" max="20" width="44.28515625" style="3" customWidth="1"/>
    <col min="21" max="21" width="45.140625" style="3" customWidth="1"/>
    <col min="22" max="22" width="44.85546875" style="3" customWidth="1"/>
    <col min="23" max="23" width="45.5703125" style="3" customWidth="1"/>
    <col min="24" max="24" width="43" style="3" customWidth="1"/>
    <col min="25" max="28" width="46.42578125" style="3" customWidth="1"/>
    <col min="29" max="29" width="38.5703125" style="3" customWidth="1"/>
    <col min="30" max="30" width="38.28515625" style="3" customWidth="1"/>
    <col min="31" max="31" width="32.28515625" style="4" customWidth="1"/>
  </cols>
  <sheetData>
    <row r="1" spans="1:31" s="1" customFormat="1">
      <c r="A1" s="45"/>
      <c r="B1" s="46"/>
      <c r="C1" s="47" t="s">
        <v>157</v>
      </c>
      <c r="D1" s="47"/>
      <c r="E1" s="47"/>
      <c r="F1" s="47"/>
      <c r="G1" s="5"/>
      <c r="H1" s="47" t="s">
        <v>158</v>
      </c>
      <c r="I1" s="47"/>
      <c r="J1" s="47"/>
      <c r="K1" s="47"/>
      <c r="L1" s="47"/>
      <c r="M1" s="47" t="s">
        <v>159</v>
      </c>
      <c r="N1" s="47"/>
      <c r="O1" s="47" t="s">
        <v>160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 t="s">
        <v>161</v>
      </c>
      <c r="AA1" s="47"/>
      <c r="AB1" s="47"/>
      <c r="AC1" s="47"/>
      <c r="AD1" s="47"/>
      <c r="AE1" s="48"/>
    </row>
    <row r="2" spans="1:31" s="1" customFormat="1">
      <c r="A2" s="6" t="s">
        <v>3</v>
      </c>
      <c r="B2" s="7" t="s">
        <v>36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162</v>
      </c>
      <c r="H2" s="7" t="s">
        <v>163</v>
      </c>
      <c r="I2" s="7" t="s">
        <v>164</v>
      </c>
      <c r="J2" s="7" t="s">
        <v>165</v>
      </c>
      <c r="K2" s="7" t="s">
        <v>166</v>
      </c>
      <c r="L2" s="7" t="s">
        <v>167</v>
      </c>
      <c r="M2" s="7" t="s">
        <v>168</v>
      </c>
      <c r="N2" s="7" t="s">
        <v>169</v>
      </c>
      <c r="O2" s="7" t="s">
        <v>170</v>
      </c>
      <c r="P2" s="7" t="s">
        <v>171</v>
      </c>
      <c r="Q2" s="7" t="s">
        <v>172</v>
      </c>
      <c r="R2" s="7" t="s">
        <v>173</v>
      </c>
      <c r="S2" s="7" t="s">
        <v>174</v>
      </c>
      <c r="T2" s="7" t="s">
        <v>175</v>
      </c>
      <c r="U2" s="7" t="s">
        <v>176</v>
      </c>
      <c r="V2" s="7" t="s">
        <v>177</v>
      </c>
      <c r="W2" s="7" t="s">
        <v>178</v>
      </c>
      <c r="X2" s="7" t="s">
        <v>179</v>
      </c>
      <c r="Y2" s="7" t="s">
        <v>180</v>
      </c>
      <c r="Z2" s="7" t="s">
        <v>181</v>
      </c>
      <c r="AA2" s="7" t="s">
        <v>182</v>
      </c>
      <c r="AB2" s="7" t="s">
        <v>183</v>
      </c>
      <c r="AC2" s="7" t="s">
        <v>184</v>
      </c>
      <c r="AD2" s="7" t="s">
        <v>185</v>
      </c>
      <c r="AE2" s="10" t="s">
        <v>186</v>
      </c>
    </row>
    <row r="3" spans="1:31">
      <c r="A3" s="8" t="s">
        <v>187</v>
      </c>
      <c r="B3" s="9" t="s">
        <v>188</v>
      </c>
      <c r="C3" s="9">
        <v>149.5</v>
      </c>
      <c r="D3" s="9">
        <v>375</v>
      </c>
      <c r="E3" s="9">
        <v>375</v>
      </c>
      <c r="F3" s="9">
        <v>11.6</v>
      </c>
      <c r="G3" s="9" t="s">
        <v>189</v>
      </c>
      <c r="H3" s="9" t="s">
        <v>190</v>
      </c>
      <c r="I3" s="9" t="s">
        <v>190</v>
      </c>
      <c r="J3" s="9" t="s">
        <v>191</v>
      </c>
      <c r="K3" s="9" t="s">
        <v>190</v>
      </c>
      <c r="L3" s="9" t="s">
        <v>191</v>
      </c>
      <c r="M3" s="9">
        <v>2000</v>
      </c>
      <c r="N3" s="9">
        <v>2200</v>
      </c>
      <c r="O3" s="9">
        <v>1</v>
      </c>
      <c r="P3" s="9">
        <v>1</v>
      </c>
      <c r="Q3" s="9">
        <v>600</v>
      </c>
      <c r="R3" s="9">
        <v>120</v>
      </c>
      <c r="S3" s="9">
        <v>500</v>
      </c>
      <c r="T3" s="9">
        <v>90</v>
      </c>
      <c r="U3" s="9">
        <v>500</v>
      </c>
      <c r="V3" s="9">
        <v>90</v>
      </c>
      <c r="W3" s="9">
        <v>380</v>
      </c>
      <c r="X3" s="9">
        <v>15</v>
      </c>
      <c r="Y3" s="9">
        <v>11</v>
      </c>
      <c r="Z3" s="9" t="s">
        <v>190</v>
      </c>
      <c r="AA3" s="9" t="s">
        <v>191</v>
      </c>
      <c r="AB3" s="9" t="s">
        <v>191</v>
      </c>
      <c r="AC3" s="9">
        <v>240</v>
      </c>
      <c r="AD3" s="9">
        <v>220</v>
      </c>
      <c r="AE3" s="11">
        <v>10</v>
      </c>
    </row>
    <row r="4" spans="1:31">
      <c r="A4" s="2" t="s">
        <v>192</v>
      </c>
      <c r="B4" s="3" t="s">
        <v>188</v>
      </c>
      <c r="C4" s="3">
        <v>149.5</v>
      </c>
      <c r="D4" s="3">
        <v>375</v>
      </c>
      <c r="E4" s="3">
        <v>375</v>
      </c>
      <c r="F4" s="3">
        <v>11.6</v>
      </c>
      <c r="G4" s="3" t="s">
        <v>189</v>
      </c>
      <c r="H4" s="3" t="s">
        <v>190</v>
      </c>
      <c r="I4" s="3" t="s">
        <v>190</v>
      </c>
      <c r="J4" s="3" t="s">
        <v>191</v>
      </c>
      <c r="K4" s="3" t="s">
        <v>190</v>
      </c>
      <c r="L4" s="3" t="s">
        <v>191</v>
      </c>
      <c r="M4" s="3">
        <v>3000</v>
      </c>
      <c r="N4" s="3">
        <v>3300</v>
      </c>
      <c r="O4" s="3">
        <v>1</v>
      </c>
      <c r="P4" s="3">
        <v>1</v>
      </c>
      <c r="Q4" s="3">
        <v>600</v>
      </c>
      <c r="R4" s="3">
        <v>120</v>
      </c>
      <c r="S4" s="3">
        <v>500</v>
      </c>
      <c r="T4" s="3">
        <v>90</v>
      </c>
      <c r="U4" s="3">
        <v>500</v>
      </c>
      <c r="V4" s="3">
        <v>90</v>
      </c>
      <c r="W4" s="3">
        <v>380</v>
      </c>
      <c r="X4" s="3">
        <v>15</v>
      </c>
      <c r="Y4" s="3">
        <v>11</v>
      </c>
      <c r="Z4" s="3" t="s">
        <v>190</v>
      </c>
      <c r="AA4" s="3" t="s">
        <v>191</v>
      </c>
      <c r="AB4" s="3" t="s">
        <v>191</v>
      </c>
      <c r="AC4" s="3">
        <v>240</v>
      </c>
      <c r="AD4" s="3">
        <v>220</v>
      </c>
      <c r="AE4" s="4">
        <v>15</v>
      </c>
    </row>
    <row r="5" spans="1:31">
      <c r="A5" s="2" t="s">
        <v>193</v>
      </c>
      <c r="B5" s="3" t="s">
        <v>188</v>
      </c>
      <c r="C5" s="3">
        <v>149.5</v>
      </c>
      <c r="D5" s="3">
        <v>375</v>
      </c>
      <c r="E5" s="3">
        <v>375</v>
      </c>
      <c r="F5" s="3">
        <v>11.6</v>
      </c>
      <c r="G5" s="3" t="s">
        <v>189</v>
      </c>
      <c r="H5" s="3" t="s">
        <v>190</v>
      </c>
      <c r="I5" s="3" t="s">
        <v>190</v>
      </c>
      <c r="J5" s="3" t="s">
        <v>191</v>
      </c>
      <c r="K5" s="3" t="s">
        <v>190</v>
      </c>
      <c r="L5" s="3" t="s">
        <v>191</v>
      </c>
      <c r="M5" s="3">
        <v>3680</v>
      </c>
      <c r="N5" s="3">
        <v>3680</v>
      </c>
      <c r="O5" s="3">
        <v>1</v>
      </c>
      <c r="P5" s="3">
        <v>1</v>
      </c>
      <c r="Q5" s="3">
        <v>600</v>
      </c>
      <c r="R5" s="3">
        <v>120</v>
      </c>
      <c r="S5" s="3">
        <v>500</v>
      </c>
      <c r="T5" s="3">
        <v>90</v>
      </c>
      <c r="U5" s="3">
        <v>500</v>
      </c>
      <c r="V5" s="3">
        <v>90</v>
      </c>
      <c r="W5" s="3">
        <v>380</v>
      </c>
      <c r="X5" s="3">
        <v>15</v>
      </c>
      <c r="Y5" s="3">
        <v>11</v>
      </c>
      <c r="Z5" s="3" t="s">
        <v>190</v>
      </c>
      <c r="AA5" s="3" t="s">
        <v>191</v>
      </c>
      <c r="AB5" s="3" t="s">
        <v>191</v>
      </c>
      <c r="AC5" s="3">
        <v>240</v>
      </c>
      <c r="AD5" s="3">
        <v>220</v>
      </c>
      <c r="AE5" s="4">
        <v>16</v>
      </c>
    </row>
    <row r="6" spans="1:31">
      <c r="A6" s="2" t="s">
        <v>194</v>
      </c>
      <c r="B6" s="3" t="s">
        <v>188</v>
      </c>
      <c r="C6" s="3">
        <v>149.5</v>
      </c>
      <c r="D6" s="3">
        <v>375</v>
      </c>
      <c r="E6" s="3">
        <v>375</v>
      </c>
      <c r="F6" s="3">
        <v>11.6</v>
      </c>
      <c r="G6" s="3" t="s">
        <v>189</v>
      </c>
      <c r="H6" s="3" t="s">
        <v>190</v>
      </c>
      <c r="I6" s="3" t="s">
        <v>190</v>
      </c>
      <c r="J6" s="3" t="s">
        <v>191</v>
      </c>
      <c r="K6" s="3" t="s">
        <v>190</v>
      </c>
      <c r="L6" s="3" t="s">
        <v>191</v>
      </c>
      <c r="M6" s="3">
        <v>4000</v>
      </c>
      <c r="N6" s="3">
        <v>4400</v>
      </c>
      <c r="O6" s="3">
        <v>1</v>
      </c>
      <c r="P6" s="3">
        <v>1</v>
      </c>
      <c r="Q6" s="3">
        <v>600</v>
      </c>
      <c r="R6" s="3">
        <v>120</v>
      </c>
      <c r="S6" s="3">
        <v>500</v>
      </c>
      <c r="T6" s="3">
        <v>90</v>
      </c>
      <c r="U6" s="3">
        <v>500</v>
      </c>
      <c r="V6" s="3">
        <v>90</v>
      </c>
      <c r="W6" s="3">
        <v>380</v>
      </c>
      <c r="X6" s="3">
        <v>15</v>
      </c>
      <c r="Y6" s="3">
        <v>11</v>
      </c>
      <c r="Z6" s="3" t="s">
        <v>190</v>
      </c>
      <c r="AA6" s="3" t="s">
        <v>191</v>
      </c>
      <c r="AB6" s="3" t="s">
        <v>191</v>
      </c>
      <c r="AC6" s="3">
        <v>240</v>
      </c>
      <c r="AD6" s="3">
        <v>220</v>
      </c>
      <c r="AE6" s="4">
        <v>20</v>
      </c>
    </row>
    <row r="7" spans="1:31">
      <c r="A7" s="2" t="s">
        <v>195</v>
      </c>
      <c r="B7" s="3" t="s">
        <v>188</v>
      </c>
      <c r="C7" s="3">
        <v>149.5</v>
      </c>
      <c r="D7" s="3">
        <v>375</v>
      </c>
      <c r="E7" s="3">
        <v>375</v>
      </c>
      <c r="F7" s="3">
        <v>11.6</v>
      </c>
      <c r="G7" s="3" t="s">
        <v>189</v>
      </c>
      <c r="H7" s="3" t="s">
        <v>190</v>
      </c>
      <c r="I7" s="3" t="s">
        <v>190</v>
      </c>
      <c r="J7" s="3" t="s">
        <v>191</v>
      </c>
      <c r="K7" s="3" t="s">
        <v>190</v>
      </c>
      <c r="L7" s="3" t="s">
        <v>191</v>
      </c>
      <c r="M7" s="3">
        <v>4600</v>
      </c>
      <c r="N7" s="3">
        <v>5000</v>
      </c>
      <c r="O7" s="3">
        <v>1</v>
      </c>
      <c r="P7" s="3">
        <v>1</v>
      </c>
      <c r="Q7" s="3">
        <v>600</v>
      </c>
      <c r="R7" s="3">
        <v>120</v>
      </c>
      <c r="S7" s="3">
        <v>500</v>
      </c>
      <c r="T7" s="3">
        <v>90</v>
      </c>
      <c r="U7" s="3">
        <v>500</v>
      </c>
      <c r="V7" s="3">
        <v>90</v>
      </c>
      <c r="W7" s="3">
        <v>380</v>
      </c>
      <c r="X7" s="3">
        <v>15</v>
      </c>
      <c r="Y7" s="3">
        <v>11</v>
      </c>
      <c r="Z7" s="3" t="s">
        <v>190</v>
      </c>
      <c r="AA7" s="3" t="s">
        <v>191</v>
      </c>
      <c r="AB7" s="3" t="s">
        <v>191</v>
      </c>
      <c r="AC7" s="3">
        <v>240</v>
      </c>
      <c r="AD7" s="3">
        <v>220</v>
      </c>
      <c r="AE7" s="4">
        <v>23</v>
      </c>
    </row>
    <row r="8" spans="1:31">
      <c r="A8" s="2" t="s">
        <v>196</v>
      </c>
      <c r="B8" s="3" t="s">
        <v>188</v>
      </c>
      <c r="C8" s="3">
        <v>149.5</v>
      </c>
      <c r="D8" s="3">
        <v>375</v>
      </c>
      <c r="E8" s="3">
        <v>375</v>
      </c>
      <c r="F8" s="3">
        <v>11.6</v>
      </c>
      <c r="G8" s="3" t="s">
        <v>189</v>
      </c>
      <c r="H8" s="3" t="s">
        <v>190</v>
      </c>
      <c r="I8" s="3" t="s">
        <v>190</v>
      </c>
      <c r="J8" s="3" t="s">
        <v>191</v>
      </c>
      <c r="K8" s="3" t="s">
        <v>190</v>
      </c>
      <c r="L8" s="3" t="s">
        <v>191</v>
      </c>
      <c r="M8" s="3">
        <v>5000</v>
      </c>
      <c r="N8" s="3">
        <v>5500</v>
      </c>
      <c r="O8" s="3">
        <v>1</v>
      </c>
      <c r="P8" s="3">
        <v>1</v>
      </c>
      <c r="Q8" s="3">
        <v>600</v>
      </c>
      <c r="R8" s="3">
        <v>120</v>
      </c>
      <c r="S8" s="3">
        <v>500</v>
      </c>
      <c r="T8" s="3">
        <v>90</v>
      </c>
      <c r="U8" s="3">
        <v>500</v>
      </c>
      <c r="V8" s="3">
        <v>90</v>
      </c>
      <c r="W8" s="3">
        <v>380</v>
      </c>
      <c r="X8" s="3">
        <v>15</v>
      </c>
      <c r="Y8" s="3">
        <v>11</v>
      </c>
      <c r="Z8" s="3" t="s">
        <v>190</v>
      </c>
      <c r="AA8" s="3" t="s">
        <v>191</v>
      </c>
      <c r="AB8" s="3" t="s">
        <v>191</v>
      </c>
      <c r="AC8" s="3">
        <v>240</v>
      </c>
      <c r="AD8" s="3">
        <v>220</v>
      </c>
      <c r="AE8" s="4">
        <v>25</v>
      </c>
    </row>
    <row r="9" spans="1:31">
      <c r="A9" s="2" t="s">
        <v>197</v>
      </c>
      <c r="B9" s="3" t="s">
        <v>188</v>
      </c>
      <c r="C9" s="3">
        <v>266</v>
      </c>
      <c r="D9" s="3">
        <v>520</v>
      </c>
      <c r="E9" s="3">
        <v>610</v>
      </c>
      <c r="F9" s="3">
        <v>42</v>
      </c>
      <c r="G9" s="3" t="s">
        <v>189</v>
      </c>
      <c r="H9" s="3" t="s">
        <v>191</v>
      </c>
      <c r="I9" s="3" t="s">
        <v>190</v>
      </c>
      <c r="J9" s="3" t="s">
        <v>190</v>
      </c>
      <c r="K9" s="3" t="s">
        <v>190</v>
      </c>
      <c r="L9" s="3" t="s">
        <v>190</v>
      </c>
      <c r="M9" s="3">
        <v>8000</v>
      </c>
      <c r="N9" s="3">
        <v>8800</v>
      </c>
      <c r="O9" s="3">
        <v>2</v>
      </c>
      <c r="P9" s="3">
        <v>2</v>
      </c>
      <c r="Q9" s="3">
        <v>1000</v>
      </c>
      <c r="R9" s="3">
        <v>250</v>
      </c>
      <c r="S9" s="3">
        <v>950</v>
      </c>
      <c r="T9" s="3">
        <v>200</v>
      </c>
      <c r="U9" s="3">
        <v>800</v>
      </c>
      <c r="V9" s="3">
        <v>320</v>
      </c>
      <c r="X9" s="3">
        <v>25</v>
      </c>
      <c r="Y9" s="3">
        <v>18</v>
      </c>
      <c r="Z9" s="3" t="s">
        <v>191</v>
      </c>
      <c r="AA9" s="3" t="s">
        <v>191</v>
      </c>
      <c r="AB9" s="3" t="s">
        <v>190</v>
      </c>
      <c r="AC9" s="3">
        <v>230</v>
      </c>
      <c r="AD9" s="3">
        <v>220</v>
      </c>
      <c r="AE9" s="4">
        <v>13.4</v>
      </c>
    </row>
    <row r="10" spans="1:31">
      <c r="A10" s="2" t="s">
        <v>198</v>
      </c>
      <c r="B10" s="3" t="s">
        <v>188</v>
      </c>
      <c r="C10" s="3">
        <v>266</v>
      </c>
      <c r="D10" s="3">
        <v>520</v>
      </c>
      <c r="E10" s="3">
        <v>610</v>
      </c>
      <c r="F10" s="3">
        <v>42</v>
      </c>
      <c r="G10" s="3" t="s">
        <v>189</v>
      </c>
      <c r="H10" s="3" t="s">
        <v>191</v>
      </c>
      <c r="I10" s="3" t="s">
        <v>190</v>
      </c>
      <c r="J10" s="3" t="s">
        <v>190</v>
      </c>
      <c r="K10" s="3" t="s">
        <v>190</v>
      </c>
      <c r="L10" s="3" t="s">
        <v>190</v>
      </c>
      <c r="M10" s="3">
        <v>1000</v>
      </c>
      <c r="N10" s="3">
        <v>11000</v>
      </c>
      <c r="O10" s="3">
        <v>2</v>
      </c>
      <c r="P10" s="3">
        <v>2</v>
      </c>
      <c r="Q10" s="3">
        <v>1000</v>
      </c>
      <c r="R10" s="3">
        <v>250</v>
      </c>
      <c r="S10" s="3">
        <v>950</v>
      </c>
      <c r="T10" s="3">
        <v>200</v>
      </c>
      <c r="U10" s="3">
        <v>800</v>
      </c>
      <c r="V10" s="3">
        <v>320</v>
      </c>
      <c r="X10" s="3">
        <v>25</v>
      </c>
      <c r="Y10" s="3">
        <v>18</v>
      </c>
      <c r="Z10" s="3" t="s">
        <v>191</v>
      </c>
      <c r="AA10" s="3" t="s">
        <v>191</v>
      </c>
      <c r="AB10" s="3" t="s">
        <v>190</v>
      </c>
      <c r="AC10" s="3">
        <v>230</v>
      </c>
      <c r="AD10" s="3">
        <v>220</v>
      </c>
      <c r="AE10" s="4">
        <v>17</v>
      </c>
    </row>
    <row r="11" spans="1:31">
      <c r="A11" s="2" t="s">
        <v>199</v>
      </c>
      <c r="B11" s="3" t="s">
        <v>188</v>
      </c>
      <c r="C11" s="3">
        <v>266</v>
      </c>
      <c r="D11" s="3">
        <v>520</v>
      </c>
      <c r="E11" s="3">
        <v>610</v>
      </c>
      <c r="F11" s="3">
        <v>42</v>
      </c>
      <c r="G11" s="3" t="s">
        <v>189</v>
      </c>
      <c r="H11" s="3" t="s">
        <v>191</v>
      </c>
      <c r="I11" s="3" t="s">
        <v>190</v>
      </c>
      <c r="J11" s="3" t="s">
        <v>190</v>
      </c>
      <c r="K11" s="3" t="s">
        <v>190</v>
      </c>
      <c r="L11" s="3" t="s">
        <v>190</v>
      </c>
      <c r="M11" s="3">
        <v>12000</v>
      </c>
      <c r="N11" s="3">
        <v>13200</v>
      </c>
      <c r="O11" s="3">
        <v>2</v>
      </c>
      <c r="P11" s="3">
        <v>2</v>
      </c>
      <c r="Q11" s="3">
        <v>1000</v>
      </c>
      <c r="R11" s="3">
        <v>250</v>
      </c>
      <c r="S11" s="3">
        <v>950</v>
      </c>
      <c r="T11" s="3">
        <v>200</v>
      </c>
      <c r="U11" s="3">
        <v>800</v>
      </c>
      <c r="V11" s="3">
        <v>380</v>
      </c>
      <c r="X11" s="3">
        <v>25</v>
      </c>
      <c r="Y11" s="3">
        <v>18</v>
      </c>
      <c r="Z11" s="3" t="s">
        <v>191</v>
      </c>
      <c r="AA11" s="3" t="s">
        <v>191</v>
      </c>
      <c r="AB11" s="3" t="s">
        <v>190</v>
      </c>
      <c r="AC11" s="3">
        <v>230</v>
      </c>
      <c r="AD11" s="3">
        <v>220</v>
      </c>
      <c r="AE11" s="4">
        <v>20</v>
      </c>
    </row>
    <row r="12" spans="1:31">
      <c r="A12" s="2" t="s">
        <v>200</v>
      </c>
      <c r="B12" s="3" t="s">
        <v>188</v>
      </c>
      <c r="C12" s="3">
        <v>266</v>
      </c>
      <c r="D12" s="3">
        <v>520</v>
      </c>
      <c r="E12" s="3">
        <v>610</v>
      </c>
      <c r="F12" s="3">
        <v>50</v>
      </c>
      <c r="G12" s="3" t="s">
        <v>189</v>
      </c>
      <c r="H12" s="3" t="s">
        <v>191</v>
      </c>
      <c r="I12" s="3" t="s">
        <v>190</v>
      </c>
      <c r="J12" s="3" t="s">
        <v>190</v>
      </c>
      <c r="K12" s="3" t="s">
        <v>190</v>
      </c>
      <c r="L12" s="3" t="s">
        <v>190</v>
      </c>
      <c r="M12" s="3">
        <v>15000</v>
      </c>
      <c r="N12" s="3">
        <v>16500</v>
      </c>
      <c r="O12" s="3">
        <v>2</v>
      </c>
      <c r="P12" s="3">
        <v>3</v>
      </c>
      <c r="Q12" s="3">
        <v>1000</v>
      </c>
      <c r="R12" s="3">
        <v>250</v>
      </c>
      <c r="S12" s="3">
        <v>950</v>
      </c>
      <c r="T12" s="3">
        <v>200</v>
      </c>
      <c r="U12" s="3">
        <v>800</v>
      </c>
      <c r="V12" s="3">
        <v>400</v>
      </c>
      <c r="X12" s="3">
        <v>25</v>
      </c>
      <c r="Y12" s="3">
        <v>18</v>
      </c>
      <c r="Z12" s="3" t="s">
        <v>191</v>
      </c>
      <c r="AA12" s="3" t="s">
        <v>191</v>
      </c>
      <c r="AB12" s="3" t="s">
        <v>190</v>
      </c>
      <c r="AC12" s="3">
        <v>230</v>
      </c>
      <c r="AD12" s="3">
        <v>220</v>
      </c>
      <c r="AE12" s="4">
        <v>25.2</v>
      </c>
    </row>
    <row r="13" spans="1:31">
      <c r="A13" s="2" t="s">
        <v>201</v>
      </c>
      <c r="B13" s="3" t="s">
        <v>188</v>
      </c>
      <c r="C13" s="3">
        <v>266</v>
      </c>
      <c r="D13" s="3">
        <v>520</v>
      </c>
      <c r="E13" s="3">
        <v>610</v>
      </c>
      <c r="F13" s="3">
        <v>50</v>
      </c>
      <c r="G13" s="3" t="s">
        <v>189</v>
      </c>
      <c r="H13" s="3" t="s">
        <v>191</v>
      </c>
      <c r="I13" s="3" t="s">
        <v>190</v>
      </c>
      <c r="J13" s="3" t="s">
        <v>190</v>
      </c>
      <c r="K13" s="3" t="s">
        <v>190</v>
      </c>
      <c r="L13" s="3" t="s">
        <v>190</v>
      </c>
      <c r="M13" s="3">
        <v>17000</v>
      </c>
      <c r="N13" s="3">
        <v>18700</v>
      </c>
      <c r="O13" s="3">
        <v>2</v>
      </c>
      <c r="P13" s="3">
        <v>3</v>
      </c>
      <c r="Q13" s="3">
        <v>1000</v>
      </c>
      <c r="R13" s="3">
        <v>250</v>
      </c>
      <c r="S13" s="3">
        <v>950</v>
      </c>
      <c r="T13" s="3">
        <v>200</v>
      </c>
      <c r="U13" s="3">
        <v>800</v>
      </c>
      <c r="V13" s="3">
        <v>400</v>
      </c>
      <c r="X13" s="3">
        <v>25</v>
      </c>
      <c r="Y13" s="3">
        <v>18</v>
      </c>
      <c r="Z13" s="3" t="s">
        <v>191</v>
      </c>
      <c r="AA13" s="3" t="s">
        <v>191</v>
      </c>
      <c r="AB13" s="3" t="s">
        <v>190</v>
      </c>
      <c r="AC13" s="3">
        <v>230</v>
      </c>
      <c r="AD13" s="3">
        <v>220</v>
      </c>
      <c r="AE13" s="4">
        <v>28.5</v>
      </c>
    </row>
    <row r="14" spans="1:31">
      <c r="A14" s="2" t="s">
        <v>202</v>
      </c>
      <c r="B14" s="3" t="s">
        <v>188</v>
      </c>
      <c r="C14" s="3">
        <v>266</v>
      </c>
      <c r="D14" s="3">
        <v>520</v>
      </c>
      <c r="E14" s="3">
        <v>610</v>
      </c>
      <c r="F14" s="3">
        <v>50</v>
      </c>
      <c r="G14" s="3" t="s">
        <v>189</v>
      </c>
      <c r="H14" s="3" t="s">
        <v>191</v>
      </c>
      <c r="I14" s="3" t="s">
        <v>190</v>
      </c>
      <c r="J14" s="3" t="s">
        <v>190</v>
      </c>
      <c r="K14" s="3" t="s">
        <v>190</v>
      </c>
      <c r="L14" s="3" t="s">
        <v>190</v>
      </c>
      <c r="M14" s="3">
        <v>20000</v>
      </c>
      <c r="N14" s="3">
        <v>22000</v>
      </c>
      <c r="O14" s="3">
        <v>2</v>
      </c>
      <c r="P14" s="3">
        <v>3</v>
      </c>
      <c r="Q14" s="3">
        <v>1000</v>
      </c>
      <c r="R14" s="3">
        <v>250</v>
      </c>
      <c r="S14" s="3">
        <v>950</v>
      </c>
      <c r="T14" s="3">
        <v>200</v>
      </c>
      <c r="U14" s="3">
        <v>800</v>
      </c>
      <c r="V14" s="3">
        <v>480</v>
      </c>
      <c r="X14" s="3">
        <v>25</v>
      </c>
      <c r="Y14" s="3">
        <v>18</v>
      </c>
      <c r="Z14" s="3" t="s">
        <v>191</v>
      </c>
      <c r="AA14" s="3" t="s">
        <v>191</v>
      </c>
      <c r="AB14" s="3" t="s">
        <v>190</v>
      </c>
      <c r="AC14" s="3">
        <v>230</v>
      </c>
      <c r="AD14" s="3">
        <v>220</v>
      </c>
      <c r="AE14" s="4">
        <v>33.5</v>
      </c>
    </row>
    <row r="15" spans="1:31">
      <c r="A15" s="2" t="s">
        <v>203</v>
      </c>
      <c r="B15" s="3" t="s">
        <v>188</v>
      </c>
      <c r="C15" s="3">
        <v>266</v>
      </c>
      <c r="D15" s="3">
        <v>520</v>
      </c>
      <c r="E15" s="3">
        <v>610</v>
      </c>
      <c r="F15" s="3">
        <v>50</v>
      </c>
      <c r="G15" s="3" t="s">
        <v>189</v>
      </c>
      <c r="H15" s="3" t="s">
        <v>191</v>
      </c>
      <c r="I15" s="3" t="s">
        <v>190</v>
      </c>
      <c r="J15" s="3" t="s">
        <v>190</v>
      </c>
      <c r="K15" s="3" t="s">
        <v>190</v>
      </c>
      <c r="L15" s="3" t="s">
        <v>190</v>
      </c>
      <c r="M15" s="3">
        <v>23000</v>
      </c>
      <c r="N15" s="3">
        <v>23000</v>
      </c>
      <c r="O15" s="3">
        <v>2</v>
      </c>
      <c r="P15" s="3">
        <v>3</v>
      </c>
      <c r="Q15" s="3">
        <v>1000</v>
      </c>
      <c r="R15" s="3">
        <v>250</v>
      </c>
      <c r="S15" s="3">
        <v>950</v>
      </c>
      <c r="T15" s="3">
        <v>200</v>
      </c>
      <c r="U15" s="3">
        <v>800</v>
      </c>
      <c r="V15" s="3">
        <v>480</v>
      </c>
      <c r="X15" s="3">
        <v>25</v>
      </c>
      <c r="Y15" s="3">
        <v>18</v>
      </c>
      <c r="Z15" s="3" t="s">
        <v>191</v>
      </c>
      <c r="AA15" s="3" t="s">
        <v>191</v>
      </c>
      <c r="AB15" s="3" t="s">
        <v>190</v>
      </c>
      <c r="AC15" s="3">
        <v>230</v>
      </c>
      <c r="AD15" s="3">
        <v>220</v>
      </c>
      <c r="AE15" s="4">
        <v>33.5</v>
      </c>
    </row>
    <row r="16" spans="1:31">
      <c r="A16" s="2" t="s">
        <v>204</v>
      </c>
      <c r="B16" s="3" t="s">
        <v>188</v>
      </c>
      <c r="C16" s="3">
        <v>266</v>
      </c>
      <c r="D16" s="3">
        <v>520</v>
      </c>
      <c r="E16" s="3">
        <v>610</v>
      </c>
      <c r="F16" s="3">
        <v>50</v>
      </c>
      <c r="G16" s="3" t="s">
        <v>189</v>
      </c>
      <c r="H16" s="3" t="s">
        <v>191</v>
      </c>
      <c r="I16" s="3" t="s">
        <v>190</v>
      </c>
      <c r="J16" s="3" t="s">
        <v>190</v>
      </c>
      <c r="K16" s="3" t="s">
        <v>190</v>
      </c>
      <c r="L16" s="3" t="s">
        <v>190</v>
      </c>
      <c r="M16" s="3">
        <v>27500</v>
      </c>
      <c r="N16" s="3">
        <v>27500</v>
      </c>
      <c r="O16" s="3">
        <v>2</v>
      </c>
      <c r="P16" s="3">
        <v>3</v>
      </c>
      <c r="Q16" s="3">
        <v>1000</v>
      </c>
      <c r="R16" s="3">
        <v>250</v>
      </c>
      <c r="S16" s="3">
        <v>950</v>
      </c>
      <c r="T16" s="3">
        <v>200</v>
      </c>
      <c r="U16" s="3">
        <v>800</v>
      </c>
      <c r="V16" s="3">
        <v>520</v>
      </c>
      <c r="X16" s="3">
        <v>25</v>
      </c>
      <c r="Y16" s="3">
        <v>18</v>
      </c>
      <c r="Z16" s="3" t="s">
        <v>191</v>
      </c>
      <c r="AA16" s="3" t="s">
        <v>190</v>
      </c>
      <c r="AB16" s="3" t="s">
        <v>191</v>
      </c>
      <c r="AC16" s="3">
        <v>277</v>
      </c>
      <c r="AD16" s="3">
        <v>277</v>
      </c>
      <c r="AE16" s="4">
        <v>33.5</v>
      </c>
    </row>
    <row r="17" spans="1:31">
      <c r="A17" s="2" t="s">
        <v>205</v>
      </c>
      <c r="B17" s="3" t="s">
        <v>188</v>
      </c>
      <c r="C17" s="3">
        <v>283</v>
      </c>
      <c r="D17" s="3">
        <v>930</v>
      </c>
      <c r="E17" s="3">
        <v>550</v>
      </c>
      <c r="F17" s="3">
        <v>62</v>
      </c>
      <c r="G17" s="3" t="s">
        <v>189</v>
      </c>
      <c r="H17" s="3" t="s">
        <v>191</v>
      </c>
      <c r="I17" s="3" t="s">
        <v>190</v>
      </c>
      <c r="J17" s="3" t="s">
        <v>191</v>
      </c>
      <c r="K17" s="3" t="s">
        <v>190</v>
      </c>
      <c r="L17" s="3" t="s">
        <v>190</v>
      </c>
      <c r="M17" s="3">
        <v>29900</v>
      </c>
      <c r="N17" s="3">
        <v>29900</v>
      </c>
      <c r="O17" s="3">
        <v>2</v>
      </c>
      <c r="P17" s="3">
        <v>4</v>
      </c>
      <c r="Q17" s="3">
        <v>1100</v>
      </c>
      <c r="R17" s="3">
        <v>250</v>
      </c>
      <c r="S17" s="3">
        <v>1000</v>
      </c>
      <c r="T17" s="3">
        <v>200</v>
      </c>
      <c r="U17" s="3">
        <v>800</v>
      </c>
      <c r="V17" s="3">
        <v>480</v>
      </c>
      <c r="W17" s="3">
        <v>620</v>
      </c>
      <c r="X17" s="3">
        <v>30</v>
      </c>
      <c r="Y17" s="3">
        <v>22</v>
      </c>
      <c r="Z17" s="3" t="s">
        <v>191</v>
      </c>
      <c r="AA17" s="3" t="s">
        <v>190</v>
      </c>
      <c r="AB17" s="3" t="s">
        <v>190</v>
      </c>
      <c r="AC17" s="3">
        <v>230</v>
      </c>
      <c r="AD17" s="3">
        <v>230</v>
      </c>
      <c r="AE17" s="4">
        <v>43.2</v>
      </c>
    </row>
    <row r="18" spans="1:31">
      <c r="A18" s="2" t="s">
        <v>206</v>
      </c>
      <c r="B18" s="3" t="s">
        <v>188</v>
      </c>
      <c r="C18" s="3">
        <v>283</v>
      </c>
      <c r="D18" s="3">
        <v>930</v>
      </c>
      <c r="E18" s="3">
        <v>550</v>
      </c>
      <c r="F18" s="3">
        <v>62</v>
      </c>
      <c r="G18" s="3" t="s">
        <v>189</v>
      </c>
      <c r="H18" s="3" t="s">
        <v>191</v>
      </c>
      <c r="I18" s="3" t="s">
        <v>190</v>
      </c>
      <c r="J18" s="3" t="s">
        <v>191</v>
      </c>
      <c r="K18" s="3" t="s">
        <v>190</v>
      </c>
      <c r="L18" s="3" t="s">
        <v>190</v>
      </c>
      <c r="M18" s="3">
        <v>30000</v>
      </c>
      <c r="N18" s="3">
        <v>33000</v>
      </c>
      <c r="O18" s="3">
        <v>2</v>
      </c>
      <c r="P18" s="3">
        <v>4</v>
      </c>
      <c r="Q18" s="3">
        <v>1100</v>
      </c>
      <c r="R18" s="3">
        <v>250</v>
      </c>
      <c r="S18" s="3">
        <v>1000</v>
      </c>
      <c r="T18" s="3">
        <v>200</v>
      </c>
      <c r="U18" s="3">
        <v>800</v>
      </c>
      <c r="V18" s="3">
        <v>480</v>
      </c>
      <c r="W18" s="3">
        <v>620</v>
      </c>
      <c r="X18" s="3">
        <v>30</v>
      </c>
      <c r="Y18" s="3">
        <v>22</v>
      </c>
      <c r="Z18" s="3" t="s">
        <v>191</v>
      </c>
      <c r="AA18" s="3" t="s">
        <v>190</v>
      </c>
      <c r="AB18" s="3" t="s">
        <v>190</v>
      </c>
      <c r="AC18" s="3">
        <v>230</v>
      </c>
      <c r="AD18" s="3">
        <v>230</v>
      </c>
      <c r="AE18" s="4">
        <v>48</v>
      </c>
    </row>
    <row r="19" spans="1:31">
      <c r="A19" s="2" t="s">
        <v>207</v>
      </c>
      <c r="B19" s="3" t="s">
        <v>188</v>
      </c>
      <c r="C19" s="3">
        <v>283</v>
      </c>
      <c r="D19" s="3">
        <v>930</v>
      </c>
      <c r="E19" s="3">
        <v>550</v>
      </c>
      <c r="F19" s="3">
        <v>62</v>
      </c>
      <c r="G19" s="3" t="s">
        <v>189</v>
      </c>
      <c r="H19" s="3" t="s">
        <v>191</v>
      </c>
      <c r="I19" s="3" t="s">
        <v>190</v>
      </c>
      <c r="J19" s="3" t="s">
        <v>191</v>
      </c>
      <c r="K19" s="3" t="s">
        <v>190</v>
      </c>
      <c r="L19" s="3" t="s">
        <v>190</v>
      </c>
      <c r="M19" s="3">
        <v>36000</v>
      </c>
      <c r="N19" s="3">
        <v>40000</v>
      </c>
      <c r="O19" s="3">
        <v>2</v>
      </c>
      <c r="P19" s="3">
        <v>4</v>
      </c>
      <c r="Q19" s="3">
        <v>1100</v>
      </c>
      <c r="R19" s="3">
        <v>250</v>
      </c>
      <c r="S19" s="3">
        <v>1000</v>
      </c>
      <c r="T19" s="3">
        <v>200</v>
      </c>
      <c r="U19" s="3">
        <v>800</v>
      </c>
      <c r="V19" s="3">
        <v>480</v>
      </c>
      <c r="W19" s="3">
        <v>620</v>
      </c>
      <c r="X19" s="3">
        <v>30</v>
      </c>
      <c r="Y19" s="3">
        <v>22</v>
      </c>
      <c r="Z19" s="3" t="s">
        <v>191</v>
      </c>
      <c r="AA19" s="3" t="s">
        <v>190</v>
      </c>
      <c r="AB19" s="3" t="s">
        <v>190</v>
      </c>
      <c r="AC19" s="3">
        <v>277</v>
      </c>
      <c r="AD19" s="3">
        <v>220</v>
      </c>
      <c r="AE19" s="4">
        <v>60.8</v>
      </c>
    </row>
    <row r="20" spans="1:31">
      <c r="A20" s="2" t="s">
        <v>208</v>
      </c>
      <c r="B20" s="3" t="s">
        <v>188</v>
      </c>
      <c r="C20" s="3">
        <v>283</v>
      </c>
      <c r="D20" s="3">
        <v>930</v>
      </c>
      <c r="E20" s="3">
        <v>550</v>
      </c>
      <c r="F20" s="3">
        <v>62</v>
      </c>
      <c r="G20" s="3" t="s">
        <v>189</v>
      </c>
      <c r="H20" s="3" t="s">
        <v>191</v>
      </c>
      <c r="I20" s="3" t="s">
        <v>190</v>
      </c>
      <c r="J20" s="3" t="s">
        <v>191</v>
      </c>
      <c r="K20" s="3" t="s">
        <v>190</v>
      </c>
      <c r="L20" s="3" t="s">
        <v>190</v>
      </c>
      <c r="M20" s="3">
        <v>42000</v>
      </c>
      <c r="N20" s="3">
        <v>47000</v>
      </c>
      <c r="O20" s="3">
        <v>2</v>
      </c>
      <c r="P20" s="3">
        <v>4</v>
      </c>
      <c r="Q20" s="3">
        <v>1100</v>
      </c>
      <c r="R20" s="3">
        <v>250</v>
      </c>
      <c r="S20" s="3">
        <v>1000</v>
      </c>
      <c r="T20" s="3">
        <v>200</v>
      </c>
      <c r="U20" s="3">
        <v>850</v>
      </c>
      <c r="V20" s="3">
        <v>580</v>
      </c>
      <c r="W20" s="3">
        <v>620</v>
      </c>
      <c r="X20" s="3">
        <v>30</v>
      </c>
      <c r="Y20" s="3">
        <v>22</v>
      </c>
      <c r="Z20" s="3" t="s">
        <v>191</v>
      </c>
      <c r="AA20" s="3" t="s">
        <v>190</v>
      </c>
      <c r="AB20" s="3" t="s">
        <v>191</v>
      </c>
      <c r="AC20" s="3">
        <v>277</v>
      </c>
      <c r="AD20" s="3">
        <v>277</v>
      </c>
      <c r="AE20" s="4">
        <v>56.6</v>
      </c>
    </row>
    <row r="21" spans="1:31">
      <c r="A21" s="2" t="s">
        <v>209</v>
      </c>
      <c r="B21" s="3" t="s">
        <v>188</v>
      </c>
      <c r="C21" s="3">
        <v>262</v>
      </c>
      <c r="D21" s="3">
        <v>525</v>
      </c>
      <c r="E21" s="3">
        <v>470</v>
      </c>
      <c r="F21" s="3">
        <v>25</v>
      </c>
      <c r="G21" s="3" t="s">
        <v>189</v>
      </c>
      <c r="H21" s="3" t="s">
        <v>190</v>
      </c>
      <c r="I21" s="3" t="s">
        <v>190</v>
      </c>
      <c r="J21" s="3" t="s">
        <v>191</v>
      </c>
      <c r="K21" s="3" t="s">
        <v>190</v>
      </c>
      <c r="L21" s="3" t="s">
        <v>191</v>
      </c>
      <c r="M21" s="3">
        <v>8000</v>
      </c>
      <c r="N21" s="3">
        <v>8800</v>
      </c>
      <c r="O21" s="3">
        <v>2</v>
      </c>
      <c r="P21" s="3">
        <v>2</v>
      </c>
      <c r="Q21" s="3">
        <v>1080</v>
      </c>
      <c r="R21" s="3">
        <v>200</v>
      </c>
      <c r="S21" s="3">
        <v>950</v>
      </c>
      <c r="T21" s="3">
        <v>160</v>
      </c>
      <c r="U21" s="3">
        <v>850</v>
      </c>
      <c r="V21" s="3">
        <v>320</v>
      </c>
      <c r="W21" s="3">
        <v>600</v>
      </c>
      <c r="X21" s="3">
        <v>30</v>
      </c>
      <c r="Y21" s="3">
        <v>22</v>
      </c>
      <c r="Z21" s="3" t="s">
        <v>191</v>
      </c>
      <c r="AA21" s="3" t="s">
        <v>190</v>
      </c>
      <c r="AB21" s="3" t="s">
        <v>190</v>
      </c>
      <c r="AC21" s="3">
        <v>230</v>
      </c>
      <c r="AD21" s="3">
        <v>220</v>
      </c>
      <c r="AE21" s="4">
        <v>13.4</v>
      </c>
    </row>
    <row r="22" spans="1:31">
      <c r="A22" s="2" t="s">
        <v>210</v>
      </c>
      <c r="B22" s="3" t="s">
        <v>188</v>
      </c>
      <c r="C22" s="3">
        <v>262</v>
      </c>
      <c r="D22" s="3">
        <v>525</v>
      </c>
      <c r="E22" s="3">
        <v>470</v>
      </c>
      <c r="F22" s="3">
        <v>25</v>
      </c>
      <c r="G22" s="3" t="s">
        <v>189</v>
      </c>
      <c r="H22" s="3" t="s">
        <v>190</v>
      </c>
      <c r="I22" s="3" t="s">
        <v>190</v>
      </c>
      <c r="J22" s="3" t="s">
        <v>191</v>
      </c>
      <c r="K22" s="3" t="s">
        <v>190</v>
      </c>
      <c r="L22" s="3" t="s">
        <v>191</v>
      </c>
      <c r="M22" s="3">
        <v>10000</v>
      </c>
      <c r="N22" s="3">
        <v>11000</v>
      </c>
      <c r="O22" s="3">
        <v>2</v>
      </c>
      <c r="P22" s="3">
        <v>2</v>
      </c>
      <c r="Q22" s="3">
        <v>1080</v>
      </c>
      <c r="R22" s="3">
        <v>200</v>
      </c>
      <c r="S22" s="3">
        <v>950</v>
      </c>
      <c r="T22" s="3">
        <v>160</v>
      </c>
      <c r="U22" s="3">
        <v>850</v>
      </c>
      <c r="V22" s="3">
        <v>320</v>
      </c>
      <c r="W22" s="3">
        <v>600</v>
      </c>
      <c r="X22" s="3">
        <v>30</v>
      </c>
      <c r="Y22" s="3">
        <v>22</v>
      </c>
      <c r="Z22" s="3" t="s">
        <v>191</v>
      </c>
      <c r="AA22" s="3" t="s">
        <v>190</v>
      </c>
      <c r="AB22" s="3" t="s">
        <v>190</v>
      </c>
      <c r="AC22" s="3">
        <v>230</v>
      </c>
      <c r="AD22" s="3">
        <v>220</v>
      </c>
      <c r="AE22" s="4">
        <v>17</v>
      </c>
    </row>
    <row r="23" spans="1:31">
      <c r="A23" s="2" t="s">
        <v>211</v>
      </c>
      <c r="B23" s="3" t="s">
        <v>188</v>
      </c>
      <c r="C23" s="3">
        <v>262</v>
      </c>
      <c r="D23" s="3">
        <v>525</v>
      </c>
      <c r="E23" s="3">
        <v>470</v>
      </c>
      <c r="F23" s="3">
        <v>25</v>
      </c>
      <c r="G23" s="3" t="s">
        <v>189</v>
      </c>
      <c r="H23" s="3" t="s">
        <v>190</v>
      </c>
      <c r="I23" s="3" t="s">
        <v>190</v>
      </c>
      <c r="J23" s="3" t="s">
        <v>191</v>
      </c>
      <c r="K23" s="3" t="s">
        <v>190</v>
      </c>
      <c r="L23" s="3" t="s">
        <v>191</v>
      </c>
      <c r="M23" s="3">
        <v>12000</v>
      </c>
      <c r="N23" s="3">
        <v>13200</v>
      </c>
      <c r="O23" s="3">
        <v>2</v>
      </c>
      <c r="P23" s="3">
        <v>2</v>
      </c>
      <c r="Q23" s="3">
        <v>1080</v>
      </c>
      <c r="R23" s="3">
        <v>200</v>
      </c>
      <c r="S23" s="3">
        <v>950</v>
      </c>
      <c r="T23" s="3">
        <v>160</v>
      </c>
      <c r="U23" s="3">
        <v>850</v>
      </c>
      <c r="V23" s="3">
        <v>380</v>
      </c>
      <c r="W23" s="3">
        <v>600</v>
      </c>
      <c r="X23" s="3">
        <v>30</v>
      </c>
      <c r="Y23" s="3">
        <v>22</v>
      </c>
      <c r="Z23" s="3" t="s">
        <v>191</v>
      </c>
      <c r="AA23" s="3" t="s">
        <v>190</v>
      </c>
      <c r="AB23" s="3" t="s">
        <v>190</v>
      </c>
      <c r="AC23" s="3">
        <v>230</v>
      </c>
      <c r="AD23" s="3">
        <v>220</v>
      </c>
      <c r="AE23" s="4">
        <v>20</v>
      </c>
    </row>
    <row r="24" spans="1:31">
      <c r="A24" s="2" t="s">
        <v>212</v>
      </c>
      <c r="B24" s="3" t="s">
        <v>188</v>
      </c>
      <c r="C24" s="3">
        <v>262</v>
      </c>
      <c r="D24" s="3">
        <v>525</v>
      </c>
      <c r="E24" s="3">
        <v>470</v>
      </c>
      <c r="F24" s="3">
        <v>25</v>
      </c>
      <c r="G24" s="3" t="s">
        <v>189</v>
      </c>
      <c r="H24" s="3" t="s">
        <v>190</v>
      </c>
      <c r="I24" s="3" t="s">
        <v>190</v>
      </c>
      <c r="J24" s="3" t="s">
        <v>191</v>
      </c>
      <c r="K24" s="3" t="s">
        <v>190</v>
      </c>
      <c r="L24" s="3" t="s">
        <v>191</v>
      </c>
      <c r="M24" s="3">
        <v>15000</v>
      </c>
      <c r="N24" s="3">
        <v>16500</v>
      </c>
      <c r="O24" s="3">
        <v>2</v>
      </c>
      <c r="P24" s="3">
        <v>2</v>
      </c>
      <c r="Q24" s="3">
        <v>1080</v>
      </c>
      <c r="R24" s="3">
        <v>200</v>
      </c>
      <c r="S24" s="3">
        <v>950</v>
      </c>
      <c r="T24" s="3">
        <v>160</v>
      </c>
      <c r="U24" s="3">
        <v>850</v>
      </c>
      <c r="V24" s="3">
        <v>380</v>
      </c>
      <c r="W24" s="3">
        <v>600</v>
      </c>
      <c r="X24" s="3">
        <v>30</v>
      </c>
      <c r="Y24" s="3">
        <v>22</v>
      </c>
      <c r="Z24" s="3" t="s">
        <v>191</v>
      </c>
      <c r="AA24" s="3" t="s">
        <v>190</v>
      </c>
      <c r="AB24" s="3" t="s">
        <v>190</v>
      </c>
      <c r="AC24" s="3">
        <v>230</v>
      </c>
      <c r="AD24" s="3">
        <v>220</v>
      </c>
      <c r="AE24" s="4">
        <v>25.2</v>
      </c>
    </row>
    <row r="25" spans="1:31">
      <c r="A25" s="2" t="s">
        <v>213</v>
      </c>
      <c r="B25" s="3" t="s">
        <v>188</v>
      </c>
      <c r="C25" s="3">
        <v>262</v>
      </c>
      <c r="D25" s="3">
        <v>525</v>
      </c>
      <c r="E25" s="3">
        <v>470</v>
      </c>
      <c r="F25" s="3">
        <v>25</v>
      </c>
      <c r="G25" s="3" t="s">
        <v>189</v>
      </c>
      <c r="H25" s="3" t="s">
        <v>190</v>
      </c>
      <c r="I25" s="3" t="s">
        <v>190</v>
      </c>
      <c r="J25" s="3" t="s">
        <v>191</v>
      </c>
      <c r="K25" s="3" t="s">
        <v>190</v>
      </c>
      <c r="L25" s="3" t="s">
        <v>191</v>
      </c>
      <c r="M25" s="3">
        <v>17000</v>
      </c>
      <c r="N25" s="3">
        <v>18700</v>
      </c>
      <c r="O25" s="3">
        <v>2</v>
      </c>
      <c r="P25" s="3">
        <v>2</v>
      </c>
      <c r="Q25" s="3">
        <v>1080</v>
      </c>
      <c r="R25" s="3">
        <v>200</v>
      </c>
      <c r="S25" s="3">
        <v>950</v>
      </c>
      <c r="T25" s="3">
        <v>160</v>
      </c>
      <c r="U25" s="3">
        <v>850</v>
      </c>
      <c r="V25" s="3">
        <v>400</v>
      </c>
      <c r="W25" s="3">
        <v>600</v>
      </c>
      <c r="X25" s="3">
        <v>30</v>
      </c>
      <c r="Y25" s="3">
        <v>22</v>
      </c>
      <c r="Z25" s="3" t="s">
        <v>191</v>
      </c>
      <c r="AA25" s="3" t="s">
        <v>190</v>
      </c>
      <c r="AB25" s="3" t="s">
        <v>190</v>
      </c>
      <c r="AC25" s="3">
        <v>230</v>
      </c>
      <c r="AD25" s="3">
        <v>220</v>
      </c>
      <c r="AE25" s="4">
        <v>28.5</v>
      </c>
    </row>
    <row r="26" spans="1:31">
      <c r="A26" s="2" t="s">
        <v>214</v>
      </c>
      <c r="B26" s="3" t="s">
        <v>188</v>
      </c>
      <c r="C26" s="3">
        <v>262</v>
      </c>
      <c r="D26" s="3">
        <v>525</v>
      </c>
      <c r="E26" s="3">
        <v>470</v>
      </c>
      <c r="F26" s="3">
        <v>25</v>
      </c>
      <c r="G26" s="3" t="s">
        <v>189</v>
      </c>
      <c r="H26" s="3" t="s">
        <v>190</v>
      </c>
      <c r="I26" s="3" t="s">
        <v>190</v>
      </c>
      <c r="J26" s="3" t="s">
        <v>191</v>
      </c>
      <c r="K26" s="3" t="s">
        <v>190</v>
      </c>
      <c r="L26" s="3" t="s">
        <v>191</v>
      </c>
      <c r="M26" s="3">
        <v>20000</v>
      </c>
      <c r="N26" s="3">
        <v>22000</v>
      </c>
      <c r="O26" s="3">
        <v>2</v>
      </c>
      <c r="P26" s="3">
        <v>2</v>
      </c>
      <c r="Q26" s="3">
        <v>1080</v>
      </c>
      <c r="R26" s="3">
        <v>200</v>
      </c>
      <c r="S26" s="3">
        <v>950</v>
      </c>
      <c r="T26" s="3">
        <v>160</v>
      </c>
      <c r="U26" s="3">
        <v>850</v>
      </c>
      <c r="V26" s="3">
        <v>480</v>
      </c>
      <c r="W26" s="3">
        <v>600</v>
      </c>
      <c r="X26" s="3">
        <v>30</v>
      </c>
      <c r="Y26" s="3">
        <v>22</v>
      </c>
      <c r="Z26" s="3" t="s">
        <v>191</v>
      </c>
      <c r="AA26" s="3" t="s">
        <v>190</v>
      </c>
      <c r="AB26" s="3" t="s">
        <v>190</v>
      </c>
      <c r="AC26" s="3">
        <v>230</v>
      </c>
      <c r="AD26" s="3">
        <v>220</v>
      </c>
      <c r="AE26" s="4">
        <v>33.5</v>
      </c>
    </row>
    <row r="27" spans="1:31">
      <c r="A27" s="2" t="s">
        <v>215</v>
      </c>
      <c r="B27" s="3" t="s">
        <v>188</v>
      </c>
      <c r="C27" s="3">
        <v>262</v>
      </c>
      <c r="D27" s="3">
        <v>525</v>
      </c>
      <c r="E27" s="3">
        <v>470</v>
      </c>
      <c r="F27" s="3">
        <v>25</v>
      </c>
      <c r="G27" s="3" t="s">
        <v>189</v>
      </c>
      <c r="H27" s="3" t="s">
        <v>190</v>
      </c>
      <c r="I27" s="3" t="s">
        <v>190</v>
      </c>
      <c r="J27" s="3" t="s">
        <v>191</v>
      </c>
      <c r="K27" s="3" t="s">
        <v>190</v>
      </c>
      <c r="L27" s="3" t="s">
        <v>191</v>
      </c>
      <c r="M27" s="3">
        <v>8000</v>
      </c>
      <c r="N27" s="3">
        <v>8800</v>
      </c>
      <c r="O27" s="3">
        <v>2</v>
      </c>
      <c r="P27" s="3">
        <v>2</v>
      </c>
      <c r="Q27" s="3">
        <v>1080</v>
      </c>
      <c r="R27" s="3">
        <v>200</v>
      </c>
      <c r="S27" s="3">
        <v>950</v>
      </c>
      <c r="T27" s="3">
        <v>160</v>
      </c>
      <c r="U27" s="3">
        <v>850</v>
      </c>
      <c r="V27" s="3">
        <v>320</v>
      </c>
      <c r="W27" s="3">
        <v>600</v>
      </c>
      <c r="X27" s="3">
        <v>30</v>
      </c>
      <c r="Y27" s="3">
        <v>22</v>
      </c>
      <c r="Z27" s="3" t="s">
        <v>191</v>
      </c>
      <c r="AA27" s="3" t="s">
        <v>190</v>
      </c>
      <c r="AB27" s="3" t="s">
        <v>190</v>
      </c>
      <c r="AC27" s="3">
        <v>230</v>
      </c>
      <c r="AD27" s="3">
        <v>220</v>
      </c>
      <c r="AE27" s="4">
        <v>13.4</v>
      </c>
    </row>
    <row r="28" spans="1:31">
      <c r="A28" s="2" t="s">
        <v>216</v>
      </c>
      <c r="B28" s="3" t="s">
        <v>188</v>
      </c>
      <c r="C28" s="3">
        <v>262</v>
      </c>
      <c r="D28" s="3">
        <v>525</v>
      </c>
      <c r="E28" s="3">
        <v>470</v>
      </c>
      <c r="F28" s="3">
        <v>25</v>
      </c>
      <c r="G28" s="3" t="s">
        <v>189</v>
      </c>
      <c r="H28" s="3" t="s">
        <v>190</v>
      </c>
      <c r="I28" s="3" t="s">
        <v>190</v>
      </c>
      <c r="J28" s="3" t="s">
        <v>191</v>
      </c>
      <c r="K28" s="3" t="s">
        <v>190</v>
      </c>
      <c r="L28" s="3" t="s">
        <v>191</v>
      </c>
      <c r="M28" s="3">
        <v>10000</v>
      </c>
      <c r="N28" s="3">
        <v>11000</v>
      </c>
      <c r="O28" s="3">
        <v>2</v>
      </c>
      <c r="P28" s="3">
        <v>2</v>
      </c>
      <c r="Q28" s="3">
        <v>1080</v>
      </c>
      <c r="R28" s="3">
        <v>200</v>
      </c>
      <c r="S28" s="3">
        <v>950</v>
      </c>
      <c r="T28" s="3">
        <v>160</v>
      </c>
      <c r="U28" s="3">
        <v>850</v>
      </c>
      <c r="V28" s="3">
        <v>320</v>
      </c>
      <c r="W28" s="3">
        <v>600</v>
      </c>
      <c r="X28" s="3">
        <v>30</v>
      </c>
      <c r="Y28" s="3">
        <v>22</v>
      </c>
      <c r="Z28" s="3" t="s">
        <v>191</v>
      </c>
      <c r="AA28" s="3" t="s">
        <v>190</v>
      </c>
      <c r="AB28" s="3" t="s">
        <v>190</v>
      </c>
      <c r="AC28" s="3">
        <v>230</v>
      </c>
      <c r="AD28" s="3">
        <v>220</v>
      </c>
      <c r="AE28" s="4">
        <v>17</v>
      </c>
    </row>
    <row r="29" spans="1:31">
      <c r="A29" s="2" t="s">
        <v>217</v>
      </c>
      <c r="B29" s="3" t="s">
        <v>188</v>
      </c>
      <c r="C29" s="3">
        <v>262</v>
      </c>
      <c r="D29" s="3">
        <v>525</v>
      </c>
      <c r="E29" s="3">
        <v>470</v>
      </c>
      <c r="F29" s="3">
        <v>25</v>
      </c>
      <c r="G29" s="3" t="s">
        <v>189</v>
      </c>
      <c r="H29" s="3" t="s">
        <v>190</v>
      </c>
      <c r="I29" s="3" t="s">
        <v>190</v>
      </c>
      <c r="J29" s="3" t="s">
        <v>191</v>
      </c>
      <c r="K29" s="3" t="s">
        <v>190</v>
      </c>
      <c r="L29" s="3" t="s">
        <v>191</v>
      </c>
      <c r="M29" s="3">
        <v>12000</v>
      </c>
      <c r="N29" s="3">
        <v>13200</v>
      </c>
      <c r="O29" s="3">
        <v>2</v>
      </c>
      <c r="P29" s="3">
        <v>2</v>
      </c>
      <c r="Q29" s="3">
        <v>1080</v>
      </c>
      <c r="R29" s="3">
        <v>200</v>
      </c>
      <c r="S29" s="3">
        <v>950</v>
      </c>
      <c r="T29" s="3">
        <v>160</v>
      </c>
      <c r="U29" s="3">
        <v>850</v>
      </c>
      <c r="V29" s="3">
        <v>380</v>
      </c>
      <c r="W29" s="3">
        <v>600</v>
      </c>
      <c r="X29" s="3">
        <v>30</v>
      </c>
      <c r="Y29" s="3">
        <v>22</v>
      </c>
      <c r="Z29" s="3" t="s">
        <v>191</v>
      </c>
      <c r="AA29" s="3" t="s">
        <v>190</v>
      </c>
      <c r="AB29" s="3" t="s">
        <v>190</v>
      </c>
      <c r="AC29" s="3">
        <v>230</v>
      </c>
      <c r="AD29" s="3">
        <v>220</v>
      </c>
      <c r="AE29" s="4">
        <v>20</v>
      </c>
    </row>
    <row r="30" spans="1:31">
      <c r="A30" s="2" t="s">
        <v>218</v>
      </c>
      <c r="B30" s="3" t="s">
        <v>188</v>
      </c>
      <c r="C30" s="3">
        <v>262</v>
      </c>
      <c r="D30" s="3">
        <v>525</v>
      </c>
      <c r="E30" s="3">
        <v>470</v>
      </c>
      <c r="F30" s="3">
        <v>25</v>
      </c>
      <c r="G30" s="3" t="s">
        <v>189</v>
      </c>
      <c r="H30" s="3" t="s">
        <v>190</v>
      </c>
      <c r="I30" s="3" t="s">
        <v>190</v>
      </c>
      <c r="J30" s="3" t="s">
        <v>191</v>
      </c>
      <c r="K30" s="3" t="s">
        <v>190</v>
      </c>
      <c r="L30" s="3" t="s">
        <v>191</v>
      </c>
      <c r="M30" s="3">
        <v>15000</v>
      </c>
      <c r="N30" s="3">
        <v>16500</v>
      </c>
      <c r="O30" s="3">
        <v>2</v>
      </c>
      <c r="P30" s="3">
        <v>2</v>
      </c>
      <c r="Q30" s="3">
        <v>1080</v>
      </c>
      <c r="R30" s="3">
        <v>200</v>
      </c>
      <c r="S30" s="3">
        <v>950</v>
      </c>
      <c r="T30" s="3">
        <v>160</v>
      </c>
      <c r="U30" s="3">
        <v>850</v>
      </c>
      <c r="V30" s="3">
        <v>380</v>
      </c>
      <c r="W30" s="3">
        <v>600</v>
      </c>
      <c r="X30" s="3">
        <v>30</v>
      </c>
      <c r="Y30" s="3">
        <v>22</v>
      </c>
      <c r="Z30" s="3" t="s">
        <v>191</v>
      </c>
      <c r="AA30" s="3" t="s">
        <v>190</v>
      </c>
      <c r="AB30" s="3" t="s">
        <v>190</v>
      </c>
      <c r="AC30" s="3">
        <v>230</v>
      </c>
      <c r="AD30" s="3">
        <v>220</v>
      </c>
      <c r="AE30" s="4">
        <v>25.5</v>
      </c>
    </row>
    <row r="31" spans="1:31">
      <c r="A31" s="2" t="s">
        <v>219</v>
      </c>
      <c r="B31" s="3" t="s">
        <v>188</v>
      </c>
      <c r="C31" s="3">
        <v>262</v>
      </c>
      <c r="D31" s="3">
        <v>525</v>
      </c>
      <c r="E31" s="3">
        <v>470</v>
      </c>
      <c r="F31" s="3">
        <v>25</v>
      </c>
      <c r="G31" s="3" t="s">
        <v>189</v>
      </c>
      <c r="H31" s="3" t="s">
        <v>190</v>
      </c>
      <c r="I31" s="3" t="s">
        <v>190</v>
      </c>
      <c r="J31" s="3" t="s">
        <v>191</v>
      </c>
      <c r="K31" s="3" t="s">
        <v>190</v>
      </c>
      <c r="L31" s="3" t="s">
        <v>191</v>
      </c>
      <c r="M31" s="3">
        <v>17000</v>
      </c>
      <c r="N31" s="3">
        <v>18700</v>
      </c>
      <c r="O31" s="3">
        <v>2</v>
      </c>
      <c r="P31" s="3">
        <v>2</v>
      </c>
      <c r="Q31" s="3">
        <v>1080</v>
      </c>
      <c r="R31" s="3">
        <v>200</v>
      </c>
      <c r="S31" s="3">
        <v>950</v>
      </c>
      <c r="T31" s="3">
        <v>160</v>
      </c>
      <c r="U31" s="3">
        <v>850</v>
      </c>
      <c r="V31" s="3">
        <v>400</v>
      </c>
      <c r="W31" s="3">
        <v>600</v>
      </c>
      <c r="X31" s="3">
        <v>30</v>
      </c>
      <c r="Y31" s="3">
        <v>22</v>
      </c>
      <c r="Z31" s="3" t="s">
        <v>191</v>
      </c>
      <c r="AA31" s="3" t="s">
        <v>190</v>
      </c>
      <c r="AB31" s="3" t="s">
        <v>190</v>
      </c>
      <c r="AC31" s="3">
        <v>230</v>
      </c>
      <c r="AD31" s="3">
        <v>220</v>
      </c>
      <c r="AE31" s="4">
        <v>28.5</v>
      </c>
    </row>
    <row r="32" spans="1:31">
      <c r="A32" s="2" t="s">
        <v>220</v>
      </c>
      <c r="B32" s="3" t="s">
        <v>188</v>
      </c>
      <c r="C32" s="3">
        <v>262</v>
      </c>
      <c r="D32" s="3">
        <v>525</v>
      </c>
      <c r="E32" s="3">
        <v>470</v>
      </c>
      <c r="F32" s="3">
        <v>25</v>
      </c>
      <c r="G32" s="3" t="s">
        <v>189</v>
      </c>
      <c r="H32" s="3" t="s">
        <v>190</v>
      </c>
      <c r="I32" s="3" t="s">
        <v>190</v>
      </c>
      <c r="J32" s="3" t="s">
        <v>191</v>
      </c>
      <c r="K32" s="3" t="s">
        <v>190</v>
      </c>
      <c r="L32" s="3" t="s">
        <v>191</v>
      </c>
      <c r="M32" s="3">
        <v>20000</v>
      </c>
      <c r="N32" s="3">
        <v>22000</v>
      </c>
      <c r="O32" s="3">
        <v>2</v>
      </c>
      <c r="P32" s="3">
        <v>2</v>
      </c>
      <c r="Q32" s="3">
        <v>1080</v>
      </c>
      <c r="R32" s="3">
        <v>200</v>
      </c>
      <c r="S32" s="3">
        <v>950</v>
      </c>
      <c r="T32" s="3">
        <v>160</v>
      </c>
      <c r="U32" s="3">
        <v>850</v>
      </c>
      <c r="V32" s="3">
        <v>480</v>
      </c>
      <c r="W32" s="3">
        <v>600</v>
      </c>
      <c r="X32" s="3">
        <v>30</v>
      </c>
      <c r="Y32" s="3">
        <v>22</v>
      </c>
      <c r="Z32" s="3" t="s">
        <v>191</v>
      </c>
      <c r="AA32" s="3" t="s">
        <v>190</v>
      </c>
      <c r="AB32" s="3" t="s">
        <v>190</v>
      </c>
      <c r="AC32" s="3">
        <v>230</v>
      </c>
      <c r="AD32" s="3">
        <v>220</v>
      </c>
      <c r="AE32" s="4">
        <v>33.5</v>
      </c>
    </row>
    <row r="33" spans="1:31">
      <c r="A33" s="2" t="s">
        <v>221</v>
      </c>
      <c r="B33" s="3" t="s">
        <v>188</v>
      </c>
      <c r="C33" s="3">
        <v>270</v>
      </c>
      <c r="D33" s="3">
        <v>640</v>
      </c>
      <c r="E33" s="3">
        <v>530</v>
      </c>
      <c r="F33" s="3">
        <v>43</v>
      </c>
      <c r="G33" s="3" t="s">
        <v>189</v>
      </c>
      <c r="H33" s="3" t="s">
        <v>190</v>
      </c>
      <c r="I33" s="3" t="s">
        <v>190</v>
      </c>
      <c r="J33" s="3" t="s">
        <v>191</v>
      </c>
      <c r="K33" s="3" t="s">
        <v>190</v>
      </c>
      <c r="L33" s="3" t="s">
        <v>191</v>
      </c>
      <c r="M33" s="3">
        <v>20000</v>
      </c>
      <c r="N33" s="3">
        <v>22000</v>
      </c>
      <c r="O33" s="3">
        <v>2</v>
      </c>
      <c r="P33" s="3">
        <v>4</v>
      </c>
      <c r="Q33" s="3">
        <v>800</v>
      </c>
      <c r="R33" s="3">
        <v>200</v>
      </c>
      <c r="S33" s="3">
        <v>750</v>
      </c>
      <c r="T33" s="3">
        <v>200</v>
      </c>
      <c r="U33" s="3">
        <v>550</v>
      </c>
      <c r="V33" s="3">
        <v>300</v>
      </c>
      <c r="W33" s="3">
        <v>350</v>
      </c>
      <c r="X33" s="3">
        <v>40</v>
      </c>
      <c r="Y33" s="3">
        <v>26</v>
      </c>
      <c r="Z33" s="3" t="s">
        <v>191</v>
      </c>
      <c r="AA33" s="3" t="s">
        <v>191</v>
      </c>
      <c r="AB33" s="3" t="s">
        <v>190</v>
      </c>
      <c r="AC33" s="3">
        <v>230</v>
      </c>
      <c r="AD33" s="3">
        <v>127</v>
      </c>
      <c r="AE33" s="4">
        <v>58</v>
      </c>
    </row>
    <row r="34" spans="1:31">
      <c r="A34" s="2" t="s">
        <v>222</v>
      </c>
      <c r="B34" s="3" t="s">
        <v>188</v>
      </c>
      <c r="C34" s="3">
        <v>270</v>
      </c>
      <c r="D34" s="3">
        <v>640</v>
      </c>
      <c r="E34" s="3">
        <v>530</v>
      </c>
      <c r="F34" s="3">
        <v>43</v>
      </c>
      <c r="G34" s="3" t="s">
        <v>189</v>
      </c>
      <c r="H34" s="3" t="s">
        <v>190</v>
      </c>
      <c r="I34" s="3" t="s">
        <v>190</v>
      </c>
      <c r="J34" s="3" t="s">
        <v>191</v>
      </c>
      <c r="K34" s="3" t="s">
        <v>190</v>
      </c>
      <c r="L34" s="3" t="s">
        <v>191</v>
      </c>
      <c r="M34" s="3">
        <v>29900</v>
      </c>
      <c r="N34" s="3">
        <v>29900</v>
      </c>
      <c r="O34" s="3">
        <v>2</v>
      </c>
      <c r="P34" s="3">
        <v>4</v>
      </c>
      <c r="Q34" s="3">
        <v>1100</v>
      </c>
      <c r="R34" s="3">
        <v>200</v>
      </c>
      <c r="S34" s="3">
        <v>1000</v>
      </c>
      <c r="T34" s="3">
        <v>200</v>
      </c>
      <c r="U34" s="3">
        <v>800</v>
      </c>
      <c r="V34" s="3">
        <v>500</v>
      </c>
      <c r="W34" s="3">
        <v>600</v>
      </c>
      <c r="X34" s="3">
        <v>40</v>
      </c>
      <c r="Y34" s="3">
        <v>26</v>
      </c>
      <c r="Z34" s="3" t="s">
        <v>191</v>
      </c>
      <c r="AA34" s="3" t="s">
        <v>191</v>
      </c>
      <c r="AB34" s="3" t="s">
        <v>190</v>
      </c>
      <c r="AC34" s="3">
        <v>277</v>
      </c>
      <c r="AD34" s="3">
        <v>230</v>
      </c>
      <c r="AE34" s="4">
        <v>43.2</v>
      </c>
    </row>
    <row r="35" spans="1:31">
      <c r="A35" s="2" t="s">
        <v>4</v>
      </c>
      <c r="B35" s="3" t="s">
        <v>188</v>
      </c>
      <c r="C35" s="3">
        <v>270</v>
      </c>
      <c r="D35" s="3">
        <v>640</v>
      </c>
      <c r="E35" s="3">
        <v>530</v>
      </c>
      <c r="F35" s="3">
        <v>43</v>
      </c>
      <c r="G35" s="3" t="s">
        <v>189</v>
      </c>
      <c r="H35" s="3" t="s">
        <v>190</v>
      </c>
      <c r="I35" s="3" t="s">
        <v>190</v>
      </c>
      <c r="J35" s="3" t="s">
        <v>191</v>
      </c>
      <c r="K35" s="3" t="s">
        <v>190</v>
      </c>
      <c r="L35" s="3" t="s">
        <v>191</v>
      </c>
      <c r="M35" s="3">
        <v>30000</v>
      </c>
      <c r="N35" s="3">
        <v>33000</v>
      </c>
      <c r="O35" s="3">
        <v>2</v>
      </c>
      <c r="P35" s="3">
        <v>4</v>
      </c>
      <c r="Q35" s="3">
        <v>1100</v>
      </c>
      <c r="R35" s="3">
        <v>200</v>
      </c>
      <c r="S35" s="3">
        <v>1000</v>
      </c>
      <c r="T35" s="3">
        <v>200</v>
      </c>
      <c r="U35" s="3">
        <v>800</v>
      </c>
      <c r="V35" s="3">
        <v>500</v>
      </c>
      <c r="W35" s="3">
        <v>600</v>
      </c>
      <c r="X35" s="3">
        <v>40</v>
      </c>
      <c r="Y35" s="3">
        <v>26</v>
      </c>
      <c r="Z35" s="3" t="s">
        <v>191</v>
      </c>
      <c r="AA35" s="3" t="s">
        <v>191</v>
      </c>
      <c r="AB35" s="3" t="s">
        <v>190</v>
      </c>
      <c r="AC35" s="3">
        <v>277</v>
      </c>
      <c r="AD35" s="3">
        <v>220</v>
      </c>
      <c r="AE35" s="4">
        <v>50.4</v>
      </c>
    </row>
    <row r="36" spans="1:31">
      <c r="A36" s="2" t="s">
        <v>223</v>
      </c>
      <c r="B36" s="3" t="s">
        <v>188</v>
      </c>
      <c r="C36" s="3">
        <v>270</v>
      </c>
      <c r="D36" s="3">
        <v>640</v>
      </c>
      <c r="E36" s="3">
        <v>530</v>
      </c>
      <c r="F36" s="3">
        <v>43</v>
      </c>
      <c r="G36" s="3" t="s">
        <v>189</v>
      </c>
      <c r="H36" s="3" t="s">
        <v>190</v>
      </c>
      <c r="I36" s="3" t="s">
        <v>190</v>
      </c>
      <c r="J36" s="3" t="s">
        <v>191</v>
      </c>
      <c r="K36" s="3" t="s">
        <v>190</v>
      </c>
      <c r="L36" s="3" t="s">
        <v>191</v>
      </c>
      <c r="M36" s="3">
        <v>36000</v>
      </c>
      <c r="N36" s="3">
        <v>40000</v>
      </c>
      <c r="O36" s="3">
        <v>2</v>
      </c>
      <c r="P36" s="3">
        <v>4</v>
      </c>
      <c r="Q36" s="3">
        <v>1100</v>
      </c>
      <c r="R36" s="3">
        <v>200</v>
      </c>
      <c r="S36" s="3">
        <v>1000</v>
      </c>
      <c r="T36" s="3">
        <v>200</v>
      </c>
      <c r="U36" s="3">
        <v>800</v>
      </c>
      <c r="V36" s="3">
        <v>520</v>
      </c>
      <c r="W36" s="3">
        <v>600</v>
      </c>
      <c r="X36" s="3">
        <v>40</v>
      </c>
      <c r="Y36" s="3">
        <v>26</v>
      </c>
      <c r="Z36" s="3" t="s">
        <v>191</v>
      </c>
      <c r="AA36" s="3" t="s">
        <v>191</v>
      </c>
      <c r="AB36" s="3" t="s">
        <v>190</v>
      </c>
      <c r="AC36" s="3">
        <v>277</v>
      </c>
      <c r="AD36" s="3">
        <v>220</v>
      </c>
      <c r="AE36" s="4">
        <v>61.1</v>
      </c>
    </row>
    <row r="37" spans="1:31">
      <c r="A37" s="2" t="s">
        <v>224</v>
      </c>
      <c r="B37" s="3" t="s">
        <v>188</v>
      </c>
      <c r="C37" s="3">
        <v>270</v>
      </c>
      <c r="D37" s="3">
        <v>640</v>
      </c>
      <c r="E37" s="3">
        <v>530</v>
      </c>
      <c r="F37" s="3">
        <v>43</v>
      </c>
      <c r="G37" s="3" t="s">
        <v>189</v>
      </c>
      <c r="H37" s="3" t="s">
        <v>190</v>
      </c>
      <c r="I37" s="3" t="s">
        <v>190</v>
      </c>
      <c r="J37" s="3" t="s">
        <v>191</v>
      </c>
      <c r="K37" s="3" t="s">
        <v>190</v>
      </c>
      <c r="L37" s="3" t="s">
        <v>191</v>
      </c>
      <c r="M37" s="3">
        <v>40000</v>
      </c>
      <c r="N37" s="3">
        <v>44000</v>
      </c>
      <c r="O37" s="3">
        <v>2</v>
      </c>
      <c r="P37" s="3">
        <v>4</v>
      </c>
      <c r="Q37" s="3">
        <v>1100</v>
      </c>
      <c r="R37" s="3">
        <v>200</v>
      </c>
      <c r="S37" s="3">
        <v>1000</v>
      </c>
      <c r="T37" s="3">
        <v>200</v>
      </c>
      <c r="U37" s="3">
        <v>800</v>
      </c>
      <c r="V37" s="3">
        <v>540</v>
      </c>
      <c r="W37" s="3">
        <v>600</v>
      </c>
      <c r="X37" s="3">
        <v>40</v>
      </c>
      <c r="Y37" s="3">
        <v>26</v>
      </c>
      <c r="Z37" s="3" t="s">
        <v>191</v>
      </c>
      <c r="AA37" s="3" t="s">
        <v>191</v>
      </c>
      <c r="AB37" s="3" t="s">
        <v>190</v>
      </c>
      <c r="AC37" s="3">
        <v>277</v>
      </c>
      <c r="AD37" s="3">
        <v>220</v>
      </c>
      <c r="AE37" s="4">
        <v>67.2</v>
      </c>
    </row>
    <row r="38" spans="1:31">
      <c r="A38" s="2" t="s">
        <v>225</v>
      </c>
      <c r="B38" s="3" t="s">
        <v>188</v>
      </c>
      <c r="C38" s="3">
        <v>300</v>
      </c>
      <c r="D38" s="3">
        <v>1075</v>
      </c>
      <c r="E38" s="3">
        <v>555</v>
      </c>
      <c r="F38" s="3">
        <v>74</v>
      </c>
      <c r="G38" s="3" t="s">
        <v>189</v>
      </c>
      <c r="H38" s="3" t="s">
        <v>191</v>
      </c>
      <c r="I38" s="3" t="s">
        <v>190</v>
      </c>
      <c r="J38" s="3" t="s">
        <v>191</v>
      </c>
      <c r="K38" s="3" t="s">
        <v>190</v>
      </c>
      <c r="L38" s="3" t="s">
        <v>190</v>
      </c>
      <c r="M38" s="3">
        <v>50000</v>
      </c>
      <c r="N38" s="3">
        <v>55000</v>
      </c>
      <c r="O38" s="3">
        <v>2</v>
      </c>
      <c r="P38" s="3">
        <v>6</v>
      </c>
      <c r="Q38" s="3">
        <v>1100</v>
      </c>
      <c r="R38" s="3">
        <v>200</v>
      </c>
      <c r="S38" s="3">
        <v>1000</v>
      </c>
      <c r="T38" s="3">
        <v>200</v>
      </c>
      <c r="U38" s="3">
        <v>800</v>
      </c>
      <c r="V38" s="3">
        <v>520</v>
      </c>
      <c r="X38" s="3">
        <v>30</v>
      </c>
      <c r="Y38" s="3">
        <v>22</v>
      </c>
      <c r="Z38" s="3" t="s">
        <v>191</v>
      </c>
      <c r="AA38" s="3" t="s">
        <v>190</v>
      </c>
      <c r="AB38" s="3" t="s">
        <v>190</v>
      </c>
      <c r="AC38" s="3">
        <v>240</v>
      </c>
      <c r="AD38" s="3">
        <v>220</v>
      </c>
      <c r="AE38" s="4">
        <v>83.6</v>
      </c>
    </row>
    <row r="39" spans="1:31">
      <c r="A39" s="2" t="s">
        <v>226</v>
      </c>
      <c r="B39" s="3" t="s">
        <v>188</v>
      </c>
      <c r="C39" s="3">
        <v>300</v>
      </c>
      <c r="D39" s="3">
        <v>1075</v>
      </c>
      <c r="E39" s="3">
        <v>555</v>
      </c>
      <c r="F39" s="3">
        <v>74</v>
      </c>
      <c r="G39" s="3" t="s">
        <v>189</v>
      </c>
      <c r="H39" s="3" t="s">
        <v>191</v>
      </c>
      <c r="I39" s="3" t="s">
        <v>190</v>
      </c>
      <c r="J39" s="3" t="s">
        <v>191</v>
      </c>
      <c r="K39" s="3" t="s">
        <v>190</v>
      </c>
      <c r="L39" s="3" t="s">
        <v>190</v>
      </c>
      <c r="M39" s="3">
        <v>60000</v>
      </c>
      <c r="N39" s="3">
        <v>66000</v>
      </c>
      <c r="O39" s="3">
        <v>2</v>
      </c>
      <c r="P39" s="3">
        <v>6</v>
      </c>
      <c r="Q39" s="3">
        <v>1100</v>
      </c>
      <c r="R39" s="3">
        <v>200</v>
      </c>
      <c r="S39" s="3">
        <v>1000</v>
      </c>
      <c r="T39" s="3">
        <v>200</v>
      </c>
      <c r="U39" s="3">
        <v>800</v>
      </c>
      <c r="V39" s="3">
        <v>520</v>
      </c>
      <c r="X39" s="3">
        <v>30</v>
      </c>
      <c r="Y39" s="3">
        <v>22</v>
      </c>
      <c r="Z39" s="3" t="s">
        <v>191</v>
      </c>
      <c r="AA39" s="3" t="s">
        <v>190</v>
      </c>
      <c r="AB39" s="3" t="s">
        <v>190</v>
      </c>
      <c r="AC39" s="3">
        <v>277</v>
      </c>
      <c r="AD39" s="3">
        <v>220</v>
      </c>
      <c r="AE39" s="4">
        <v>100</v>
      </c>
    </row>
    <row r="40" spans="1:31">
      <c r="A40" s="2" t="s">
        <v>227</v>
      </c>
      <c r="B40" s="3" t="s">
        <v>188</v>
      </c>
      <c r="C40" s="3">
        <v>300</v>
      </c>
      <c r="D40" s="3">
        <v>1075</v>
      </c>
      <c r="E40" s="3">
        <v>555</v>
      </c>
      <c r="F40" s="3">
        <v>72</v>
      </c>
      <c r="G40" s="3" t="s">
        <v>189</v>
      </c>
      <c r="H40" s="3" t="s">
        <v>191</v>
      </c>
      <c r="I40" s="3" t="s">
        <v>190</v>
      </c>
      <c r="J40" s="3" t="s">
        <v>191</v>
      </c>
      <c r="K40" s="3" t="s">
        <v>190</v>
      </c>
      <c r="L40" s="3" t="s">
        <v>190</v>
      </c>
      <c r="M40" s="3">
        <v>65000</v>
      </c>
      <c r="N40" s="3">
        <v>72000</v>
      </c>
      <c r="O40" s="3">
        <v>2</v>
      </c>
      <c r="P40" s="3">
        <v>6</v>
      </c>
      <c r="Q40" s="3">
        <v>1100</v>
      </c>
      <c r="R40" s="3">
        <v>200</v>
      </c>
      <c r="S40" s="3">
        <v>1000</v>
      </c>
      <c r="T40" s="3">
        <v>200</v>
      </c>
      <c r="U40" s="3">
        <v>850</v>
      </c>
      <c r="V40" s="3">
        <v>600</v>
      </c>
      <c r="X40" s="3">
        <v>30</v>
      </c>
      <c r="Y40" s="3">
        <v>22</v>
      </c>
      <c r="Z40" s="3" t="s">
        <v>191</v>
      </c>
      <c r="AA40" s="3" t="s">
        <v>190</v>
      </c>
      <c r="AB40" s="3" t="s">
        <v>190</v>
      </c>
      <c r="AC40" s="3">
        <v>277</v>
      </c>
      <c r="AD40" s="3">
        <v>277</v>
      </c>
      <c r="AE40" s="4">
        <v>86.7</v>
      </c>
    </row>
    <row r="41" spans="1:31">
      <c r="A41" s="2" t="s">
        <v>228</v>
      </c>
      <c r="B41" s="3" t="s">
        <v>188</v>
      </c>
      <c r="C41" s="3">
        <v>365</v>
      </c>
      <c r="D41" s="3">
        <v>1035</v>
      </c>
      <c r="E41" s="3">
        <v>700</v>
      </c>
      <c r="F41" s="3">
        <v>90</v>
      </c>
      <c r="G41" s="3" t="s">
        <v>229</v>
      </c>
      <c r="H41" s="3" t="s">
        <v>191</v>
      </c>
      <c r="I41" s="3" t="s">
        <v>190</v>
      </c>
      <c r="J41" s="3" t="s">
        <v>191</v>
      </c>
      <c r="K41" s="3" t="s">
        <v>190</v>
      </c>
      <c r="L41" s="3" t="s">
        <v>190</v>
      </c>
      <c r="M41" s="3">
        <v>75000</v>
      </c>
      <c r="N41" s="3">
        <v>75000</v>
      </c>
      <c r="O41" s="3">
        <v>2</v>
      </c>
      <c r="P41" s="3">
        <v>10</v>
      </c>
      <c r="Q41" s="3">
        <v>1100</v>
      </c>
      <c r="R41" s="3">
        <v>200</v>
      </c>
      <c r="S41" s="3">
        <v>1000</v>
      </c>
      <c r="T41" s="3">
        <v>200</v>
      </c>
      <c r="U41" s="3">
        <v>800</v>
      </c>
      <c r="V41" s="3">
        <v>540</v>
      </c>
      <c r="W41" s="3">
        <v>600</v>
      </c>
      <c r="X41" s="3">
        <v>40</v>
      </c>
      <c r="Y41" s="3">
        <v>26</v>
      </c>
      <c r="Z41" s="3" t="s">
        <v>191</v>
      </c>
      <c r="AA41" s="3" t="s">
        <v>190</v>
      </c>
      <c r="AB41" s="3" t="s">
        <v>190</v>
      </c>
      <c r="AC41" s="3">
        <v>277</v>
      </c>
      <c r="AD41" s="3">
        <v>220</v>
      </c>
      <c r="AE41" s="4">
        <v>113.6</v>
      </c>
    </row>
    <row r="42" spans="1:31">
      <c r="A42" s="2" t="s">
        <v>230</v>
      </c>
      <c r="B42" s="3" t="s">
        <v>188</v>
      </c>
      <c r="C42" s="3">
        <v>365</v>
      </c>
      <c r="D42" s="3">
        <v>1035</v>
      </c>
      <c r="E42" s="3">
        <v>700</v>
      </c>
      <c r="F42" s="3">
        <v>90</v>
      </c>
      <c r="G42" s="3" t="s">
        <v>229</v>
      </c>
      <c r="H42" s="3" t="s">
        <v>191</v>
      </c>
      <c r="I42" s="3" t="s">
        <v>190</v>
      </c>
      <c r="J42" s="3" t="s">
        <v>191</v>
      </c>
      <c r="K42" s="3" t="s">
        <v>190</v>
      </c>
      <c r="L42" s="3" t="s">
        <v>190</v>
      </c>
      <c r="M42" s="3">
        <v>100000</v>
      </c>
      <c r="N42" s="3">
        <v>110000</v>
      </c>
      <c r="O42" s="3">
        <v>2</v>
      </c>
      <c r="P42" s="3">
        <v>10</v>
      </c>
      <c r="Q42" s="3">
        <v>1100</v>
      </c>
      <c r="R42" s="3">
        <v>200</v>
      </c>
      <c r="S42" s="3">
        <v>1000</v>
      </c>
      <c r="T42" s="3">
        <v>200</v>
      </c>
      <c r="U42" s="3">
        <v>800</v>
      </c>
      <c r="V42" s="3">
        <v>540</v>
      </c>
      <c r="W42" s="3">
        <v>600</v>
      </c>
      <c r="X42" s="3">
        <v>40</v>
      </c>
      <c r="Y42" s="3">
        <v>26</v>
      </c>
      <c r="Z42" s="3" t="s">
        <v>191</v>
      </c>
      <c r="AA42" s="3" t="s">
        <v>190</v>
      </c>
      <c r="AB42" s="3" t="s">
        <v>190</v>
      </c>
      <c r="AC42" s="3">
        <v>230</v>
      </c>
      <c r="AD42" s="3">
        <v>220</v>
      </c>
      <c r="AE42" s="4">
        <v>168.8</v>
      </c>
    </row>
    <row r="43" spans="1:31">
      <c r="A43" s="2" t="s">
        <v>231</v>
      </c>
      <c r="B43" s="3" t="s">
        <v>188</v>
      </c>
      <c r="C43" s="3">
        <v>365</v>
      </c>
      <c r="D43" s="3">
        <v>1035</v>
      </c>
      <c r="E43" s="3">
        <v>700</v>
      </c>
      <c r="F43" s="3">
        <v>90</v>
      </c>
      <c r="G43" s="3" t="s">
        <v>229</v>
      </c>
      <c r="H43" s="3" t="s">
        <v>191</v>
      </c>
      <c r="I43" s="3" t="s">
        <v>190</v>
      </c>
      <c r="J43" s="3" t="s">
        <v>191</v>
      </c>
      <c r="K43" s="3" t="s">
        <v>190</v>
      </c>
      <c r="L43" s="3" t="s">
        <v>190</v>
      </c>
      <c r="M43" s="3">
        <v>110000</v>
      </c>
      <c r="N43" s="3">
        <v>121000</v>
      </c>
      <c r="O43" s="3">
        <v>2</v>
      </c>
      <c r="P43" s="3">
        <v>10</v>
      </c>
      <c r="Q43" s="3">
        <v>1100</v>
      </c>
      <c r="R43" s="3">
        <v>200</v>
      </c>
      <c r="S43" s="3">
        <v>1000</v>
      </c>
      <c r="T43" s="3">
        <v>200</v>
      </c>
      <c r="U43" s="3">
        <v>800</v>
      </c>
      <c r="V43" s="3">
        <v>540</v>
      </c>
      <c r="W43" s="3">
        <v>600</v>
      </c>
      <c r="X43" s="3">
        <v>40</v>
      </c>
      <c r="Y43" s="3">
        <v>26</v>
      </c>
      <c r="Z43" s="3" t="s">
        <v>191</v>
      </c>
      <c r="AA43" s="3" t="s">
        <v>190</v>
      </c>
      <c r="AB43" s="3" t="s">
        <v>190</v>
      </c>
      <c r="AC43" s="3">
        <v>230</v>
      </c>
      <c r="AD43" s="3">
        <v>220</v>
      </c>
      <c r="AE43" s="4">
        <v>185.7</v>
      </c>
    </row>
    <row r="44" spans="1:31">
      <c r="A44" s="2" t="s">
        <v>232</v>
      </c>
      <c r="B44" s="3" t="s">
        <v>188</v>
      </c>
      <c r="C44" s="3">
        <v>365</v>
      </c>
      <c r="D44" s="3">
        <v>1035</v>
      </c>
      <c r="E44" s="3">
        <v>700</v>
      </c>
      <c r="F44" s="3">
        <v>81</v>
      </c>
      <c r="G44" s="3" t="s">
        <v>229</v>
      </c>
      <c r="H44" s="3" t="s">
        <v>191</v>
      </c>
      <c r="I44" s="3" t="s">
        <v>190</v>
      </c>
      <c r="J44" s="3" t="s">
        <v>191</v>
      </c>
      <c r="K44" s="3" t="s">
        <v>190</v>
      </c>
      <c r="L44" s="3" t="s">
        <v>190</v>
      </c>
      <c r="M44" s="3">
        <v>125000</v>
      </c>
      <c r="N44" s="3">
        <v>137500</v>
      </c>
      <c r="O44" s="3">
        <v>2</v>
      </c>
      <c r="P44" s="3">
        <v>10</v>
      </c>
      <c r="Q44" s="3">
        <v>1100</v>
      </c>
      <c r="R44" s="3">
        <v>200</v>
      </c>
      <c r="S44" s="3">
        <v>1000</v>
      </c>
      <c r="T44" s="3">
        <v>200</v>
      </c>
      <c r="U44" s="3">
        <v>850</v>
      </c>
      <c r="V44" s="3">
        <v>625</v>
      </c>
      <c r="W44" s="3">
        <v>750</v>
      </c>
      <c r="X44" s="3">
        <v>40</v>
      </c>
      <c r="Y44" s="3">
        <v>26</v>
      </c>
      <c r="Z44" s="3" t="s">
        <v>191</v>
      </c>
      <c r="AA44" s="3" t="s">
        <v>190</v>
      </c>
      <c r="AB44" s="3" t="s">
        <v>191</v>
      </c>
      <c r="AC44" s="3">
        <v>288</v>
      </c>
      <c r="AD44" s="3">
        <v>288</v>
      </c>
      <c r="AE44" s="4">
        <v>160.4</v>
      </c>
    </row>
    <row r="45" spans="1:31">
      <c r="A45" s="2" t="s">
        <v>233</v>
      </c>
      <c r="B45" s="3" t="s">
        <v>188</v>
      </c>
      <c r="C45" s="3">
        <v>365</v>
      </c>
      <c r="D45" s="3">
        <v>1035</v>
      </c>
      <c r="E45" s="3">
        <v>700</v>
      </c>
      <c r="F45" s="3">
        <v>90</v>
      </c>
      <c r="G45" s="3" t="s">
        <v>229</v>
      </c>
      <c r="H45" s="3" t="s">
        <v>191</v>
      </c>
      <c r="I45" s="3" t="s">
        <v>190</v>
      </c>
      <c r="J45" s="3" t="s">
        <v>191</v>
      </c>
      <c r="K45" s="3" t="s">
        <v>190</v>
      </c>
      <c r="L45" s="3" t="s">
        <v>190</v>
      </c>
      <c r="M45" s="3">
        <v>100000</v>
      </c>
      <c r="N45" s="3">
        <v>110000</v>
      </c>
      <c r="O45" s="3">
        <v>2</v>
      </c>
      <c r="P45" s="3">
        <v>10</v>
      </c>
      <c r="Q45" s="3">
        <v>1100</v>
      </c>
      <c r="R45" s="3">
        <v>200</v>
      </c>
      <c r="S45" s="3">
        <v>1000</v>
      </c>
      <c r="T45" s="3">
        <v>200</v>
      </c>
      <c r="U45" s="3">
        <v>800</v>
      </c>
      <c r="V45" s="3">
        <v>540</v>
      </c>
      <c r="W45" s="3">
        <v>570</v>
      </c>
      <c r="X45" s="3">
        <v>40</v>
      </c>
      <c r="Y45" s="3">
        <v>26</v>
      </c>
      <c r="Z45" s="3" t="s">
        <v>191</v>
      </c>
      <c r="AA45" s="3" t="s">
        <v>190</v>
      </c>
      <c r="AB45" s="3" t="s">
        <v>190</v>
      </c>
      <c r="AC45" s="3">
        <v>277</v>
      </c>
      <c r="AD45" s="3">
        <v>220</v>
      </c>
      <c r="AE45" s="4">
        <v>168.8</v>
      </c>
    </row>
    <row r="46" spans="1:31">
      <c r="A46" s="2" t="s">
        <v>234</v>
      </c>
      <c r="B46" s="3" t="s">
        <v>188</v>
      </c>
      <c r="C46" s="3">
        <v>310</v>
      </c>
      <c r="D46" s="3">
        <v>1075</v>
      </c>
      <c r="E46" s="3">
        <v>605</v>
      </c>
      <c r="F46" s="3">
        <v>76</v>
      </c>
      <c r="G46" s="3" t="s">
        <v>189</v>
      </c>
      <c r="H46" s="3" t="s">
        <v>191</v>
      </c>
      <c r="I46" s="3" t="s">
        <v>190</v>
      </c>
      <c r="J46" s="3" t="s">
        <v>191</v>
      </c>
      <c r="K46" s="3" t="s">
        <v>190</v>
      </c>
      <c r="L46" s="3" t="s">
        <v>190</v>
      </c>
      <c r="M46" s="3">
        <v>90000</v>
      </c>
      <c r="N46" s="3">
        <v>100000</v>
      </c>
      <c r="O46" s="3">
        <v>2</v>
      </c>
      <c r="P46" s="3">
        <v>6</v>
      </c>
      <c r="Q46" s="3">
        <v>1500</v>
      </c>
      <c r="R46" s="3">
        <v>650</v>
      </c>
      <c r="S46" s="3">
        <v>1500</v>
      </c>
      <c r="T46" s="3">
        <v>600</v>
      </c>
      <c r="U46" s="3">
        <v>1300</v>
      </c>
      <c r="V46" s="3">
        <v>880</v>
      </c>
      <c r="W46" s="3">
        <v>1080</v>
      </c>
      <c r="X46" s="3">
        <v>33</v>
      </c>
      <c r="Y46" s="3">
        <v>22</v>
      </c>
      <c r="Z46" s="3" t="s">
        <v>191</v>
      </c>
      <c r="AA46" s="3" t="s">
        <v>190</v>
      </c>
      <c r="AB46" s="3" t="s">
        <v>191</v>
      </c>
      <c r="AC46" s="3">
        <v>800</v>
      </c>
      <c r="AD46" s="3">
        <v>800</v>
      </c>
      <c r="AE46" s="4">
        <v>72.900000000000006</v>
      </c>
    </row>
    <row r="47" spans="1:31">
      <c r="A47" s="2" t="s">
        <v>235</v>
      </c>
      <c r="B47" s="3" t="s">
        <v>188</v>
      </c>
      <c r="C47" s="3">
        <v>310</v>
      </c>
      <c r="D47" s="3">
        <v>1075</v>
      </c>
      <c r="E47" s="3">
        <v>605</v>
      </c>
      <c r="F47" s="3">
        <v>76</v>
      </c>
      <c r="G47" s="3" t="s">
        <v>189</v>
      </c>
      <c r="H47" s="3" t="s">
        <v>191</v>
      </c>
      <c r="I47" s="3" t="s">
        <v>190</v>
      </c>
      <c r="J47" s="3" t="s">
        <v>191</v>
      </c>
      <c r="K47" s="3" t="s">
        <v>190</v>
      </c>
      <c r="L47" s="3" t="s">
        <v>190</v>
      </c>
      <c r="M47" s="3">
        <v>90000</v>
      </c>
      <c r="N47" s="3">
        <v>100000</v>
      </c>
      <c r="O47" s="3">
        <v>2</v>
      </c>
      <c r="P47" s="3">
        <v>6</v>
      </c>
      <c r="Q47" s="3">
        <v>1500</v>
      </c>
      <c r="R47" s="3">
        <v>650</v>
      </c>
      <c r="S47" s="3">
        <v>1500</v>
      </c>
      <c r="T47" s="3">
        <v>600</v>
      </c>
      <c r="U47" s="3">
        <v>1300</v>
      </c>
      <c r="V47" s="3">
        <v>880</v>
      </c>
      <c r="W47" s="3">
        <v>1080</v>
      </c>
      <c r="X47" s="3">
        <v>33</v>
      </c>
      <c r="Y47" s="3">
        <v>22</v>
      </c>
      <c r="Z47" s="3" t="s">
        <v>191</v>
      </c>
      <c r="AA47" s="3" t="s">
        <v>190</v>
      </c>
      <c r="AB47" s="3" t="s">
        <v>191</v>
      </c>
      <c r="AC47" s="3">
        <v>800</v>
      </c>
      <c r="AD47" s="3">
        <v>800</v>
      </c>
      <c r="AE47" s="4">
        <v>72.900000000000006</v>
      </c>
    </row>
    <row r="48" spans="1:31">
      <c r="A48" s="2" t="s">
        <v>236</v>
      </c>
      <c r="B48" s="3" t="s">
        <v>188</v>
      </c>
      <c r="C48" s="3">
        <v>310</v>
      </c>
      <c r="D48" s="3">
        <v>1075</v>
      </c>
      <c r="E48" s="3">
        <v>605</v>
      </c>
      <c r="F48" s="3">
        <v>76</v>
      </c>
      <c r="G48" s="3" t="s">
        <v>189</v>
      </c>
      <c r="H48" s="3" t="s">
        <v>191</v>
      </c>
      <c r="I48" s="3" t="s">
        <v>190</v>
      </c>
      <c r="J48" s="3" t="s">
        <v>191</v>
      </c>
      <c r="K48" s="3" t="s">
        <v>190</v>
      </c>
      <c r="L48" s="3" t="s">
        <v>190</v>
      </c>
      <c r="M48" s="3">
        <v>90000</v>
      </c>
      <c r="N48" s="3">
        <v>100000</v>
      </c>
      <c r="O48" s="3">
        <v>2</v>
      </c>
      <c r="P48" s="3">
        <v>6</v>
      </c>
      <c r="Q48" s="3">
        <v>1500</v>
      </c>
      <c r="R48" s="3">
        <v>650</v>
      </c>
      <c r="S48" s="3">
        <v>1500</v>
      </c>
      <c r="T48" s="3">
        <v>600</v>
      </c>
      <c r="U48" s="3">
        <v>1300</v>
      </c>
      <c r="V48" s="3">
        <v>880</v>
      </c>
      <c r="W48" s="3">
        <v>1080</v>
      </c>
      <c r="X48" s="3">
        <v>33</v>
      </c>
      <c r="Y48" s="3">
        <v>22</v>
      </c>
      <c r="Z48" s="3" t="s">
        <v>191</v>
      </c>
      <c r="AA48" s="3" t="s">
        <v>190</v>
      </c>
      <c r="AB48" s="3" t="s">
        <v>191</v>
      </c>
      <c r="AC48" s="3">
        <v>800</v>
      </c>
      <c r="AD48" s="3">
        <v>800</v>
      </c>
      <c r="AE48" s="4">
        <v>72.900000000000006</v>
      </c>
    </row>
    <row r="49" spans="1:31">
      <c r="A49" s="2" t="s">
        <v>237</v>
      </c>
      <c r="B49" s="3" t="s">
        <v>188</v>
      </c>
      <c r="C49" s="3">
        <v>310</v>
      </c>
      <c r="D49" s="3">
        <v>1075</v>
      </c>
      <c r="E49" s="3">
        <v>605</v>
      </c>
      <c r="F49" s="3">
        <v>76</v>
      </c>
      <c r="G49" s="3" t="s">
        <v>189</v>
      </c>
      <c r="H49" s="3" t="s">
        <v>191</v>
      </c>
      <c r="I49" s="3" t="s">
        <v>190</v>
      </c>
      <c r="J49" s="3" t="s">
        <v>191</v>
      </c>
      <c r="K49" s="3" t="s">
        <v>190</v>
      </c>
      <c r="L49" s="3" t="s">
        <v>190</v>
      </c>
      <c r="M49" s="3">
        <v>100000</v>
      </c>
      <c r="N49" s="3">
        <v>110000</v>
      </c>
      <c r="O49" s="3">
        <v>2</v>
      </c>
      <c r="P49" s="3">
        <v>6</v>
      </c>
      <c r="Q49" s="3">
        <v>1500</v>
      </c>
      <c r="R49" s="3">
        <v>650</v>
      </c>
      <c r="S49" s="3">
        <v>1500</v>
      </c>
      <c r="T49" s="3">
        <v>600</v>
      </c>
      <c r="U49" s="3">
        <v>1300</v>
      </c>
      <c r="V49" s="3">
        <v>880</v>
      </c>
      <c r="W49" s="3">
        <v>1080</v>
      </c>
      <c r="X49" s="3">
        <v>33</v>
      </c>
      <c r="Y49" s="3">
        <v>22</v>
      </c>
      <c r="Z49" s="3" t="s">
        <v>191</v>
      </c>
      <c r="AA49" s="3" t="s">
        <v>190</v>
      </c>
      <c r="AB49" s="3" t="s">
        <v>191</v>
      </c>
      <c r="AC49" s="3">
        <v>800</v>
      </c>
      <c r="AD49" s="3">
        <v>800</v>
      </c>
      <c r="AE49" s="4">
        <v>80.2</v>
      </c>
    </row>
    <row r="50" spans="1:31">
      <c r="A50" s="2" t="s">
        <v>238</v>
      </c>
      <c r="B50" s="3" t="s">
        <v>188</v>
      </c>
      <c r="C50" s="3">
        <v>310</v>
      </c>
      <c r="D50" s="3">
        <v>1075</v>
      </c>
      <c r="E50" s="3">
        <v>605</v>
      </c>
      <c r="F50" s="3">
        <v>76</v>
      </c>
      <c r="G50" s="3" t="s">
        <v>189</v>
      </c>
      <c r="H50" s="3" t="s">
        <v>191</v>
      </c>
      <c r="I50" s="3" t="s">
        <v>190</v>
      </c>
      <c r="J50" s="3" t="s">
        <v>191</v>
      </c>
      <c r="K50" s="3" t="s">
        <v>190</v>
      </c>
      <c r="L50" s="3" t="s">
        <v>190</v>
      </c>
      <c r="M50" s="3">
        <v>100000</v>
      </c>
      <c r="N50" s="3">
        <v>105000</v>
      </c>
      <c r="O50" s="3">
        <v>2</v>
      </c>
      <c r="P50" s="3">
        <v>6</v>
      </c>
      <c r="Q50" s="3">
        <v>1500</v>
      </c>
      <c r="R50" s="3">
        <v>650</v>
      </c>
      <c r="S50" s="3">
        <v>1500</v>
      </c>
      <c r="T50" s="3">
        <v>600</v>
      </c>
      <c r="U50" s="3">
        <v>1300</v>
      </c>
      <c r="V50" s="3">
        <v>880</v>
      </c>
      <c r="W50" s="3">
        <v>1080</v>
      </c>
      <c r="X50" s="3">
        <v>33</v>
      </c>
      <c r="Y50" s="3">
        <v>22</v>
      </c>
      <c r="Z50" s="3" t="s">
        <v>191</v>
      </c>
      <c r="AA50" s="3" t="s">
        <v>190</v>
      </c>
      <c r="AB50" s="3" t="s">
        <v>191</v>
      </c>
      <c r="AC50" s="3">
        <v>800</v>
      </c>
      <c r="AD50" s="3">
        <v>800</v>
      </c>
      <c r="AE50" s="4">
        <v>80.2</v>
      </c>
    </row>
    <row r="51" spans="1:31">
      <c r="A51" s="2" t="s">
        <v>239</v>
      </c>
      <c r="B51" s="3" t="s">
        <v>188</v>
      </c>
      <c r="C51" s="3">
        <v>310</v>
      </c>
      <c r="D51" s="3">
        <v>1075</v>
      </c>
      <c r="E51" s="3">
        <v>605</v>
      </c>
      <c r="F51" s="3">
        <v>79</v>
      </c>
      <c r="G51" s="3" t="s">
        <v>189</v>
      </c>
      <c r="H51" s="3" t="s">
        <v>191</v>
      </c>
      <c r="I51" s="3" t="s">
        <v>190</v>
      </c>
      <c r="J51" s="3" t="s">
        <v>191</v>
      </c>
      <c r="K51" s="3" t="s">
        <v>190</v>
      </c>
      <c r="L51" s="3" t="s">
        <v>190</v>
      </c>
      <c r="M51" s="3">
        <v>100000</v>
      </c>
      <c r="N51" s="3">
        <v>110000</v>
      </c>
      <c r="O51" s="3">
        <v>2</v>
      </c>
      <c r="P51" s="3">
        <v>6</v>
      </c>
      <c r="Q51" s="3">
        <v>1500</v>
      </c>
      <c r="R51" s="3">
        <v>650</v>
      </c>
      <c r="S51" s="3">
        <v>1500</v>
      </c>
      <c r="T51" s="3">
        <v>600</v>
      </c>
      <c r="U51" s="3">
        <v>1300</v>
      </c>
      <c r="V51" s="3">
        <v>880</v>
      </c>
      <c r="W51" s="3">
        <v>1080</v>
      </c>
      <c r="X51" s="3">
        <v>33</v>
      </c>
      <c r="Y51" s="3">
        <v>22</v>
      </c>
      <c r="Z51" s="3" t="s">
        <v>191</v>
      </c>
      <c r="AA51" s="3" t="s">
        <v>190</v>
      </c>
      <c r="AB51" s="3" t="s">
        <v>191</v>
      </c>
      <c r="AC51" s="3">
        <v>800</v>
      </c>
      <c r="AD51" s="3">
        <v>800</v>
      </c>
      <c r="AE51" s="4">
        <v>80.2</v>
      </c>
    </row>
    <row r="52" spans="1:31">
      <c r="A52" s="2" t="s">
        <v>240</v>
      </c>
      <c r="B52" s="3" t="s">
        <v>188</v>
      </c>
      <c r="C52" s="3">
        <v>310</v>
      </c>
      <c r="D52" s="3">
        <v>1075</v>
      </c>
      <c r="E52" s="3">
        <v>605</v>
      </c>
      <c r="F52" s="3">
        <v>79</v>
      </c>
      <c r="G52" s="3" t="s">
        <v>189</v>
      </c>
      <c r="H52" s="3" t="s">
        <v>191</v>
      </c>
      <c r="I52" s="3" t="s">
        <v>190</v>
      </c>
      <c r="J52" s="3" t="s">
        <v>191</v>
      </c>
      <c r="K52" s="3" t="s">
        <v>190</v>
      </c>
      <c r="L52" s="3" t="s">
        <v>190</v>
      </c>
      <c r="M52" s="3">
        <v>105000</v>
      </c>
      <c r="N52" s="3">
        <v>116000</v>
      </c>
      <c r="O52" s="3">
        <v>2</v>
      </c>
      <c r="P52" s="3">
        <v>6</v>
      </c>
      <c r="Q52" s="3">
        <v>1500</v>
      </c>
      <c r="R52" s="3">
        <v>650</v>
      </c>
      <c r="S52" s="3">
        <v>1500</v>
      </c>
      <c r="T52" s="3">
        <v>600</v>
      </c>
      <c r="U52" s="3">
        <v>1300</v>
      </c>
      <c r="V52" s="3">
        <v>880</v>
      </c>
      <c r="W52" s="3">
        <v>1080</v>
      </c>
      <c r="X52" s="3">
        <v>33</v>
      </c>
      <c r="Y52" s="3">
        <v>22</v>
      </c>
      <c r="Z52" s="3" t="s">
        <v>191</v>
      </c>
      <c r="AA52" s="3" t="s">
        <v>190</v>
      </c>
      <c r="AB52" s="3" t="s">
        <v>191</v>
      </c>
      <c r="AC52" s="3">
        <v>800</v>
      </c>
      <c r="AD52" s="3">
        <v>800</v>
      </c>
      <c r="AE52" s="4">
        <v>84.6</v>
      </c>
    </row>
    <row r="53" spans="1:31">
      <c r="A53" s="2" t="s">
        <v>241</v>
      </c>
      <c r="B53" s="3" t="s">
        <v>242</v>
      </c>
      <c r="C53" s="3">
        <v>113</v>
      </c>
      <c r="D53" s="3">
        <v>295</v>
      </c>
      <c r="E53" s="3">
        <v>230</v>
      </c>
      <c r="F53" s="3">
        <v>5.8</v>
      </c>
      <c r="G53" s="3" t="s">
        <v>189</v>
      </c>
      <c r="H53" s="3" t="s">
        <v>190</v>
      </c>
      <c r="I53" s="3" t="s">
        <v>190</v>
      </c>
      <c r="J53" s="3" t="s">
        <v>190</v>
      </c>
      <c r="K53" s="3" t="s">
        <v>190</v>
      </c>
      <c r="L53" s="3" t="s">
        <v>191</v>
      </c>
      <c r="M53" s="3">
        <v>700</v>
      </c>
      <c r="N53" s="3">
        <v>770</v>
      </c>
      <c r="O53" s="3">
        <v>1</v>
      </c>
      <c r="P53" s="3">
        <v>1</v>
      </c>
      <c r="Q53" s="3">
        <v>500</v>
      </c>
      <c r="R53" s="3">
        <v>40</v>
      </c>
      <c r="S53" s="3">
        <v>450</v>
      </c>
      <c r="T53" s="3">
        <v>40</v>
      </c>
      <c r="U53" s="3">
        <v>450</v>
      </c>
      <c r="V53" s="3">
        <v>40</v>
      </c>
      <c r="W53" s="3">
        <v>360</v>
      </c>
      <c r="X53" s="3">
        <v>15.6</v>
      </c>
      <c r="Y53" s="3">
        <v>12.5</v>
      </c>
      <c r="Z53" s="3" t="s">
        <v>190</v>
      </c>
      <c r="AA53" s="3" t="s">
        <v>191</v>
      </c>
      <c r="AB53" s="3" t="s">
        <v>191</v>
      </c>
      <c r="AC53" s="3">
        <v>230</v>
      </c>
      <c r="AD53" s="3">
        <v>230</v>
      </c>
      <c r="AE53" s="4">
        <v>3.5</v>
      </c>
    </row>
    <row r="54" spans="1:31">
      <c r="A54" s="2" t="s">
        <v>243</v>
      </c>
      <c r="B54" s="3" t="s">
        <v>242</v>
      </c>
      <c r="C54" s="3">
        <v>113</v>
      </c>
      <c r="D54" s="3">
        <v>295</v>
      </c>
      <c r="E54" s="3">
        <v>230</v>
      </c>
      <c r="F54" s="3">
        <v>5.8</v>
      </c>
      <c r="G54" s="3" t="s">
        <v>189</v>
      </c>
      <c r="H54" s="3" t="s">
        <v>190</v>
      </c>
      <c r="I54" s="3" t="s">
        <v>190</v>
      </c>
      <c r="J54" s="3" t="s">
        <v>190</v>
      </c>
      <c r="K54" s="3" t="s">
        <v>190</v>
      </c>
      <c r="L54" s="3" t="s">
        <v>191</v>
      </c>
      <c r="M54" s="3">
        <v>1000</v>
      </c>
      <c r="N54" s="3">
        <v>1100</v>
      </c>
      <c r="O54" s="3">
        <v>1</v>
      </c>
      <c r="P54" s="3">
        <v>1</v>
      </c>
      <c r="Q54" s="3">
        <v>500</v>
      </c>
      <c r="R54" s="3">
        <v>40</v>
      </c>
      <c r="S54" s="3">
        <v>450</v>
      </c>
      <c r="T54" s="3">
        <v>40</v>
      </c>
      <c r="U54" s="3">
        <v>450</v>
      </c>
      <c r="V54" s="3">
        <v>40</v>
      </c>
      <c r="W54" s="3">
        <v>360</v>
      </c>
      <c r="X54" s="3">
        <v>15.6</v>
      </c>
      <c r="Y54" s="3">
        <v>12.5</v>
      </c>
      <c r="Z54" s="3" t="s">
        <v>190</v>
      </c>
      <c r="AA54" s="3" t="s">
        <v>191</v>
      </c>
      <c r="AB54" s="3" t="s">
        <v>191</v>
      </c>
      <c r="AC54" s="3">
        <v>230</v>
      </c>
      <c r="AD54" s="3">
        <v>230</v>
      </c>
      <c r="AE54" s="4">
        <v>4.8</v>
      </c>
    </row>
    <row r="55" spans="1:31">
      <c r="A55" s="2" t="s">
        <v>244</v>
      </c>
      <c r="B55" s="3" t="s">
        <v>242</v>
      </c>
      <c r="C55" s="3">
        <v>113</v>
      </c>
      <c r="D55" s="3">
        <v>295</v>
      </c>
      <c r="E55" s="3">
        <v>230</v>
      </c>
      <c r="F55" s="3">
        <v>5.8</v>
      </c>
      <c r="G55" s="3" t="s">
        <v>189</v>
      </c>
      <c r="H55" s="3" t="s">
        <v>190</v>
      </c>
      <c r="I55" s="3" t="s">
        <v>190</v>
      </c>
      <c r="J55" s="3" t="s">
        <v>190</v>
      </c>
      <c r="K55" s="3" t="s">
        <v>190</v>
      </c>
      <c r="L55" s="3" t="s">
        <v>191</v>
      </c>
      <c r="M55" s="3">
        <v>1500</v>
      </c>
      <c r="N55" s="3">
        <v>1650</v>
      </c>
      <c r="O55" s="3">
        <v>1</v>
      </c>
      <c r="P55" s="3">
        <v>1</v>
      </c>
      <c r="Q55" s="3">
        <v>500</v>
      </c>
      <c r="R55" s="3">
        <v>50</v>
      </c>
      <c r="S55" s="3">
        <v>450</v>
      </c>
      <c r="T55" s="3">
        <v>50</v>
      </c>
      <c r="U55" s="3">
        <v>450</v>
      </c>
      <c r="V55" s="3">
        <v>50</v>
      </c>
      <c r="W55" s="3">
        <v>360</v>
      </c>
      <c r="X55" s="3">
        <v>15.6</v>
      </c>
      <c r="Y55" s="3">
        <v>12.5</v>
      </c>
      <c r="Z55" s="3" t="s">
        <v>190</v>
      </c>
      <c r="AA55" s="3" t="s">
        <v>191</v>
      </c>
      <c r="AB55" s="3" t="s">
        <v>191</v>
      </c>
      <c r="AC55" s="3">
        <v>230</v>
      </c>
      <c r="AD55" s="3">
        <v>230</v>
      </c>
      <c r="AE55" s="4">
        <v>7.2</v>
      </c>
    </row>
    <row r="56" spans="1:31">
      <c r="A56" s="2" t="s">
        <v>245</v>
      </c>
      <c r="B56" s="3" t="s">
        <v>242</v>
      </c>
      <c r="C56" s="3">
        <v>113</v>
      </c>
      <c r="D56" s="3">
        <v>295</v>
      </c>
      <c r="E56" s="3">
        <v>230</v>
      </c>
      <c r="F56" s="3">
        <v>5.8</v>
      </c>
      <c r="G56" s="3" t="s">
        <v>189</v>
      </c>
      <c r="H56" s="3" t="s">
        <v>190</v>
      </c>
      <c r="I56" s="3" t="s">
        <v>190</v>
      </c>
      <c r="J56" s="3" t="s">
        <v>190</v>
      </c>
      <c r="K56" s="3" t="s">
        <v>190</v>
      </c>
      <c r="L56" s="3" t="s">
        <v>191</v>
      </c>
      <c r="M56" s="3">
        <v>2000</v>
      </c>
      <c r="N56" s="3">
        <v>2200</v>
      </c>
      <c r="O56" s="3">
        <v>1</v>
      </c>
      <c r="P56" s="3">
        <v>1</v>
      </c>
      <c r="Q56" s="3">
        <v>500</v>
      </c>
      <c r="R56" s="3">
        <v>50</v>
      </c>
      <c r="S56" s="3">
        <v>450</v>
      </c>
      <c r="T56" s="3">
        <v>50</v>
      </c>
      <c r="U56" s="3">
        <v>450</v>
      </c>
      <c r="V56" s="3">
        <v>50</v>
      </c>
      <c r="W56" s="3">
        <v>360</v>
      </c>
      <c r="X56" s="3">
        <v>15.6</v>
      </c>
      <c r="Y56" s="3">
        <v>12.5</v>
      </c>
      <c r="Z56" s="3" t="s">
        <v>190</v>
      </c>
      <c r="AA56" s="3" t="s">
        <v>191</v>
      </c>
      <c r="AB56" s="3" t="s">
        <v>191</v>
      </c>
      <c r="AC56" s="3">
        <v>230</v>
      </c>
      <c r="AD56" s="3">
        <v>230</v>
      </c>
      <c r="AE56" s="4">
        <v>9.6</v>
      </c>
    </row>
    <row r="57" spans="1:31">
      <c r="A57" s="2" t="s">
        <v>246</v>
      </c>
      <c r="B57" s="3" t="s">
        <v>242</v>
      </c>
      <c r="C57" s="3">
        <v>113</v>
      </c>
      <c r="D57" s="3">
        <v>295</v>
      </c>
      <c r="E57" s="3">
        <v>230</v>
      </c>
      <c r="F57" s="3">
        <v>5.8</v>
      </c>
      <c r="G57" s="3" t="s">
        <v>189</v>
      </c>
      <c r="H57" s="3" t="s">
        <v>190</v>
      </c>
      <c r="I57" s="3" t="s">
        <v>190</v>
      </c>
      <c r="J57" s="3" t="s">
        <v>190</v>
      </c>
      <c r="K57" s="3" t="s">
        <v>190</v>
      </c>
      <c r="L57" s="3" t="s">
        <v>191</v>
      </c>
      <c r="M57" s="3">
        <v>2500</v>
      </c>
      <c r="N57" s="3">
        <v>2750</v>
      </c>
      <c r="O57" s="3">
        <v>1</v>
      </c>
      <c r="P57" s="3">
        <v>1</v>
      </c>
      <c r="Q57" s="3">
        <v>500</v>
      </c>
      <c r="R57" s="3">
        <v>50</v>
      </c>
      <c r="S57" s="3">
        <v>450</v>
      </c>
      <c r="T57" s="3">
        <v>50</v>
      </c>
      <c r="U57" s="3">
        <v>450</v>
      </c>
      <c r="V57" s="3">
        <v>50</v>
      </c>
      <c r="W57" s="3">
        <v>360</v>
      </c>
      <c r="X57" s="3">
        <v>15.6</v>
      </c>
      <c r="Y57" s="3">
        <v>12.5</v>
      </c>
      <c r="Z57" s="3" t="s">
        <v>190</v>
      </c>
      <c r="AA57" s="3" t="s">
        <v>191</v>
      </c>
      <c r="AB57" s="3" t="s">
        <v>191</v>
      </c>
      <c r="AC57" s="3">
        <v>230</v>
      </c>
      <c r="AD57" s="3">
        <v>230</v>
      </c>
      <c r="AE57" s="4">
        <v>12</v>
      </c>
    </row>
    <row r="58" spans="1:31">
      <c r="A58" s="2" t="s">
        <v>247</v>
      </c>
      <c r="B58" s="3" t="s">
        <v>242</v>
      </c>
      <c r="C58" s="3">
        <v>113</v>
      </c>
      <c r="D58" s="3">
        <v>295</v>
      </c>
      <c r="E58" s="3">
        <v>230</v>
      </c>
      <c r="F58" s="3">
        <v>5.8</v>
      </c>
      <c r="G58" s="3" t="s">
        <v>189</v>
      </c>
      <c r="H58" s="3" t="s">
        <v>190</v>
      </c>
      <c r="I58" s="3" t="s">
        <v>190</v>
      </c>
      <c r="J58" s="3" t="s">
        <v>190</v>
      </c>
      <c r="K58" s="3" t="s">
        <v>190</v>
      </c>
      <c r="L58" s="3" t="s">
        <v>191</v>
      </c>
      <c r="M58" s="3">
        <v>3000</v>
      </c>
      <c r="N58" s="3">
        <v>3300</v>
      </c>
      <c r="O58" s="3">
        <v>1</v>
      </c>
      <c r="P58" s="3">
        <v>1</v>
      </c>
      <c r="Q58" s="3">
        <v>500</v>
      </c>
      <c r="R58" s="3">
        <v>50</v>
      </c>
      <c r="S58" s="3">
        <v>450</v>
      </c>
      <c r="T58" s="3">
        <v>50</v>
      </c>
      <c r="U58" s="3">
        <v>450</v>
      </c>
      <c r="V58" s="3">
        <v>50</v>
      </c>
      <c r="W58" s="3">
        <v>360</v>
      </c>
      <c r="X58" s="3">
        <v>15.6</v>
      </c>
      <c r="Y58" s="3">
        <v>12.5</v>
      </c>
      <c r="Z58" s="3" t="s">
        <v>190</v>
      </c>
      <c r="AA58" s="3" t="s">
        <v>191</v>
      </c>
      <c r="AB58" s="3" t="s">
        <v>191</v>
      </c>
      <c r="AC58" s="3">
        <v>230</v>
      </c>
      <c r="AD58" s="3">
        <v>230</v>
      </c>
      <c r="AE58" s="4">
        <v>14.3</v>
      </c>
    </row>
    <row r="59" spans="1:31">
      <c r="A59" s="2" t="s">
        <v>248</v>
      </c>
      <c r="B59" s="3" t="s">
        <v>242</v>
      </c>
      <c r="C59" s="3">
        <v>113</v>
      </c>
      <c r="D59" s="3">
        <v>295</v>
      </c>
      <c r="E59" s="3">
        <v>230</v>
      </c>
      <c r="F59" s="3">
        <v>5.8</v>
      </c>
      <c r="G59" s="3" t="s">
        <v>189</v>
      </c>
      <c r="H59" s="3" t="s">
        <v>190</v>
      </c>
      <c r="I59" s="3" t="s">
        <v>190</v>
      </c>
      <c r="J59" s="3" t="s">
        <v>190</v>
      </c>
      <c r="K59" s="3" t="s">
        <v>190</v>
      </c>
      <c r="L59" s="3" t="s">
        <v>191</v>
      </c>
      <c r="M59" s="3">
        <v>3300</v>
      </c>
      <c r="N59" s="3">
        <v>3300</v>
      </c>
      <c r="O59" s="3">
        <v>1</v>
      </c>
      <c r="P59" s="3">
        <v>1</v>
      </c>
      <c r="Q59" s="3">
        <v>500</v>
      </c>
      <c r="R59" s="3">
        <v>50</v>
      </c>
      <c r="S59" s="3">
        <v>450</v>
      </c>
      <c r="T59" s="3">
        <v>50</v>
      </c>
      <c r="U59" s="3">
        <v>450</v>
      </c>
      <c r="V59" s="3">
        <v>50</v>
      </c>
      <c r="W59" s="3">
        <v>360</v>
      </c>
      <c r="X59" s="3">
        <v>15.6</v>
      </c>
      <c r="Y59" s="3">
        <v>12.5</v>
      </c>
      <c r="Z59" s="3" t="s">
        <v>190</v>
      </c>
      <c r="AA59" s="3" t="s">
        <v>191</v>
      </c>
      <c r="AB59" s="3" t="s">
        <v>191</v>
      </c>
      <c r="AC59" s="3">
        <v>230</v>
      </c>
      <c r="AD59" s="3">
        <v>230</v>
      </c>
      <c r="AE59" s="4">
        <v>14.3</v>
      </c>
    </row>
    <row r="60" spans="1:31">
      <c r="A60" s="2" t="s">
        <v>249</v>
      </c>
      <c r="B60" s="3" t="s">
        <v>242</v>
      </c>
      <c r="C60" s="3">
        <v>113</v>
      </c>
      <c r="D60" s="3">
        <v>295</v>
      </c>
      <c r="E60" s="3">
        <v>230</v>
      </c>
      <c r="F60" s="3">
        <v>5.8</v>
      </c>
      <c r="G60" s="3" t="s">
        <v>189</v>
      </c>
      <c r="H60" s="3" t="s">
        <v>190</v>
      </c>
      <c r="I60" s="3" t="s">
        <v>190</v>
      </c>
      <c r="J60" s="3" t="s">
        <v>190</v>
      </c>
      <c r="K60" s="3" t="s">
        <v>190</v>
      </c>
      <c r="L60" s="3" t="s">
        <v>191</v>
      </c>
      <c r="M60" s="3">
        <v>2500</v>
      </c>
      <c r="N60" s="3">
        <v>2750</v>
      </c>
      <c r="O60" s="3">
        <v>1</v>
      </c>
      <c r="P60" s="3">
        <v>1</v>
      </c>
      <c r="Q60" s="3">
        <v>600</v>
      </c>
      <c r="R60" s="3">
        <v>50</v>
      </c>
      <c r="S60" s="3">
        <v>550</v>
      </c>
      <c r="T60" s="3">
        <v>50</v>
      </c>
      <c r="U60" s="3">
        <v>550</v>
      </c>
      <c r="V60" s="3">
        <v>50</v>
      </c>
      <c r="W60" s="3">
        <v>360</v>
      </c>
      <c r="X60" s="3">
        <v>16.3</v>
      </c>
      <c r="Y60" s="3">
        <v>13</v>
      </c>
      <c r="Z60" s="3" t="s">
        <v>190</v>
      </c>
      <c r="AA60" s="3" t="s">
        <v>191</v>
      </c>
      <c r="AB60" s="3" t="s">
        <v>191</v>
      </c>
      <c r="AC60" s="3">
        <v>230</v>
      </c>
      <c r="AD60" s="3">
        <v>220</v>
      </c>
      <c r="AE60" s="4">
        <v>12</v>
      </c>
    </row>
    <row r="61" spans="1:31">
      <c r="A61" s="2" t="s">
        <v>250</v>
      </c>
      <c r="B61" s="3" t="s">
        <v>242</v>
      </c>
      <c r="C61" s="3">
        <v>113</v>
      </c>
      <c r="D61" s="3">
        <v>295</v>
      </c>
      <c r="E61" s="3">
        <v>230</v>
      </c>
      <c r="F61" s="3">
        <v>5.8</v>
      </c>
      <c r="G61" s="3" t="s">
        <v>189</v>
      </c>
      <c r="H61" s="3" t="s">
        <v>190</v>
      </c>
      <c r="I61" s="3" t="s">
        <v>190</v>
      </c>
      <c r="J61" s="3" t="s">
        <v>190</v>
      </c>
      <c r="K61" s="3" t="s">
        <v>190</v>
      </c>
      <c r="L61" s="3" t="s">
        <v>191</v>
      </c>
      <c r="M61" s="3">
        <v>3000</v>
      </c>
      <c r="N61" s="3">
        <v>3300</v>
      </c>
      <c r="O61" s="3">
        <v>1</v>
      </c>
      <c r="P61" s="3">
        <v>1</v>
      </c>
      <c r="Q61" s="3">
        <v>600</v>
      </c>
      <c r="R61" s="3">
        <v>50</v>
      </c>
      <c r="S61" s="3">
        <v>550</v>
      </c>
      <c r="T61" s="3">
        <v>50</v>
      </c>
      <c r="U61" s="3">
        <v>550</v>
      </c>
      <c r="V61" s="3">
        <v>50</v>
      </c>
      <c r="W61" s="3">
        <v>360</v>
      </c>
      <c r="X61" s="3">
        <v>16.3</v>
      </c>
      <c r="Y61" s="3">
        <v>13</v>
      </c>
      <c r="Z61" s="3" t="s">
        <v>190</v>
      </c>
      <c r="AA61" s="3" t="s">
        <v>191</v>
      </c>
      <c r="AB61" s="3" t="s">
        <v>191</v>
      </c>
      <c r="AC61" s="3">
        <v>230</v>
      </c>
      <c r="AD61" s="3">
        <v>220</v>
      </c>
      <c r="AE61" s="4">
        <v>14.3</v>
      </c>
    </row>
    <row r="62" spans="1:31">
      <c r="A62" s="2" t="s">
        <v>251</v>
      </c>
      <c r="B62" s="3" t="s">
        <v>242</v>
      </c>
      <c r="C62" s="3">
        <v>267</v>
      </c>
      <c r="D62" s="3">
        <v>586</v>
      </c>
      <c r="E62" s="3">
        <v>788</v>
      </c>
      <c r="F62" s="3">
        <v>70</v>
      </c>
      <c r="G62" s="3" t="s">
        <v>229</v>
      </c>
      <c r="H62" s="3" t="s">
        <v>190</v>
      </c>
      <c r="I62" s="3" t="s">
        <v>190</v>
      </c>
      <c r="J62" s="3" t="s">
        <v>191</v>
      </c>
      <c r="K62" s="3" t="s">
        <v>190</v>
      </c>
      <c r="L62" s="3" t="s">
        <v>191</v>
      </c>
      <c r="M62" s="3">
        <v>75000</v>
      </c>
      <c r="N62" s="3">
        <v>75000</v>
      </c>
      <c r="O62" s="3">
        <v>4</v>
      </c>
      <c r="P62" s="3">
        <v>4</v>
      </c>
      <c r="Q62" s="3">
        <v>1100</v>
      </c>
      <c r="R62" s="3">
        <v>200</v>
      </c>
      <c r="S62" s="3">
        <v>1000</v>
      </c>
      <c r="T62" s="3">
        <v>200</v>
      </c>
      <c r="U62" s="3">
        <v>1000</v>
      </c>
      <c r="V62" s="3">
        <v>200</v>
      </c>
      <c r="W62" s="3">
        <v>600</v>
      </c>
      <c r="X62" s="3">
        <v>55</v>
      </c>
      <c r="Y62" s="3">
        <v>44</v>
      </c>
      <c r="Z62" s="3" t="s">
        <v>191</v>
      </c>
      <c r="AA62" s="3" t="s">
        <v>190</v>
      </c>
      <c r="AB62" s="3" t="s">
        <v>190</v>
      </c>
      <c r="AC62" s="3">
        <v>240</v>
      </c>
      <c r="AD62" s="3">
        <v>220</v>
      </c>
      <c r="AE62" s="4">
        <v>133</v>
      </c>
    </row>
    <row r="63" spans="1:31">
      <c r="A63" s="2" t="s">
        <v>252</v>
      </c>
      <c r="B63" s="3" t="s">
        <v>242</v>
      </c>
      <c r="C63" s="3">
        <v>175</v>
      </c>
      <c r="D63" s="3">
        <v>415</v>
      </c>
      <c r="E63" s="3">
        <v>511</v>
      </c>
      <c r="F63" s="3">
        <v>22.5</v>
      </c>
      <c r="G63" s="3" t="s">
        <v>189</v>
      </c>
      <c r="H63" s="3" t="s">
        <v>190</v>
      </c>
      <c r="I63" s="3" t="s">
        <v>190</v>
      </c>
      <c r="J63" s="3" t="s">
        <v>190</v>
      </c>
      <c r="K63" s="3" t="s">
        <v>190</v>
      </c>
      <c r="L63" s="3" t="s">
        <v>191</v>
      </c>
      <c r="M63" s="3">
        <v>5000</v>
      </c>
      <c r="N63" s="3">
        <v>5500</v>
      </c>
      <c r="O63" s="3">
        <v>1</v>
      </c>
      <c r="P63" s="3">
        <v>3</v>
      </c>
      <c r="Q63" s="3">
        <v>600</v>
      </c>
      <c r="R63" s="3">
        <v>120</v>
      </c>
      <c r="S63" s="3">
        <v>550</v>
      </c>
      <c r="T63" s="3">
        <v>80</v>
      </c>
      <c r="U63" s="3">
        <v>550</v>
      </c>
      <c r="V63" s="3">
        <v>80</v>
      </c>
      <c r="W63" s="3">
        <v>360</v>
      </c>
      <c r="X63" s="3">
        <v>15</v>
      </c>
      <c r="Y63" s="3">
        <v>12.5</v>
      </c>
      <c r="Z63" s="3" t="s">
        <v>190</v>
      </c>
      <c r="AA63" s="3" t="s">
        <v>191</v>
      </c>
      <c r="AB63" s="3" t="s">
        <v>191</v>
      </c>
      <c r="AC63" s="3">
        <v>230</v>
      </c>
      <c r="AD63" s="3">
        <v>220</v>
      </c>
      <c r="AE63" s="4">
        <v>25</v>
      </c>
    </row>
    <row r="64" spans="1:31">
      <c r="A64" s="2" t="s">
        <v>253</v>
      </c>
      <c r="B64" s="3" t="s">
        <v>242</v>
      </c>
      <c r="C64" s="3">
        <v>175</v>
      </c>
      <c r="D64" s="3">
        <v>415</v>
      </c>
      <c r="E64" s="3">
        <v>511</v>
      </c>
      <c r="F64" s="3">
        <v>22.5</v>
      </c>
      <c r="G64" s="3" t="s">
        <v>189</v>
      </c>
      <c r="H64" s="3" t="s">
        <v>190</v>
      </c>
      <c r="I64" s="3" t="s">
        <v>190</v>
      </c>
      <c r="J64" s="3" t="s">
        <v>190</v>
      </c>
      <c r="K64" s="3" t="s">
        <v>190</v>
      </c>
      <c r="L64" s="3" t="s">
        <v>191</v>
      </c>
      <c r="M64" s="3">
        <v>6000</v>
      </c>
      <c r="N64" s="3">
        <v>6600</v>
      </c>
      <c r="O64" s="3">
        <v>1</v>
      </c>
      <c r="P64" s="3">
        <v>3</v>
      </c>
      <c r="Q64" s="3">
        <v>600</v>
      </c>
      <c r="R64" s="3">
        <v>120</v>
      </c>
      <c r="S64" s="3">
        <v>550</v>
      </c>
      <c r="T64" s="3">
        <v>80</v>
      </c>
      <c r="U64" s="3">
        <v>550</v>
      </c>
      <c r="V64" s="3">
        <v>80</v>
      </c>
      <c r="W64" s="3">
        <v>360</v>
      </c>
      <c r="X64" s="3">
        <v>15</v>
      </c>
      <c r="Y64" s="3">
        <v>12.5</v>
      </c>
      <c r="Z64" s="3" t="s">
        <v>190</v>
      </c>
      <c r="AA64" s="3" t="s">
        <v>191</v>
      </c>
      <c r="AB64" s="3" t="s">
        <v>191</v>
      </c>
      <c r="AC64" s="3">
        <v>230</v>
      </c>
      <c r="AD64" s="3">
        <v>220</v>
      </c>
      <c r="AE64" s="4">
        <v>30</v>
      </c>
    </row>
    <row r="65" spans="1:31">
      <c r="A65" s="2" t="s">
        <v>254</v>
      </c>
      <c r="B65" s="3" t="s">
        <v>242</v>
      </c>
      <c r="C65" s="3">
        <v>175</v>
      </c>
      <c r="D65" s="3">
        <v>415</v>
      </c>
      <c r="E65" s="3">
        <v>511</v>
      </c>
      <c r="F65" s="3">
        <v>22.5</v>
      </c>
      <c r="G65" s="3" t="s">
        <v>189</v>
      </c>
      <c r="H65" s="3" t="s">
        <v>190</v>
      </c>
      <c r="I65" s="3" t="s">
        <v>190</v>
      </c>
      <c r="J65" s="3" t="s">
        <v>190</v>
      </c>
      <c r="K65" s="3" t="s">
        <v>190</v>
      </c>
      <c r="L65" s="3" t="s">
        <v>191</v>
      </c>
      <c r="M65" s="3">
        <v>7000</v>
      </c>
      <c r="N65" s="3">
        <v>7700</v>
      </c>
      <c r="O65" s="3">
        <v>1</v>
      </c>
      <c r="P65" s="3">
        <v>3</v>
      </c>
      <c r="Q65" s="3">
        <v>600</v>
      </c>
      <c r="R65" s="3">
        <v>120</v>
      </c>
      <c r="S65" s="3">
        <v>550</v>
      </c>
      <c r="T65" s="3">
        <v>80</v>
      </c>
      <c r="U65" s="3">
        <v>550</v>
      </c>
      <c r="V65" s="3">
        <v>80</v>
      </c>
      <c r="W65" s="3">
        <v>360</v>
      </c>
      <c r="X65" s="3">
        <v>15</v>
      </c>
      <c r="Y65" s="3">
        <v>12.5</v>
      </c>
      <c r="Z65" s="3" t="s">
        <v>190</v>
      </c>
      <c r="AA65" s="3" t="s">
        <v>191</v>
      </c>
      <c r="AB65" s="3" t="s">
        <v>191</v>
      </c>
      <c r="AC65" s="3">
        <v>230</v>
      </c>
      <c r="AD65" s="3">
        <v>220</v>
      </c>
      <c r="AE65" s="4">
        <v>35</v>
      </c>
    </row>
    <row r="66" spans="1:31">
      <c r="A66" s="2" t="s">
        <v>255</v>
      </c>
      <c r="B66" s="3" t="s">
        <v>242</v>
      </c>
      <c r="C66" s="3">
        <v>175</v>
      </c>
      <c r="D66" s="3">
        <v>415</v>
      </c>
      <c r="E66" s="3">
        <v>511</v>
      </c>
      <c r="F66" s="3">
        <v>22.5</v>
      </c>
      <c r="G66" s="3" t="s">
        <v>189</v>
      </c>
      <c r="H66" s="3" t="s">
        <v>190</v>
      </c>
      <c r="I66" s="3" t="s">
        <v>190</v>
      </c>
      <c r="J66" s="3" t="s">
        <v>190</v>
      </c>
      <c r="K66" s="3" t="s">
        <v>190</v>
      </c>
      <c r="L66" s="3" t="s">
        <v>191</v>
      </c>
      <c r="M66" s="3">
        <v>8500</v>
      </c>
      <c r="N66" s="3">
        <v>9350</v>
      </c>
      <c r="O66" s="3">
        <v>1</v>
      </c>
      <c r="P66" s="3">
        <v>3</v>
      </c>
      <c r="Q66" s="3">
        <v>600</v>
      </c>
      <c r="R66" s="3">
        <v>120</v>
      </c>
      <c r="S66" s="3">
        <v>550</v>
      </c>
      <c r="T66" s="3">
        <v>80</v>
      </c>
      <c r="U66" s="3">
        <v>550</v>
      </c>
      <c r="V66" s="3">
        <v>80</v>
      </c>
      <c r="W66" s="3">
        <v>360</v>
      </c>
      <c r="X66" s="3">
        <v>15</v>
      </c>
      <c r="Y66" s="3">
        <v>12.5</v>
      </c>
      <c r="Z66" s="3" t="s">
        <v>190</v>
      </c>
      <c r="AA66" s="3" t="s">
        <v>191</v>
      </c>
      <c r="AB66" s="3" t="s">
        <v>191</v>
      </c>
      <c r="AC66" s="3">
        <v>230</v>
      </c>
      <c r="AD66" s="3">
        <v>220</v>
      </c>
      <c r="AE66" s="4">
        <v>42.5</v>
      </c>
    </row>
    <row r="67" spans="1:31">
      <c r="A67" s="2" t="s">
        <v>256</v>
      </c>
      <c r="B67" s="3" t="s">
        <v>242</v>
      </c>
      <c r="C67" s="3">
        <v>175</v>
      </c>
      <c r="D67" s="3">
        <v>415</v>
      </c>
      <c r="E67" s="3">
        <v>511</v>
      </c>
      <c r="F67" s="3">
        <v>22.5</v>
      </c>
      <c r="G67" s="3" t="s">
        <v>189</v>
      </c>
      <c r="H67" s="3" t="s">
        <v>190</v>
      </c>
      <c r="I67" s="3" t="s">
        <v>190</v>
      </c>
      <c r="J67" s="3" t="s">
        <v>190</v>
      </c>
      <c r="K67" s="3" t="s">
        <v>190</v>
      </c>
      <c r="L67" s="3" t="s">
        <v>191</v>
      </c>
      <c r="M67" s="3">
        <v>10000</v>
      </c>
      <c r="N67" s="3">
        <v>10000</v>
      </c>
      <c r="O67" s="3">
        <v>1</v>
      </c>
      <c r="P67" s="3">
        <v>3</v>
      </c>
      <c r="Q67" s="3">
        <v>600</v>
      </c>
      <c r="R67" s="3">
        <v>120</v>
      </c>
      <c r="S67" s="3">
        <v>550</v>
      </c>
      <c r="T67" s="3">
        <v>80</v>
      </c>
      <c r="U67" s="3">
        <v>550</v>
      </c>
      <c r="V67" s="3">
        <v>80</v>
      </c>
      <c r="W67" s="3">
        <v>360</v>
      </c>
      <c r="X67" s="3">
        <v>15</v>
      </c>
      <c r="Y67" s="3">
        <v>12.5</v>
      </c>
      <c r="Z67" s="3" t="s">
        <v>190</v>
      </c>
      <c r="AA67" s="3" t="s">
        <v>191</v>
      </c>
      <c r="AB67" s="3" t="s">
        <v>191</v>
      </c>
      <c r="AC67" s="3">
        <v>230</v>
      </c>
      <c r="AD67" s="3">
        <v>220</v>
      </c>
      <c r="AE67" s="4">
        <v>45.5</v>
      </c>
    </row>
    <row r="68" spans="1:31">
      <c r="A68" s="2" t="s">
        <v>257</v>
      </c>
      <c r="B68" s="3" t="s">
        <v>242</v>
      </c>
      <c r="C68" s="3">
        <v>147</v>
      </c>
      <c r="D68" s="3">
        <v>354</v>
      </c>
      <c r="E68" s="3">
        <v>433</v>
      </c>
      <c r="F68" s="3">
        <v>13</v>
      </c>
      <c r="G68" s="3" t="s">
        <v>189</v>
      </c>
      <c r="H68" s="3" t="s">
        <v>190</v>
      </c>
      <c r="I68" s="3" t="s">
        <v>190</v>
      </c>
      <c r="J68" s="3" t="s">
        <v>190</v>
      </c>
      <c r="K68" s="3" t="s">
        <v>190</v>
      </c>
      <c r="L68" s="3" t="s">
        <v>191</v>
      </c>
      <c r="M68" s="3">
        <v>2900</v>
      </c>
      <c r="N68" s="3">
        <v>2900</v>
      </c>
      <c r="O68" s="3">
        <v>1</v>
      </c>
      <c r="P68" s="3">
        <v>2</v>
      </c>
      <c r="Q68" s="3">
        <v>535</v>
      </c>
      <c r="R68" s="3">
        <v>80</v>
      </c>
      <c r="S68" s="3">
        <v>435</v>
      </c>
      <c r="T68" s="3">
        <v>80</v>
      </c>
      <c r="U68" s="3">
        <v>435</v>
      </c>
      <c r="V68" s="3">
        <v>80</v>
      </c>
      <c r="W68" s="3">
        <v>230</v>
      </c>
      <c r="X68" s="3">
        <v>15.6</v>
      </c>
      <c r="Y68" s="3">
        <v>12.5</v>
      </c>
      <c r="Z68" s="3" t="s">
        <v>190</v>
      </c>
      <c r="AA68" s="3" t="s">
        <v>191</v>
      </c>
      <c r="AB68" s="3" t="s">
        <v>191</v>
      </c>
      <c r="AC68" s="3">
        <v>127</v>
      </c>
      <c r="AD68" s="3">
        <v>127</v>
      </c>
      <c r="AE68" s="4">
        <v>22.9</v>
      </c>
    </row>
    <row r="69" spans="1:31">
      <c r="A69" s="2" t="s">
        <v>258</v>
      </c>
      <c r="B69" s="3" t="s">
        <v>242</v>
      </c>
      <c r="C69" s="3">
        <v>147</v>
      </c>
      <c r="D69" s="3">
        <v>354</v>
      </c>
      <c r="E69" s="3">
        <v>433</v>
      </c>
      <c r="F69" s="3">
        <v>13</v>
      </c>
      <c r="G69" s="3" t="s">
        <v>189</v>
      </c>
      <c r="H69" s="3" t="s">
        <v>190</v>
      </c>
      <c r="I69" s="3" t="s">
        <v>190</v>
      </c>
      <c r="J69" s="3" t="s">
        <v>190</v>
      </c>
      <c r="K69" s="3" t="s">
        <v>190</v>
      </c>
      <c r="L69" s="3" t="s">
        <v>191</v>
      </c>
      <c r="M69" s="3">
        <v>3000</v>
      </c>
      <c r="N69" s="3">
        <v>3000</v>
      </c>
      <c r="O69" s="3">
        <v>1</v>
      </c>
      <c r="P69" s="3">
        <v>2</v>
      </c>
      <c r="Q69" s="3">
        <v>600</v>
      </c>
      <c r="R69" s="3">
        <v>80</v>
      </c>
      <c r="S69" s="3">
        <v>550</v>
      </c>
      <c r="T69" s="3">
        <v>80</v>
      </c>
      <c r="U69" s="3">
        <v>550</v>
      </c>
      <c r="V69" s="3">
        <v>150</v>
      </c>
      <c r="W69" s="3">
        <v>360</v>
      </c>
      <c r="X69" s="3">
        <v>13.8</v>
      </c>
      <c r="Y69" s="3">
        <v>11</v>
      </c>
      <c r="Z69" s="3" t="s">
        <v>190</v>
      </c>
      <c r="AA69" s="3" t="s">
        <v>191</v>
      </c>
      <c r="AB69" s="3" t="s">
        <v>191</v>
      </c>
      <c r="AC69" s="3">
        <v>230</v>
      </c>
      <c r="AD69" s="3">
        <v>220</v>
      </c>
      <c r="AE69" s="4">
        <v>13.6</v>
      </c>
    </row>
    <row r="70" spans="1:31">
      <c r="A70" s="2" t="s">
        <v>259</v>
      </c>
      <c r="B70" s="3" t="s">
        <v>242</v>
      </c>
      <c r="C70" s="3">
        <v>147</v>
      </c>
      <c r="D70" s="3">
        <v>354</v>
      </c>
      <c r="E70" s="3">
        <v>433</v>
      </c>
      <c r="F70" s="3">
        <v>13</v>
      </c>
      <c r="G70" s="3" t="s">
        <v>189</v>
      </c>
      <c r="H70" s="3" t="s">
        <v>190</v>
      </c>
      <c r="I70" s="3" t="s">
        <v>190</v>
      </c>
      <c r="J70" s="3" t="s">
        <v>190</v>
      </c>
      <c r="K70" s="3" t="s">
        <v>190</v>
      </c>
      <c r="L70" s="3" t="s">
        <v>191</v>
      </c>
      <c r="M70" s="3">
        <v>3680</v>
      </c>
      <c r="N70" s="3">
        <v>3600</v>
      </c>
      <c r="O70" s="3">
        <v>1</v>
      </c>
      <c r="P70" s="3">
        <v>2</v>
      </c>
      <c r="Q70" s="3">
        <v>600</v>
      </c>
      <c r="R70" s="3">
        <v>80</v>
      </c>
      <c r="S70" s="3">
        <v>550</v>
      </c>
      <c r="T70" s="3">
        <v>80</v>
      </c>
      <c r="U70" s="3">
        <v>550</v>
      </c>
      <c r="V70" s="3">
        <v>180</v>
      </c>
      <c r="W70" s="3">
        <v>360</v>
      </c>
      <c r="X70" s="3">
        <v>13.8</v>
      </c>
      <c r="Y70" s="3">
        <v>11</v>
      </c>
      <c r="Z70" s="3" t="s">
        <v>190</v>
      </c>
      <c r="AA70" s="3" t="s">
        <v>191</v>
      </c>
      <c r="AB70" s="3" t="s">
        <v>191</v>
      </c>
      <c r="AC70" s="3">
        <v>230</v>
      </c>
      <c r="AD70" s="3">
        <v>220</v>
      </c>
      <c r="AE70" s="4">
        <v>16</v>
      </c>
    </row>
    <row r="71" spans="1:31">
      <c r="A71" s="2" t="s">
        <v>260</v>
      </c>
      <c r="B71" s="3" t="s">
        <v>242</v>
      </c>
      <c r="C71" s="3">
        <v>147</v>
      </c>
      <c r="D71" s="3">
        <v>354</v>
      </c>
      <c r="E71" s="3">
        <v>433</v>
      </c>
      <c r="F71" s="3">
        <v>13</v>
      </c>
      <c r="G71" s="3" t="s">
        <v>189</v>
      </c>
      <c r="H71" s="3" t="s">
        <v>190</v>
      </c>
      <c r="I71" s="3" t="s">
        <v>190</v>
      </c>
      <c r="J71" s="3" t="s">
        <v>190</v>
      </c>
      <c r="K71" s="3" t="s">
        <v>190</v>
      </c>
      <c r="L71" s="3" t="s">
        <v>191</v>
      </c>
      <c r="M71" s="3">
        <v>4200</v>
      </c>
      <c r="N71" s="3">
        <v>4200</v>
      </c>
      <c r="O71" s="3">
        <v>1</v>
      </c>
      <c r="P71" s="3">
        <v>2</v>
      </c>
      <c r="Q71" s="3">
        <v>600</v>
      </c>
      <c r="R71" s="3">
        <v>80</v>
      </c>
      <c r="S71" s="3">
        <v>550</v>
      </c>
      <c r="T71" s="3">
        <v>80</v>
      </c>
      <c r="U71" s="3">
        <v>550</v>
      </c>
      <c r="V71" s="3">
        <v>210</v>
      </c>
      <c r="W71" s="3">
        <v>360</v>
      </c>
      <c r="X71" s="3">
        <v>13.8</v>
      </c>
      <c r="Y71" s="3">
        <v>11</v>
      </c>
      <c r="Z71" s="3" t="s">
        <v>190</v>
      </c>
      <c r="AA71" s="3" t="s">
        <v>191</v>
      </c>
      <c r="AB71" s="3" t="s">
        <v>191</v>
      </c>
      <c r="AC71" s="3">
        <v>230</v>
      </c>
      <c r="AD71" s="3">
        <v>220</v>
      </c>
      <c r="AE71" s="4">
        <v>19</v>
      </c>
    </row>
    <row r="72" spans="1:31">
      <c r="A72" s="2" t="s">
        <v>261</v>
      </c>
      <c r="B72" s="3" t="s">
        <v>242</v>
      </c>
      <c r="C72" s="3">
        <v>147</v>
      </c>
      <c r="D72" s="3">
        <v>354</v>
      </c>
      <c r="E72" s="3">
        <v>433</v>
      </c>
      <c r="F72" s="3">
        <v>13</v>
      </c>
      <c r="G72" s="3" t="s">
        <v>189</v>
      </c>
      <c r="H72" s="3" t="s">
        <v>190</v>
      </c>
      <c r="I72" s="3" t="s">
        <v>190</v>
      </c>
      <c r="J72" s="3" t="s">
        <v>190</v>
      </c>
      <c r="K72" s="3" t="s">
        <v>190</v>
      </c>
      <c r="L72" s="3" t="s">
        <v>191</v>
      </c>
      <c r="M72" s="3">
        <v>5000</v>
      </c>
      <c r="N72" s="3">
        <v>5000</v>
      </c>
      <c r="O72" s="3">
        <v>1</v>
      </c>
      <c r="P72" s="3">
        <v>2</v>
      </c>
      <c r="Q72" s="3">
        <v>600</v>
      </c>
      <c r="R72" s="3">
        <v>80</v>
      </c>
      <c r="S72" s="3">
        <v>550</v>
      </c>
      <c r="T72" s="3">
        <v>80</v>
      </c>
      <c r="U72" s="3">
        <v>550</v>
      </c>
      <c r="V72" s="3">
        <v>240</v>
      </c>
      <c r="W72" s="3">
        <v>360</v>
      </c>
      <c r="X72" s="3">
        <v>13.8</v>
      </c>
      <c r="Y72" s="3">
        <v>11</v>
      </c>
      <c r="Z72" s="3" t="s">
        <v>190</v>
      </c>
      <c r="AA72" s="3" t="s">
        <v>191</v>
      </c>
      <c r="AB72" s="3" t="s">
        <v>191</v>
      </c>
      <c r="AC72" s="3">
        <v>230</v>
      </c>
      <c r="AD72" s="3">
        <v>220</v>
      </c>
      <c r="AE72" s="4">
        <v>22.8</v>
      </c>
    </row>
    <row r="73" spans="1:31">
      <c r="A73" s="2" t="s">
        <v>262</v>
      </c>
      <c r="B73" s="3" t="s">
        <v>242</v>
      </c>
      <c r="C73" s="3">
        <v>147</v>
      </c>
      <c r="D73" s="3">
        <v>354</v>
      </c>
      <c r="E73" s="3">
        <v>433</v>
      </c>
      <c r="F73" s="3">
        <v>13.5</v>
      </c>
      <c r="G73" s="3" t="s">
        <v>189</v>
      </c>
      <c r="H73" s="3" t="s">
        <v>190</v>
      </c>
      <c r="I73" s="3" t="s">
        <v>190</v>
      </c>
      <c r="J73" s="3" t="s">
        <v>190</v>
      </c>
      <c r="K73" s="3" t="s">
        <v>190</v>
      </c>
      <c r="L73" s="3" t="s">
        <v>191</v>
      </c>
      <c r="M73" s="3">
        <v>6000</v>
      </c>
      <c r="N73" s="3">
        <v>6000</v>
      </c>
      <c r="O73" s="3">
        <v>1</v>
      </c>
      <c r="P73" s="3">
        <v>2</v>
      </c>
      <c r="Q73" s="3">
        <v>600</v>
      </c>
      <c r="R73" s="3">
        <v>80</v>
      </c>
      <c r="S73" s="3">
        <v>550</v>
      </c>
      <c r="T73" s="3">
        <v>80</v>
      </c>
      <c r="U73" s="3">
        <v>550</v>
      </c>
      <c r="V73" s="3">
        <v>280</v>
      </c>
      <c r="W73" s="3">
        <v>360</v>
      </c>
      <c r="X73" s="3">
        <v>13.8</v>
      </c>
      <c r="Y73" s="3">
        <v>11</v>
      </c>
      <c r="Z73" s="3" t="s">
        <v>190</v>
      </c>
      <c r="AA73" s="3" t="s">
        <v>191</v>
      </c>
      <c r="AB73" s="3" t="s">
        <v>191</v>
      </c>
      <c r="AC73" s="3">
        <v>230</v>
      </c>
      <c r="AD73" s="3">
        <v>220</v>
      </c>
      <c r="AE73" s="4">
        <v>27.3</v>
      </c>
    </row>
    <row r="74" spans="1:31">
      <c r="A74" s="2" t="s">
        <v>263</v>
      </c>
      <c r="B74" s="3" t="s">
        <v>242</v>
      </c>
      <c r="C74" s="3">
        <v>147</v>
      </c>
      <c r="D74" s="3">
        <v>354</v>
      </c>
      <c r="E74" s="3">
        <v>433</v>
      </c>
      <c r="F74" s="3">
        <v>13</v>
      </c>
      <c r="G74" s="3" t="s">
        <v>189</v>
      </c>
      <c r="H74" s="3" t="s">
        <v>190</v>
      </c>
      <c r="I74" s="3" t="s">
        <v>190</v>
      </c>
      <c r="J74" s="3" t="s">
        <v>190</v>
      </c>
      <c r="K74" s="3" t="s">
        <v>190</v>
      </c>
      <c r="L74" s="3" t="s">
        <v>191</v>
      </c>
      <c r="M74" s="3">
        <v>3000</v>
      </c>
      <c r="N74" s="3">
        <v>3000</v>
      </c>
      <c r="O74" s="3">
        <v>1</v>
      </c>
      <c r="P74" s="3">
        <v>2</v>
      </c>
      <c r="Q74" s="3">
        <v>600</v>
      </c>
      <c r="R74" s="3">
        <v>80</v>
      </c>
      <c r="S74" s="3">
        <v>550</v>
      </c>
      <c r="T74" s="3">
        <v>80</v>
      </c>
      <c r="U74" s="3">
        <v>550</v>
      </c>
      <c r="V74" s="3">
        <v>130</v>
      </c>
      <c r="W74" s="3">
        <v>360</v>
      </c>
      <c r="X74" s="3">
        <v>16.3</v>
      </c>
      <c r="Y74" s="3">
        <v>13</v>
      </c>
      <c r="Z74" s="3" t="s">
        <v>190</v>
      </c>
      <c r="AA74" s="3" t="s">
        <v>191</v>
      </c>
      <c r="AB74" s="3" t="s">
        <v>191</v>
      </c>
      <c r="AC74" s="3">
        <v>230</v>
      </c>
      <c r="AD74" s="3">
        <v>220</v>
      </c>
      <c r="AE74" s="4">
        <v>13.6</v>
      </c>
    </row>
    <row r="75" spans="1:31">
      <c r="A75" s="2" t="s">
        <v>264</v>
      </c>
      <c r="B75" s="3" t="s">
        <v>242</v>
      </c>
      <c r="C75" s="3">
        <v>147</v>
      </c>
      <c r="D75" s="3">
        <v>354</v>
      </c>
      <c r="E75" s="3">
        <v>433</v>
      </c>
      <c r="F75" s="3">
        <v>13</v>
      </c>
      <c r="G75" s="3" t="s">
        <v>189</v>
      </c>
      <c r="H75" s="3" t="s">
        <v>190</v>
      </c>
      <c r="I75" s="3" t="s">
        <v>190</v>
      </c>
      <c r="J75" s="3" t="s">
        <v>190</v>
      </c>
      <c r="K75" s="3" t="s">
        <v>190</v>
      </c>
      <c r="L75" s="3" t="s">
        <v>191</v>
      </c>
      <c r="M75" s="3">
        <v>3680</v>
      </c>
      <c r="N75" s="3">
        <v>3600</v>
      </c>
      <c r="O75" s="3">
        <v>1</v>
      </c>
      <c r="P75" s="3">
        <v>2</v>
      </c>
      <c r="Q75" s="3">
        <v>600</v>
      </c>
      <c r="R75" s="3">
        <v>80</v>
      </c>
      <c r="S75" s="3">
        <v>550</v>
      </c>
      <c r="T75" s="3">
        <v>80</v>
      </c>
      <c r="U75" s="3">
        <v>550</v>
      </c>
      <c r="V75" s="3">
        <v>150</v>
      </c>
      <c r="W75" s="3">
        <v>360</v>
      </c>
      <c r="X75" s="3">
        <v>16.3</v>
      </c>
      <c r="Y75" s="3">
        <v>13</v>
      </c>
      <c r="Z75" s="3" t="s">
        <v>190</v>
      </c>
      <c r="AA75" s="3" t="s">
        <v>191</v>
      </c>
      <c r="AB75" s="3" t="s">
        <v>191</v>
      </c>
      <c r="AC75" s="3">
        <v>230</v>
      </c>
      <c r="AD75" s="3">
        <v>220</v>
      </c>
      <c r="AE75" s="4">
        <v>16</v>
      </c>
    </row>
    <row r="76" spans="1:31">
      <c r="A76" s="2" t="s">
        <v>265</v>
      </c>
      <c r="B76" s="3" t="s">
        <v>242</v>
      </c>
      <c r="C76" s="3">
        <v>147</v>
      </c>
      <c r="D76" s="3">
        <v>354</v>
      </c>
      <c r="E76" s="3">
        <v>433</v>
      </c>
      <c r="F76" s="3">
        <v>13</v>
      </c>
      <c r="G76" s="3" t="s">
        <v>189</v>
      </c>
      <c r="H76" s="3" t="s">
        <v>190</v>
      </c>
      <c r="I76" s="3" t="s">
        <v>190</v>
      </c>
      <c r="J76" s="3" t="s">
        <v>190</v>
      </c>
      <c r="K76" s="3" t="s">
        <v>190</v>
      </c>
      <c r="L76" s="3" t="s">
        <v>191</v>
      </c>
      <c r="M76" s="3">
        <v>4200</v>
      </c>
      <c r="N76" s="3">
        <v>4200</v>
      </c>
      <c r="O76" s="3">
        <v>1</v>
      </c>
      <c r="P76" s="3">
        <v>2</v>
      </c>
      <c r="Q76" s="3">
        <v>600</v>
      </c>
      <c r="R76" s="3">
        <v>80</v>
      </c>
      <c r="S76" s="3">
        <v>550</v>
      </c>
      <c r="T76" s="3">
        <v>80</v>
      </c>
      <c r="U76" s="3">
        <v>550</v>
      </c>
      <c r="V76" s="3">
        <v>170</v>
      </c>
      <c r="W76" s="3">
        <v>360</v>
      </c>
      <c r="X76" s="3">
        <v>16.3</v>
      </c>
      <c r="Y76" s="3">
        <v>13</v>
      </c>
      <c r="Z76" s="3" t="s">
        <v>190</v>
      </c>
      <c r="AA76" s="3" t="s">
        <v>191</v>
      </c>
      <c r="AB76" s="3" t="s">
        <v>191</v>
      </c>
      <c r="AC76" s="3">
        <v>230</v>
      </c>
      <c r="AD76" s="3">
        <v>220</v>
      </c>
      <c r="AE76" s="4">
        <v>19</v>
      </c>
    </row>
    <row r="77" spans="1:31">
      <c r="A77" s="2" t="s">
        <v>266</v>
      </c>
      <c r="B77" s="3" t="s">
        <v>242</v>
      </c>
      <c r="C77" s="3">
        <v>147</v>
      </c>
      <c r="D77" s="3">
        <v>354</v>
      </c>
      <c r="E77" s="3">
        <v>433</v>
      </c>
      <c r="F77" s="3">
        <v>13</v>
      </c>
      <c r="G77" s="3" t="s">
        <v>189</v>
      </c>
      <c r="H77" s="3" t="s">
        <v>190</v>
      </c>
      <c r="I77" s="3" t="s">
        <v>190</v>
      </c>
      <c r="J77" s="3" t="s">
        <v>190</v>
      </c>
      <c r="K77" s="3" t="s">
        <v>190</v>
      </c>
      <c r="L77" s="3" t="s">
        <v>191</v>
      </c>
      <c r="M77" s="3">
        <v>5000</v>
      </c>
      <c r="N77" s="3">
        <v>5000</v>
      </c>
      <c r="O77" s="3">
        <v>1</v>
      </c>
      <c r="P77" s="3">
        <v>2</v>
      </c>
      <c r="Q77" s="3">
        <v>600</v>
      </c>
      <c r="R77" s="3">
        <v>80</v>
      </c>
      <c r="S77" s="3">
        <v>550</v>
      </c>
      <c r="T77" s="3">
        <v>80</v>
      </c>
      <c r="U77" s="3">
        <v>550</v>
      </c>
      <c r="V77" s="3">
        <v>200</v>
      </c>
      <c r="W77" s="3">
        <v>360</v>
      </c>
      <c r="X77" s="3">
        <v>16.3</v>
      </c>
      <c r="Y77" s="3">
        <v>13</v>
      </c>
      <c r="Z77" s="3" t="s">
        <v>190</v>
      </c>
      <c r="AA77" s="3" t="s">
        <v>191</v>
      </c>
      <c r="AB77" s="3" t="s">
        <v>191</v>
      </c>
      <c r="AC77" s="3">
        <v>230</v>
      </c>
      <c r="AD77" s="3">
        <v>220</v>
      </c>
      <c r="AE77" s="4">
        <v>22.8</v>
      </c>
    </row>
    <row r="78" spans="1:31">
      <c r="A78" s="2" t="s">
        <v>267</v>
      </c>
      <c r="B78" s="3" t="s">
        <v>242</v>
      </c>
      <c r="C78" s="3">
        <v>147</v>
      </c>
      <c r="D78" s="3">
        <v>354</v>
      </c>
      <c r="E78" s="3">
        <v>433</v>
      </c>
      <c r="F78" s="3">
        <v>13.5</v>
      </c>
      <c r="G78" s="3" t="s">
        <v>189</v>
      </c>
      <c r="H78" s="3" t="s">
        <v>190</v>
      </c>
      <c r="I78" s="3" t="s">
        <v>190</v>
      </c>
      <c r="J78" s="3" t="s">
        <v>190</v>
      </c>
      <c r="K78" s="3" t="s">
        <v>190</v>
      </c>
      <c r="L78" s="3" t="s">
        <v>191</v>
      </c>
      <c r="M78" s="3">
        <v>6000</v>
      </c>
      <c r="N78" s="3">
        <v>6000</v>
      </c>
      <c r="O78" s="3">
        <v>1</v>
      </c>
      <c r="P78" s="3">
        <v>2</v>
      </c>
      <c r="Q78" s="3">
        <v>600</v>
      </c>
      <c r="R78" s="3">
        <v>80</v>
      </c>
      <c r="S78" s="3">
        <v>550</v>
      </c>
      <c r="T78" s="3">
        <v>80</v>
      </c>
      <c r="U78" s="3">
        <v>550</v>
      </c>
      <c r="V78" s="3">
        <v>240</v>
      </c>
      <c r="W78" s="3">
        <v>360</v>
      </c>
      <c r="X78" s="3">
        <v>16.3</v>
      </c>
      <c r="Y78" s="3">
        <v>13</v>
      </c>
      <c r="Z78" s="3" t="s">
        <v>190</v>
      </c>
      <c r="AA78" s="3" t="s">
        <v>191</v>
      </c>
      <c r="AB78" s="3" t="s">
        <v>191</v>
      </c>
      <c r="AC78" s="3">
        <v>230</v>
      </c>
      <c r="AD78" s="3">
        <v>220</v>
      </c>
      <c r="AE78" s="4">
        <v>27.3</v>
      </c>
    </row>
    <row r="79" spans="1:31">
      <c r="A79" s="2" t="s">
        <v>268</v>
      </c>
      <c r="B79" s="3" t="s">
        <v>269</v>
      </c>
      <c r="C79" s="3">
        <v>167</v>
      </c>
      <c r="D79" s="3">
        <v>380</v>
      </c>
      <c r="E79" s="3">
        <v>440</v>
      </c>
      <c r="F79" s="3">
        <v>19.3</v>
      </c>
      <c r="G79" s="3" t="s">
        <v>189</v>
      </c>
      <c r="H79" s="3" t="s">
        <v>190</v>
      </c>
      <c r="I79" s="3" t="s">
        <v>190</v>
      </c>
      <c r="J79" s="3" t="s">
        <v>190</v>
      </c>
      <c r="K79" s="3" t="s">
        <v>190</v>
      </c>
      <c r="L79" s="3" t="s">
        <v>191</v>
      </c>
      <c r="M79" s="3">
        <v>7000</v>
      </c>
      <c r="N79" s="3">
        <v>7700</v>
      </c>
      <c r="O79" s="3">
        <v>1</v>
      </c>
      <c r="P79" s="3">
        <v>3</v>
      </c>
      <c r="Q79" s="3">
        <v>600</v>
      </c>
      <c r="R79" s="3">
        <v>80</v>
      </c>
      <c r="S79" s="3">
        <v>550</v>
      </c>
      <c r="T79" s="3">
        <v>80</v>
      </c>
      <c r="U79" s="3">
        <v>550</v>
      </c>
      <c r="V79" s="3">
        <v>225</v>
      </c>
      <c r="W79" s="3">
        <v>360</v>
      </c>
      <c r="X79" s="3">
        <v>18</v>
      </c>
      <c r="Y79" s="3">
        <v>14</v>
      </c>
      <c r="Z79" s="3" t="s">
        <v>190</v>
      </c>
      <c r="AA79" s="3" t="s">
        <v>191</v>
      </c>
      <c r="AB79" s="3" t="s">
        <v>191</v>
      </c>
      <c r="AC79" s="3">
        <v>240</v>
      </c>
      <c r="AD79" s="3">
        <v>220</v>
      </c>
      <c r="AE79" s="4">
        <v>35</v>
      </c>
    </row>
    <row r="80" spans="1:31">
      <c r="A80" s="2" t="s">
        <v>270</v>
      </c>
      <c r="B80" s="3" t="s">
        <v>269</v>
      </c>
      <c r="C80" s="3">
        <v>167</v>
      </c>
      <c r="D80" s="3">
        <v>380</v>
      </c>
      <c r="E80" s="3">
        <v>440</v>
      </c>
      <c r="F80" s="3">
        <v>19.3</v>
      </c>
      <c r="G80" s="3" t="s">
        <v>189</v>
      </c>
      <c r="H80" s="3" t="s">
        <v>190</v>
      </c>
      <c r="I80" s="3" t="s">
        <v>190</v>
      </c>
      <c r="J80" s="3" t="s">
        <v>190</v>
      </c>
      <c r="K80" s="3" t="s">
        <v>190</v>
      </c>
      <c r="L80" s="3" t="s">
        <v>191</v>
      </c>
      <c r="M80" s="3">
        <v>8000</v>
      </c>
      <c r="N80" s="3">
        <v>8800</v>
      </c>
      <c r="O80" s="3">
        <v>1</v>
      </c>
      <c r="P80" s="3">
        <v>3</v>
      </c>
      <c r="Q80" s="3">
        <v>600</v>
      </c>
      <c r="R80" s="3">
        <v>80</v>
      </c>
      <c r="S80" s="3">
        <v>550</v>
      </c>
      <c r="T80" s="3">
        <v>80</v>
      </c>
      <c r="U80" s="3">
        <v>550</v>
      </c>
      <c r="V80" s="3">
        <v>225</v>
      </c>
      <c r="W80" s="3">
        <v>360</v>
      </c>
      <c r="X80" s="3">
        <v>18</v>
      </c>
      <c r="Y80" s="3">
        <v>14</v>
      </c>
      <c r="Z80" s="3" t="s">
        <v>190</v>
      </c>
      <c r="AA80" s="3" t="s">
        <v>191</v>
      </c>
      <c r="AB80" s="3" t="s">
        <v>191</v>
      </c>
      <c r="AC80" s="3">
        <v>240</v>
      </c>
      <c r="AD80" s="3">
        <v>220</v>
      </c>
      <c r="AE80" s="4">
        <v>40</v>
      </c>
    </row>
    <row r="81" spans="1:31">
      <c r="A81" s="2" t="s">
        <v>271</v>
      </c>
      <c r="B81" s="3" t="s">
        <v>269</v>
      </c>
      <c r="C81" s="3">
        <v>167</v>
      </c>
      <c r="D81" s="3">
        <v>380</v>
      </c>
      <c r="E81" s="3">
        <v>440</v>
      </c>
      <c r="F81" s="3">
        <v>19.3</v>
      </c>
      <c r="G81" s="3" t="s">
        <v>189</v>
      </c>
      <c r="H81" s="3" t="s">
        <v>190</v>
      </c>
      <c r="I81" s="3" t="s">
        <v>190</v>
      </c>
      <c r="J81" s="3" t="s">
        <v>190</v>
      </c>
      <c r="K81" s="3" t="s">
        <v>190</v>
      </c>
      <c r="L81" s="3" t="s">
        <v>191</v>
      </c>
      <c r="M81" s="3">
        <v>9000</v>
      </c>
      <c r="N81" s="3">
        <v>9900</v>
      </c>
      <c r="O81" s="3">
        <v>1</v>
      </c>
      <c r="P81" s="3">
        <v>3</v>
      </c>
      <c r="Q81" s="3">
        <v>600</v>
      </c>
      <c r="R81" s="3">
        <v>80</v>
      </c>
      <c r="S81" s="3">
        <v>550</v>
      </c>
      <c r="T81" s="3">
        <v>80</v>
      </c>
      <c r="U81" s="3">
        <v>550</v>
      </c>
      <c r="V81" s="3">
        <v>255</v>
      </c>
      <c r="W81" s="3">
        <v>360</v>
      </c>
      <c r="X81" s="3">
        <v>18</v>
      </c>
      <c r="Y81" s="3">
        <v>14</v>
      </c>
      <c r="Z81" s="3" t="s">
        <v>190</v>
      </c>
      <c r="AA81" s="3" t="s">
        <v>191</v>
      </c>
      <c r="AB81" s="3" t="s">
        <v>191</v>
      </c>
      <c r="AC81" s="3">
        <v>240</v>
      </c>
      <c r="AD81" s="3">
        <v>220</v>
      </c>
      <c r="AE81" s="4">
        <v>45</v>
      </c>
    </row>
    <row r="82" spans="1:31">
      <c r="A82" s="2" t="s">
        <v>272</v>
      </c>
      <c r="B82" s="3" t="s">
        <v>269</v>
      </c>
      <c r="C82" s="3">
        <v>167</v>
      </c>
      <c r="D82" s="3">
        <v>380</v>
      </c>
      <c r="E82" s="3">
        <v>440</v>
      </c>
      <c r="F82" s="3">
        <v>19.3</v>
      </c>
      <c r="G82" s="3" t="s">
        <v>189</v>
      </c>
      <c r="H82" s="3" t="s">
        <v>190</v>
      </c>
      <c r="I82" s="3" t="s">
        <v>190</v>
      </c>
      <c r="J82" s="3" t="s">
        <v>190</v>
      </c>
      <c r="K82" s="3" t="s">
        <v>190</v>
      </c>
      <c r="L82" s="3" t="s">
        <v>191</v>
      </c>
      <c r="M82" s="3">
        <v>10000</v>
      </c>
      <c r="N82" s="3">
        <v>10500</v>
      </c>
      <c r="O82" s="3">
        <v>1</v>
      </c>
      <c r="P82" s="3">
        <v>3</v>
      </c>
      <c r="Q82" s="3">
        <v>600</v>
      </c>
      <c r="R82" s="3">
        <v>80</v>
      </c>
      <c r="S82" s="3">
        <v>550</v>
      </c>
      <c r="T82" s="3">
        <v>80</v>
      </c>
      <c r="U82" s="3">
        <v>550</v>
      </c>
      <c r="V82" s="3">
        <v>280</v>
      </c>
      <c r="W82" s="3">
        <v>360</v>
      </c>
      <c r="X82" s="3">
        <v>18</v>
      </c>
      <c r="Y82" s="3">
        <v>14</v>
      </c>
      <c r="Z82" s="3" t="s">
        <v>190</v>
      </c>
      <c r="AA82" s="3" t="s">
        <v>191</v>
      </c>
      <c r="AB82" s="3" t="s">
        <v>191</v>
      </c>
      <c r="AC82" s="3">
        <v>240</v>
      </c>
      <c r="AD82" s="3">
        <v>220</v>
      </c>
      <c r="AE82" s="4">
        <v>47.7</v>
      </c>
    </row>
    <row r="83" spans="1:31">
      <c r="A83" s="2" t="s">
        <v>273</v>
      </c>
      <c r="B83" s="3" t="s">
        <v>269</v>
      </c>
      <c r="C83" s="3">
        <v>167</v>
      </c>
      <c r="D83" s="3">
        <v>380</v>
      </c>
      <c r="E83" s="3">
        <v>440</v>
      </c>
      <c r="F83" s="3">
        <v>19.3</v>
      </c>
      <c r="G83" s="3" t="s">
        <v>189</v>
      </c>
      <c r="H83" s="3" t="s">
        <v>190</v>
      </c>
      <c r="I83" s="3" t="s">
        <v>190</v>
      </c>
      <c r="J83" s="3" t="s">
        <v>190</v>
      </c>
      <c r="K83" s="3" t="s">
        <v>190</v>
      </c>
      <c r="L83" s="3" t="s">
        <v>191</v>
      </c>
      <c r="M83" s="3">
        <v>10500</v>
      </c>
      <c r="N83" s="3">
        <v>10500</v>
      </c>
      <c r="O83" s="3">
        <v>1</v>
      </c>
      <c r="P83" s="3">
        <v>3</v>
      </c>
      <c r="Q83" s="3">
        <v>600</v>
      </c>
      <c r="R83" s="3">
        <v>80</v>
      </c>
      <c r="S83" s="3">
        <v>550</v>
      </c>
      <c r="T83" s="3">
        <v>80</v>
      </c>
      <c r="U83" s="3">
        <v>550</v>
      </c>
      <c r="V83" s="3">
        <v>285</v>
      </c>
      <c r="W83" s="3">
        <v>360</v>
      </c>
      <c r="X83" s="3">
        <v>18</v>
      </c>
      <c r="Y83" s="3">
        <v>14</v>
      </c>
      <c r="Z83" s="3" t="s">
        <v>190</v>
      </c>
      <c r="AA83" s="3" t="s">
        <v>191</v>
      </c>
      <c r="AB83" s="3" t="s">
        <v>191</v>
      </c>
      <c r="AC83" s="3">
        <v>240</v>
      </c>
      <c r="AD83" s="3">
        <v>220</v>
      </c>
      <c r="AE83" s="4">
        <v>47.7</v>
      </c>
    </row>
    <row r="84" spans="1:31">
      <c r="A84" s="2" t="s">
        <v>274</v>
      </c>
      <c r="B84" s="3" t="s">
        <v>269</v>
      </c>
      <c r="C84" s="3">
        <v>186</v>
      </c>
      <c r="D84" s="3">
        <v>384</v>
      </c>
      <c r="E84" s="3">
        <v>475</v>
      </c>
      <c r="F84" s="3">
        <v>20</v>
      </c>
      <c r="G84" s="3" t="s">
        <v>189</v>
      </c>
      <c r="H84" s="3" t="s">
        <v>190</v>
      </c>
      <c r="I84" s="3" t="s">
        <v>190</v>
      </c>
      <c r="J84" s="3" t="s">
        <v>190</v>
      </c>
      <c r="K84" s="3" t="s">
        <v>190</v>
      </c>
      <c r="L84" s="3" t="s">
        <v>191</v>
      </c>
      <c r="M84" s="3">
        <v>3000</v>
      </c>
      <c r="N84" s="3">
        <v>3300</v>
      </c>
      <c r="O84" s="3">
        <v>2</v>
      </c>
      <c r="P84" s="3">
        <v>1</v>
      </c>
      <c r="Q84" s="3">
        <v>1100</v>
      </c>
      <c r="R84" s="3">
        <v>180</v>
      </c>
      <c r="S84" s="3">
        <v>850</v>
      </c>
      <c r="T84" s="3">
        <v>160</v>
      </c>
      <c r="U84" s="3">
        <v>850</v>
      </c>
      <c r="V84" s="3">
        <v>160</v>
      </c>
      <c r="W84" s="3">
        <v>600</v>
      </c>
      <c r="X84" s="3">
        <v>16.25</v>
      </c>
      <c r="Y84" s="3">
        <v>12.5</v>
      </c>
      <c r="Z84" s="3" t="s">
        <v>191</v>
      </c>
      <c r="AA84" s="3" t="s">
        <v>191</v>
      </c>
      <c r="AB84" s="3" t="s">
        <v>190</v>
      </c>
      <c r="AC84" s="3">
        <v>240</v>
      </c>
      <c r="AD84" s="3">
        <v>240</v>
      </c>
      <c r="AE84" s="4">
        <v>4.8</v>
      </c>
    </row>
    <row r="85" spans="1:31">
      <c r="A85" s="2" t="s">
        <v>275</v>
      </c>
      <c r="B85" s="3" t="s">
        <v>269</v>
      </c>
      <c r="C85" s="3">
        <v>186</v>
      </c>
      <c r="D85" s="3">
        <v>384</v>
      </c>
      <c r="E85" s="3">
        <v>475</v>
      </c>
      <c r="F85" s="3">
        <v>20</v>
      </c>
      <c r="G85" s="3" t="s">
        <v>189</v>
      </c>
      <c r="H85" s="3" t="s">
        <v>190</v>
      </c>
      <c r="I85" s="3" t="s">
        <v>190</v>
      </c>
      <c r="J85" s="3" t="s">
        <v>190</v>
      </c>
      <c r="K85" s="3" t="s">
        <v>190</v>
      </c>
      <c r="L85" s="3" t="s">
        <v>191</v>
      </c>
      <c r="M85" s="3">
        <v>4000</v>
      </c>
      <c r="N85" s="3">
        <v>4400</v>
      </c>
      <c r="O85" s="3">
        <v>2</v>
      </c>
      <c r="P85" s="3">
        <v>1</v>
      </c>
      <c r="Q85" s="3">
        <v>1100</v>
      </c>
      <c r="R85" s="3">
        <v>180</v>
      </c>
      <c r="S85" s="3">
        <v>850</v>
      </c>
      <c r="T85" s="3">
        <v>160</v>
      </c>
      <c r="U85" s="3">
        <v>850</v>
      </c>
      <c r="V85" s="3">
        <v>180</v>
      </c>
      <c r="W85" s="3">
        <v>600</v>
      </c>
      <c r="X85" s="3">
        <v>16.25</v>
      </c>
      <c r="Y85" s="3">
        <v>12.5</v>
      </c>
      <c r="Z85" s="3" t="s">
        <v>191</v>
      </c>
      <c r="AA85" s="3" t="s">
        <v>191</v>
      </c>
      <c r="AB85" s="3" t="s">
        <v>190</v>
      </c>
      <c r="AC85" s="3">
        <v>240</v>
      </c>
      <c r="AD85" s="3">
        <v>240</v>
      </c>
      <c r="AE85" s="4">
        <v>6.4</v>
      </c>
    </row>
    <row r="86" spans="1:31">
      <c r="A86" s="2" t="s">
        <v>276</v>
      </c>
      <c r="B86" s="3" t="s">
        <v>269</v>
      </c>
      <c r="C86" s="3">
        <v>186</v>
      </c>
      <c r="D86" s="3">
        <v>384</v>
      </c>
      <c r="E86" s="3">
        <v>475</v>
      </c>
      <c r="F86" s="3">
        <v>20</v>
      </c>
      <c r="G86" s="3" t="s">
        <v>189</v>
      </c>
      <c r="H86" s="3" t="s">
        <v>190</v>
      </c>
      <c r="I86" s="3" t="s">
        <v>190</v>
      </c>
      <c r="J86" s="3" t="s">
        <v>190</v>
      </c>
      <c r="K86" s="3" t="s">
        <v>190</v>
      </c>
      <c r="L86" s="3" t="s">
        <v>191</v>
      </c>
      <c r="M86" s="3">
        <v>5000</v>
      </c>
      <c r="N86" s="3">
        <v>5500</v>
      </c>
      <c r="O86" s="3">
        <v>2</v>
      </c>
      <c r="P86" s="3">
        <v>1</v>
      </c>
      <c r="Q86" s="3">
        <v>1100</v>
      </c>
      <c r="R86" s="3">
        <v>180</v>
      </c>
      <c r="S86" s="3">
        <v>850</v>
      </c>
      <c r="T86" s="3">
        <v>160</v>
      </c>
      <c r="U86" s="3">
        <v>850</v>
      </c>
      <c r="V86" s="3">
        <v>210</v>
      </c>
      <c r="W86" s="3">
        <v>600</v>
      </c>
      <c r="X86" s="3">
        <v>16.25</v>
      </c>
      <c r="Y86" s="3">
        <v>12.5</v>
      </c>
      <c r="Z86" s="3" t="s">
        <v>191</v>
      </c>
      <c r="AA86" s="3" t="s">
        <v>191</v>
      </c>
      <c r="AB86" s="3" t="s">
        <v>190</v>
      </c>
      <c r="AC86" s="3">
        <v>240</v>
      </c>
      <c r="AD86" s="3">
        <v>240</v>
      </c>
      <c r="AE86" s="4">
        <v>8</v>
      </c>
    </row>
    <row r="87" spans="1:31">
      <c r="A87" s="2" t="s">
        <v>277</v>
      </c>
      <c r="B87" s="3" t="s">
        <v>269</v>
      </c>
      <c r="C87" s="3">
        <v>186</v>
      </c>
      <c r="D87" s="3">
        <v>384</v>
      </c>
      <c r="E87" s="3">
        <v>475</v>
      </c>
      <c r="F87" s="3">
        <v>20</v>
      </c>
      <c r="G87" s="3" t="s">
        <v>189</v>
      </c>
      <c r="H87" s="3" t="s">
        <v>190</v>
      </c>
      <c r="I87" s="3" t="s">
        <v>190</v>
      </c>
      <c r="J87" s="3" t="s">
        <v>190</v>
      </c>
      <c r="K87" s="3" t="s">
        <v>190</v>
      </c>
      <c r="L87" s="3" t="s">
        <v>191</v>
      </c>
      <c r="M87" s="3">
        <v>6000</v>
      </c>
      <c r="N87" s="3">
        <v>6600</v>
      </c>
      <c r="O87" s="3">
        <v>2</v>
      </c>
      <c r="P87" s="3">
        <v>1</v>
      </c>
      <c r="Q87" s="3">
        <v>1100</v>
      </c>
      <c r="R87" s="3">
        <v>180</v>
      </c>
      <c r="S87" s="3">
        <v>850</v>
      </c>
      <c r="T87" s="3">
        <v>160</v>
      </c>
      <c r="U87" s="3">
        <v>850</v>
      </c>
      <c r="V87" s="3">
        <v>250</v>
      </c>
      <c r="W87" s="3">
        <v>600</v>
      </c>
      <c r="X87" s="3">
        <v>16.25</v>
      </c>
      <c r="Y87" s="3">
        <v>12.5</v>
      </c>
      <c r="Z87" s="3" t="s">
        <v>191</v>
      </c>
      <c r="AA87" s="3" t="s">
        <v>191</v>
      </c>
      <c r="AB87" s="3" t="s">
        <v>190</v>
      </c>
      <c r="AC87" s="3">
        <v>240</v>
      </c>
      <c r="AD87" s="3">
        <v>240</v>
      </c>
      <c r="AE87" s="4">
        <v>9.6</v>
      </c>
    </row>
    <row r="88" spans="1:31">
      <c r="A88" s="2" t="s">
        <v>278</v>
      </c>
      <c r="B88" s="3" t="s">
        <v>269</v>
      </c>
      <c r="C88" s="3">
        <v>186</v>
      </c>
      <c r="D88" s="3">
        <v>384</v>
      </c>
      <c r="E88" s="3">
        <v>475</v>
      </c>
      <c r="F88" s="3">
        <v>20</v>
      </c>
      <c r="G88" s="3" t="s">
        <v>189</v>
      </c>
      <c r="H88" s="3" t="s">
        <v>190</v>
      </c>
      <c r="I88" s="3" t="s">
        <v>190</v>
      </c>
      <c r="J88" s="3" t="s">
        <v>190</v>
      </c>
      <c r="K88" s="3" t="s">
        <v>190</v>
      </c>
      <c r="L88" s="3" t="s">
        <v>191</v>
      </c>
      <c r="M88" s="3">
        <v>8000</v>
      </c>
      <c r="N88" s="3">
        <v>8800</v>
      </c>
      <c r="O88" s="3">
        <v>2</v>
      </c>
      <c r="P88" s="3">
        <v>2</v>
      </c>
      <c r="Q88" s="3">
        <v>1100</v>
      </c>
      <c r="R88" s="3">
        <v>180</v>
      </c>
      <c r="S88" s="3">
        <v>850</v>
      </c>
      <c r="T88" s="3">
        <v>160</v>
      </c>
      <c r="U88" s="3">
        <v>850</v>
      </c>
      <c r="V88" s="3">
        <v>160</v>
      </c>
      <c r="W88" s="3">
        <v>600</v>
      </c>
      <c r="X88" s="3">
        <v>32.5</v>
      </c>
      <c r="Y88" s="3">
        <v>25</v>
      </c>
      <c r="Z88" s="3" t="s">
        <v>191</v>
      </c>
      <c r="AA88" s="3" t="s">
        <v>191</v>
      </c>
      <c r="AB88" s="3" t="s">
        <v>190</v>
      </c>
      <c r="AC88" s="3">
        <v>240</v>
      </c>
      <c r="AD88" s="3">
        <v>240</v>
      </c>
      <c r="AE88" s="4">
        <v>12.8</v>
      </c>
    </row>
    <row r="89" spans="1:31">
      <c r="A89" s="2" t="s">
        <v>279</v>
      </c>
      <c r="B89" s="3" t="s">
        <v>269</v>
      </c>
      <c r="C89" s="3">
        <v>186</v>
      </c>
      <c r="D89" s="3">
        <v>384</v>
      </c>
      <c r="E89" s="3">
        <v>475</v>
      </c>
      <c r="F89" s="3">
        <v>20</v>
      </c>
      <c r="G89" s="3" t="s">
        <v>189</v>
      </c>
      <c r="H89" s="3" t="s">
        <v>190</v>
      </c>
      <c r="I89" s="3" t="s">
        <v>190</v>
      </c>
      <c r="J89" s="3" t="s">
        <v>190</v>
      </c>
      <c r="K89" s="3" t="s">
        <v>190</v>
      </c>
      <c r="L89" s="3" t="s">
        <v>191</v>
      </c>
      <c r="M89" s="3">
        <v>10000</v>
      </c>
      <c r="N89" s="3">
        <v>11000</v>
      </c>
      <c r="O89" s="3">
        <v>2</v>
      </c>
      <c r="P89" s="3">
        <v>2</v>
      </c>
      <c r="Q89" s="3">
        <v>1100</v>
      </c>
      <c r="R89" s="3">
        <v>180</v>
      </c>
      <c r="S89" s="3">
        <v>850</v>
      </c>
      <c r="T89" s="3">
        <v>160</v>
      </c>
      <c r="U89" s="3">
        <v>850</v>
      </c>
      <c r="V89" s="3">
        <v>200</v>
      </c>
      <c r="W89" s="3">
        <v>600</v>
      </c>
      <c r="X89" s="3">
        <v>32.5</v>
      </c>
      <c r="Y89" s="3">
        <v>25</v>
      </c>
      <c r="Z89" s="3" t="s">
        <v>191</v>
      </c>
      <c r="AA89" s="3" t="s">
        <v>191</v>
      </c>
      <c r="AB89" s="3" t="s">
        <v>190</v>
      </c>
      <c r="AC89" s="3">
        <v>240</v>
      </c>
      <c r="AD89" s="3">
        <v>240</v>
      </c>
      <c r="AE89" s="4">
        <v>15.9</v>
      </c>
    </row>
    <row r="90" spans="1:31">
      <c r="A90" s="2" t="s">
        <v>280</v>
      </c>
      <c r="B90" s="3" t="s">
        <v>269</v>
      </c>
      <c r="C90" s="3">
        <v>186</v>
      </c>
      <c r="D90" s="3">
        <v>384</v>
      </c>
      <c r="E90" s="3">
        <v>475</v>
      </c>
      <c r="F90" s="3">
        <v>20</v>
      </c>
      <c r="G90" s="3" t="s">
        <v>189</v>
      </c>
      <c r="H90" s="3" t="s">
        <v>190</v>
      </c>
      <c r="I90" s="3" t="s">
        <v>190</v>
      </c>
      <c r="J90" s="3" t="s">
        <v>190</v>
      </c>
      <c r="K90" s="3" t="s">
        <v>190</v>
      </c>
      <c r="L90" s="3" t="s">
        <v>191</v>
      </c>
      <c r="M90" s="3">
        <v>12000</v>
      </c>
      <c r="N90" s="3">
        <v>13200</v>
      </c>
      <c r="O90" s="3">
        <v>2</v>
      </c>
      <c r="P90" s="3">
        <v>2</v>
      </c>
      <c r="Q90" s="3">
        <v>1100</v>
      </c>
      <c r="R90" s="3">
        <v>180</v>
      </c>
      <c r="S90" s="3">
        <v>850</v>
      </c>
      <c r="T90" s="3">
        <v>160</v>
      </c>
      <c r="U90" s="3">
        <v>850</v>
      </c>
      <c r="V90" s="3">
        <v>240</v>
      </c>
      <c r="W90" s="3">
        <v>600</v>
      </c>
      <c r="X90" s="3">
        <v>32.5</v>
      </c>
      <c r="Y90" s="3">
        <v>25</v>
      </c>
      <c r="Z90" s="3" t="s">
        <v>191</v>
      </c>
      <c r="AA90" s="3" t="s">
        <v>191</v>
      </c>
      <c r="AB90" s="3" t="s">
        <v>190</v>
      </c>
      <c r="AC90" s="3">
        <v>240</v>
      </c>
      <c r="AD90" s="3">
        <v>240</v>
      </c>
      <c r="AE90" s="4">
        <v>19.100000000000001</v>
      </c>
    </row>
    <row r="91" spans="1:31">
      <c r="A91" s="2" t="s">
        <v>281</v>
      </c>
      <c r="B91" s="3" t="s">
        <v>269</v>
      </c>
      <c r="C91" s="3">
        <v>186</v>
      </c>
      <c r="D91" s="3">
        <v>384</v>
      </c>
      <c r="E91" s="3">
        <v>475</v>
      </c>
      <c r="F91" s="3">
        <v>24</v>
      </c>
      <c r="G91" s="3" t="s">
        <v>229</v>
      </c>
      <c r="H91" s="3" t="s">
        <v>190</v>
      </c>
      <c r="I91" s="3" t="s">
        <v>190</v>
      </c>
      <c r="J91" s="3" t="s">
        <v>190</v>
      </c>
      <c r="K91" s="3" t="s">
        <v>190</v>
      </c>
      <c r="L91" s="3" t="s">
        <v>191</v>
      </c>
      <c r="M91" s="3">
        <v>15000</v>
      </c>
      <c r="N91" s="3">
        <v>16500</v>
      </c>
      <c r="O91" s="3">
        <v>2</v>
      </c>
      <c r="P91" s="3">
        <v>2</v>
      </c>
      <c r="Q91" s="3">
        <v>1100</v>
      </c>
      <c r="R91" s="3">
        <v>180</v>
      </c>
      <c r="S91" s="3">
        <v>850</v>
      </c>
      <c r="T91" s="3">
        <v>160</v>
      </c>
      <c r="U91" s="3">
        <v>850</v>
      </c>
      <c r="V91" s="3">
        <v>300</v>
      </c>
      <c r="W91" s="3">
        <v>600</v>
      </c>
      <c r="X91" s="3">
        <v>32.5</v>
      </c>
      <c r="Y91" s="3">
        <v>25</v>
      </c>
      <c r="Z91" s="3" t="s">
        <v>191</v>
      </c>
      <c r="AA91" s="3" t="s">
        <v>191</v>
      </c>
      <c r="AB91" s="3" t="s">
        <v>190</v>
      </c>
      <c r="AC91" s="3">
        <v>240</v>
      </c>
      <c r="AD91" s="3">
        <v>240</v>
      </c>
      <c r="AE91" s="4">
        <v>23.9</v>
      </c>
    </row>
    <row r="92" spans="1:31">
      <c r="A92" s="2" t="s">
        <v>282</v>
      </c>
      <c r="B92" s="3" t="s">
        <v>269</v>
      </c>
      <c r="C92" s="3">
        <v>186</v>
      </c>
      <c r="D92" s="3">
        <v>384</v>
      </c>
      <c r="E92" s="3">
        <v>475</v>
      </c>
      <c r="F92" s="3">
        <v>24</v>
      </c>
      <c r="G92" s="3" t="s">
        <v>229</v>
      </c>
      <c r="H92" s="3" t="s">
        <v>190</v>
      </c>
      <c r="I92" s="3" t="s">
        <v>190</v>
      </c>
      <c r="J92" s="3" t="s">
        <v>190</v>
      </c>
      <c r="K92" s="3" t="s">
        <v>190</v>
      </c>
      <c r="L92" s="3" t="s">
        <v>191</v>
      </c>
      <c r="M92" s="3">
        <v>17000</v>
      </c>
      <c r="N92" s="3">
        <v>18700</v>
      </c>
      <c r="O92" s="3">
        <v>2</v>
      </c>
      <c r="P92" s="3">
        <v>2</v>
      </c>
      <c r="Q92" s="3">
        <v>1100</v>
      </c>
      <c r="R92" s="3">
        <v>180</v>
      </c>
      <c r="S92" s="3">
        <v>850</v>
      </c>
      <c r="T92" s="3">
        <v>160</v>
      </c>
      <c r="U92" s="3">
        <v>850</v>
      </c>
      <c r="V92" s="3">
        <v>350</v>
      </c>
      <c r="W92" s="3">
        <v>600</v>
      </c>
      <c r="X92" s="3">
        <v>32.5</v>
      </c>
      <c r="Y92" s="3">
        <v>25</v>
      </c>
      <c r="Z92" s="3" t="s">
        <v>191</v>
      </c>
      <c r="AA92" s="3" t="s">
        <v>191</v>
      </c>
      <c r="AB92" s="3" t="s">
        <v>190</v>
      </c>
      <c r="AC92" s="3">
        <v>240</v>
      </c>
      <c r="AD92" s="3">
        <v>240</v>
      </c>
      <c r="AE92" s="4">
        <v>27.1</v>
      </c>
    </row>
    <row r="93" spans="1:31">
      <c r="A93" s="2" t="s">
        <v>283</v>
      </c>
      <c r="B93" s="3" t="s">
        <v>269</v>
      </c>
      <c r="C93" s="3">
        <v>186</v>
      </c>
      <c r="D93" s="3">
        <v>384</v>
      </c>
      <c r="E93" s="3">
        <v>475</v>
      </c>
      <c r="F93" s="3">
        <v>24</v>
      </c>
      <c r="G93" s="3" t="s">
        <v>229</v>
      </c>
      <c r="H93" s="3" t="s">
        <v>190</v>
      </c>
      <c r="I93" s="3" t="s">
        <v>190</v>
      </c>
      <c r="J93" s="3" t="s">
        <v>190</v>
      </c>
      <c r="K93" s="3" t="s">
        <v>190</v>
      </c>
      <c r="L93" s="3" t="s">
        <v>191</v>
      </c>
      <c r="M93" s="3">
        <v>20000</v>
      </c>
      <c r="N93" s="3">
        <v>22000</v>
      </c>
      <c r="O93" s="3">
        <v>2</v>
      </c>
      <c r="P93" s="3">
        <v>2</v>
      </c>
      <c r="Q93" s="3">
        <v>1100</v>
      </c>
      <c r="R93" s="3">
        <v>180</v>
      </c>
      <c r="S93" s="3">
        <v>850</v>
      </c>
      <c r="T93" s="3">
        <v>160</v>
      </c>
      <c r="U93" s="3">
        <v>850</v>
      </c>
      <c r="V93" s="3">
        <v>410</v>
      </c>
      <c r="W93" s="3">
        <v>600</v>
      </c>
      <c r="X93" s="3">
        <v>32.5</v>
      </c>
      <c r="Y93" s="3">
        <v>25</v>
      </c>
      <c r="Z93" s="3" t="s">
        <v>191</v>
      </c>
      <c r="AA93" s="3" t="s">
        <v>191</v>
      </c>
      <c r="AB93" s="3" t="s">
        <v>190</v>
      </c>
      <c r="AC93" s="3">
        <v>240</v>
      </c>
      <c r="AD93" s="3">
        <v>240</v>
      </c>
      <c r="AE93" s="4">
        <v>31.9</v>
      </c>
    </row>
    <row r="94" spans="1:31">
      <c r="A94" s="2" t="s">
        <v>284</v>
      </c>
      <c r="B94" s="3" t="s">
        <v>269</v>
      </c>
      <c r="C94" s="3">
        <v>186</v>
      </c>
      <c r="D94" s="3">
        <v>384</v>
      </c>
      <c r="E94" s="3">
        <v>475</v>
      </c>
      <c r="F94" s="3">
        <v>24</v>
      </c>
      <c r="G94" s="3" t="s">
        <v>229</v>
      </c>
      <c r="H94" s="3" t="s">
        <v>190</v>
      </c>
      <c r="I94" s="3" t="s">
        <v>190</v>
      </c>
      <c r="J94" s="3" t="s">
        <v>190</v>
      </c>
      <c r="K94" s="3" t="s">
        <v>190</v>
      </c>
      <c r="L94" s="3" t="s">
        <v>191</v>
      </c>
      <c r="M94" s="3">
        <v>25000</v>
      </c>
      <c r="N94" s="3">
        <v>27500</v>
      </c>
      <c r="O94" s="3">
        <v>2</v>
      </c>
      <c r="P94" s="3">
        <v>2</v>
      </c>
      <c r="Q94" s="3">
        <v>1100</v>
      </c>
      <c r="R94" s="3">
        <v>180</v>
      </c>
      <c r="S94" s="3">
        <v>850</v>
      </c>
      <c r="T94" s="3">
        <v>160</v>
      </c>
      <c r="U94" s="3">
        <v>850</v>
      </c>
      <c r="V94" s="3">
        <v>510</v>
      </c>
      <c r="W94" s="3">
        <v>600</v>
      </c>
      <c r="X94" s="3">
        <v>32.5</v>
      </c>
      <c r="Y94" s="3">
        <v>25</v>
      </c>
      <c r="Z94" s="3" t="s">
        <v>191</v>
      </c>
      <c r="AA94" s="3" t="s">
        <v>191</v>
      </c>
      <c r="AB94" s="3" t="s">
        <v>190</v>
      </c>
      <c r="AC94" s="3">
        <v>240</v>
      </c>
      <c r="AD94" s="3">
        <v>240</v>
      </c>
      <c r="AE94" s="4">
        <v>39.9</v>
      </c>
    </row>
    <row r="95" spans="1:31">
      <c r="A95" s="2" t="s">
        <v>285</v>
      </c>
      <c r="B95" s="3" t="s">
        <v>269</v>
      </c>
      <c r="C95" s="3">
        <v>148</v>
      </c>
      <c r="D95" s="3">
        <v>402</v>
      </c>
      <c r="E95" s="3">
        <v>476.5</v>
      </c>
      <c r="F95" s="3">
        <v>15.5</v>
      </c>
      <c r="G95" s="3" t="s">
        <v>189</v>
      </c>
      <c r="H95" s="3" t="s">
        <v>190</v>
      </c>
      <c r="I95" s="3" t="s">
        <v>190</v>
      </c>
      <c r="J95" s="3" t="s">
        <v>190</v>
      </c>
      <c r="K95" s="3" t="s">
        <v>190</v>
      </c>
      <c r="L95" s="3" t="s">
        <v>191</v>
      </c>
      <c r="M95" s="3">
        <v>3000</v>
      </c>
      <c r="N95" s="3">
        <v>3300</v>
      </c>
      <c r="O95" s="3">
        <v>1</v>
      </c>
      <c r="P95" s="3">
        <v>2</v>
      </c>
      <c r="Q95" s="3">
        <v>600</v>
      </c>
      <c r="R95" s="3">
        <v>120</v>
      </c>
      <c r="S95" s="3">
        <v>550</v>
      </c>
      <c r="T95" s="3">
        <v>80</v>
      </c>
      <c r="U95" s="3">
        <v>550</v>
      </c>
      <c r="V95" s="3">
        <v>130</v>
      </c>
      <c r="W95" s="3">
        <v>360</v>
      </c>
      <c r="X95" s="3">
        <v>15</v>
      </c>
      <c r="Y95" s="3">
        <v>12.5</v>
      </c>
      <c r="Z95" s="3" t="s">
        <v>190</v>
      </c>
      <c r="AA95" s="3" t="s">
        <v>191</v>
      </c>
      <c r="AB95" s="3" t="s">
        <v>191</v>
      </c>
      <c r="AC95" s="3">
        <v>240</v>
      </c>
      <c r="AD95" s="3">
        <v>220</v>
      </c>
      <c r="AE95" s="4">
        <v>14.3</v>
      </c>
    </row>
    <row r="96" spans="1:31">
      <c r="A96" s="2" t="s">
        <v>286</v>
      </c>
      <c r="B96" s="3" t="s">
        <v>269</v>
      </c>
      <c r="C96" s="3">
        <v>148</v>
      </c>
      <c r="D96" s="3">
        <v>402</v>
      </c>
      <c r="E96" s="3">
        <v>476.5</v>
      </c>
      <c r="F96" s="3">
        <v>15.5</v>
      </c>
      <c r="G96" s="3" t="s">
        <v>189</v>
      </c>
      <c r="H96" s="3" t="s">
        <v>190</v>
      </c>
      <c r="I96" s="3" t="s">
        <v>190</v>
      </c>
      <c r="J96" s="3" t="s">
        <v>190</v>
      </c>
      <c r="K96" s="3" t="s">
        <v>190</v>
      </c>
      <c r="L96" s="3" t="s">
        <v>191</v>
      </c>
      <c r="M96" s="3">
        <v>3600</v>
      </c>
      <c r="N96" s="3">
        <v>3960</v>
      </c>
      <c r="O96" s="3">
        <v>1</v>
      </c>
      <c r="P96" s="3">
        <v>2</v>
      </c>
      <c r="Q96" s="3">
        <v>600</v>
      </c>
      <c r="R96" s="3">
        <v>120</v>
      </c>
      <c r="S96" s="3">
        <v>550</v>
      </c>
      <c r="T96" s="3">
        <v>80</v>
      </c>
      <c r="U96" s="3">
        <v>550</v>
      </c>
      <c r="V96" s="3">
        <v>150</v>
      </c>
      <c r="W96" s="3">
        <v>360</v>
      </c>
      <c r="X96" s="3">
        <v>15</v>
      </c>
      <c r="Y96" s="3">
        <v>12.5</v>
      </c>
      <c r="Z96" s="3" t="s">
        <v>190</v>
      </c>
      <c r="AA96" s="3" t="s">
        <v>191</v>
      </c>
      <c r="AB96" s="3" t="s">
        <v>191</v>
      </c>
      <c r="AC96" s="3">
        <v>240</v>
      </c>
      <c r="AD96" s="3">
        <v>220</v>
      </c>
      <c r="AE96" s="4">
        <v>17.2</v>
      </c>
    </row>
    <row r="97" spans="1:31">
      <c r="A97" s="2" t="s">
        <v>287</v>
      </c>
      <c r="B97" s="3" t="s">
        <v>269</v>
      </c>
      <c r="C97" s="3">
        <v>148</v>
      </c>
      <c r="D97" s="3">
        <v>402</v>
      </c>
      <c r="E97" s="3">
        <v>476.5</v>
      </c>
      <c r="F97" s="3">
        <v>15.5</v>
      </c>
      <c r="G97" s="3" t="s">
        <v>189</v>
      </c>
      <c r="H97" s="3" t="s">
        <v>190</v>
      </c>
      <c r="I97" s="3" t="s">
        <v>190</v>
      </c>
      <c r="J97" s="3" t="s">
        <v>190</v>
      </c>
      <c r="K97" s="3" t="s">
        <v>190</v>
      </c>
      <c r="L97" s="3" t="s">
        <v>191</v>
      </c>
      <c r="M97" s="3">
        <v>4600</v>
      </c>
      <c r="N97" s="3">
        <v>5060</v>
      </c>
      <c r="O97" s="3">
        <v>1</v>
      </c>
      <c r="P97" s="3">
        <v>2</v>
      </c>
      <c r="Q97" s="3">
        <v>600</v>
      </c>
      <c r="R97" s="3">
        <v>120</v>
      </c>
      <c r="S97" s="3">
        <v>550</v>
      </c>
      <c r="T97" s="3">
        <v>80</v>
      </c>
      <c r="U97" s="3">
        <v>550</v>
      </c>
      <c r="V97" s="3">
        <v>200</v>
      </c>
      <c r="W97" s="3">
        <v>360</v>
      </c>
      <c r="X97" s="3">
        <v>15</v>
      </c>
      <c r="Y97" s="3">
        <v>12.5</v>
      </c>
      <c r="Z97" s="3" t="s">
        <v>190</v>
      </c>
      <c r="AA97" s="3" t="s">
        <v>191</v>
      </c>
      <c r="AB97" s="3" t="s">
        <v>191</v>
      </c>
      <c r="AC97" s="3">
        <v>240</v>
      </c>
      <c r="AD97" s="3">
        <v>220</v>
      </c>
      <c r="AE97" s="4">
        <v>22</v>
      </c>
    </row>
    <row r="98" spans="1:31">
      <c r="A98" s="2" t="s">
        <v>288</v>
      </c>
      <c r="B98" s="3" t="s">
        <v>269</v>
      </c>
      <c r="C98" s="3">
        <v>148</v>
      </c>
      <c r="D98" s="3">
        <v>402</v>
      </c>
      <c r="E98" s="3">
        <v>476.5</v>
      </c>
      <c r="F98" s="3">
        <v>15.5</v>
      </c>
      <c r="G98" s="3" t="s">
        <v>189</v>
      </c>
      <c r="H98" s="3" t="s">
        <v>190</v>
      </c>
      <c r="I98" s="3" t="s">
        <v>190</v>
      </c>
      <c r="J98" s="3" t="s">
        <v>190</v>
      </c>
      <c r="K98" s="3" t="s">
        <v>190</v>
      </c>
      <c r="L98" s="3" t="s">
        <v>191</v>
      </c>
      <c r="M98" s="3">
        <v>5000</v>
      </c>
      <c r="N98" s="3">
        <v>5500</v>
      </c>
      <c r="O98" s="3">
        <v>1</v>
      </c>
      <c r="P98" s="3">
        <v>2</v>
      </c>
      <c r="Q98" s="3">
        <v>600</v>
      </c>
      <c r="R98" s="3">
        <v>120</v>
      </c>
      <c r="S98" s="3">
        <v>550</v>
      </c>
      <c r="T98" s="3">
        <v>80</v>
      </c>
      <c r="U98" s="3">
        <v>550</v>
      </c>
      <c r="V98" s="3">
        <v>210</v>
      </c>
      <c r="W98" s="3">
        <v>360</v>
      </c>
      <c r="X98" s="3">
        <v>15</v>
      </c>
      <c r="Y98" s="3">
        <v>12.5</v>
      </c>
      <c r="Z98" s="3" t="s">
        <v>190</v>
      </c>
      <c r="AA98" s="3" t="s">
        <v>191</v>
      </c>
      <c r="AB98" s="3" t="s">
        <v>191</v>
      </c>
      <c r="AC98" s="3">
        <v>240</v>
      </c>
      <c r="AD98" s="3">
        <v>220</v>
      </c>
      <c r="AE98" s="4">
        <v>23.9</v>
      </c>
    </row>
    <row r="99" spans="1:31">
      <c r="A99" s="2" t="s">
        <v>289</v>
      </c>
      <c r="B99" s="3" t="s">
        <v>269</v>
      </c>
      <c r="C99" s="3">
        <v>148</v>
      </c>
      <c r="D99" s="3">
        <v>402</v>
      </c>
      <c r="E99" s="3">
        <v>476.5</v>
      </c>
      <c r="F99" s="3">
        <v>15.5</v>
      </c>
      <c r="G99" s="3" t="s">
        <v>189</v>
      </c>
      <c r="H99" s="3" t="s">
        <v>190</v>
      </c>
      <c r="I99" s="3" t="s">
        <v>190</v>
      </c>
      <c r="J99" s="3" t="s">
        <v>190</v>
      </c>
      <c r="K99" s="3" t="s">
        <v>190</v>
      </c>
      <c r="L99" s="3" t="s">
        <v>191</v>
      </c>
      <c r="M99" s="3">
        <v>5300</v>
      </c>
      <c r="N99" s="3">
        <v>5830</v>
      </c>
      <c r="O99" s="3">
        <v>1</v>
      </c>
      <c r="P99" s="3">
        <v>2</v>
      </c>
      <c r="Q99" s="3">
        <v>600</v>
      </c>
      <c r="R99" s="3">
        <v>120</v>
      </c>
      <c r="S99" s="3">
        <v>550</v>
      </c>
      <c r="T99" s="3">
        <v>80</v>
      </c>
      <c r="U99" s="3">
        <v>550</v>
      </c>
      <c r="V99" s="3">
        <v>250</v>
      </c>
      <c r="W99" s="3">
        <v>360</v>
      </c>
      <c r="X99" s="3">
        <v>15</v>
      </c>
      <c r="Y99" s="3">
        <v>12.5</v>
      </c>
      <c r="Z99" s="3" t="s">
        <v>190</v>
      </c>
      <c r="AA99" s="3" t="s">
        <v>191</v>
      </c>
      <c r="AB99" s="3" t="s">
        <v>191</v>
      </c>
      <c r="AC99" s="3">
        <v>240</v>
      </c>
      <c r="AD99" s="3">
        <v>220</v>
      </c>
      <c r="AE99" s="4">
        <v>25.3</v>
      </c>
    </row>
    <row r="100" spans="1:31">
      <c r="A100" s="2" t="s">
        <v>290</v>
      </c>
      <c r="B100" s="3" t="s">
        <v>269</v>
      </c>
      <c r="C100" s="3">
        <v>148</v>
      </c>
      <c r="D100" s="3">
        <v>402</v>
      </c>
      <c r="E100" s="3">
        <v>476.5</v>
      </c>
      <c r="F100" s="3">
        <v>15.5</v>
      </c>
      <c r="G100" s="3" t="s">
        <v>189</v>
      </c>
      <c r="H100" s="3" t="s">
        <v>190</v>
      </c>
      <c r="I100" s="3" t="s">
        <v>190</v>
      </c>
      <c r="J100" s="3" t="s">
        <v>190</v>
      </c>
      <c r="K100" s="3" t="s">
        <v>190</v>
      </c>
      <c r="L100" s="3" t="s">
        <v>191</v>
      </c>
      <c r="M100" s="3">
        <v>6000</v>
      </c>
      <c r="N100" s="3">
        <v>6000</v>
      </c>
      <c r="O100" s="3">
        <v>1</v>
      </c>
      <c r="P100" s="3">
        <v>2</v>
      </c>
      <c r="Q100" s="3">
        <v>600</v>
      </c>
      <c r="R100" s="3">
        <v>120</v>
      </c>
      <c r="S100" s="3">
        <v>550</v>
      </c>
      <c r="T100" s="3">
        <v>80</v>
      </c>
      <c r="U100" s="3">
        <v>550</v>
      </c>
      <c r="V100" s="3">
        <v>250</v>
      </c>
      <c r="W100" s="3">
        <v>360</v>
      </c>
      <c r="X100" s="3">
        <v>15</v>
      </c>
      <c r="Y100" s="3">
        <v>12.5</v>
      </c>
      <c r="Z100" s="3" t="s">
        <v>190</v>
      </c>
      <c r="AA100" s="3" t="s">
        <v>191</v>
      </c>
      <c r="AB100" s="3" t="s">
        <v>191</v>
      </c>
      <c r="AC100" s="3">
        <v>240</v>
      </c>
      <c r="AD100" s="3">
        <v>220</v>
      </c>
      <c r="AE100" s="4">
        <v>26.1</v>
      </c>
    </row>
    <row r="101" spans="1:31">
      <c r="A101" s="2" t="s">
        <v>291</v>
      </c>
      <c r="B101" s="3" t="s">
        <v>292</v>
      </c>
      <c r="C101" s="3">
        <v>135</v>
      </c>
      <c r="D101" s="3">
        <v>344</v>
      </c>
      <c r="E101" s="3">
        <v>312.5</v>
      </c>
      <c r="F101" s="3">
        <v>7.5</v>
      </c>
      <c r="G101" s="3" t="s">
        <v>189</v>
      </c>
      <c r="H101" s="3" t="s">
        <v>190</v>
      </c>
      <c r="I101" s="3" t="s">
        <v>190</v>
      </c>
      <c r="J101" s="3" t="s">
        <v>190</v>
      </c>
      <c r="K101" s="3" t="s">
        <v>190</v>
      </c>
      <c r="L101" s="3" t="s">
        <v>191</v>
      </c>
      <c r="M101" s="3">
        <v>1500</v>
      </c>
      <c r="N101" s="3">
        <v>1500</v>
      </c>
      <c r="O101" s="3">
        <v>1</v>
      </c>
      <c r="P101" s="3">
        <v>1</v>
      </c>
      <c r="Q101" s="3">
        <v>450</v>
      </c>
      <c r="R101" s="3">
        <v>80</v>
      </c>
      <c r="S101" s="3">
        <v>400</v>
      </c>
      <c r="T101" s="3">
        <v>80</v>
      </c>
      <c r="U101" s="3">
        <v>400</v>
      </c>
      <c r="V101" s="3">
        <v>80</v>
      </c>
      <c r="X101" s="3">
        <v>10</v>
      </c>
      <c r="Y101" s="3">
        <v>10</v>
      </c>
      <c r="Z101" s="3" t="s">
        <v>190</v>
      </c>
      <c r="AA101" s="3" t="s">
        <v>191</v>
      </c>
      <c r="AB101" s="3" t="s">
        <v>191</v>
      </c>
      <c r="AC101" s="3">
        <v>220</v>
      </c>
      <c r="AD101" s="3">
        <v>220</v>
      </c>
      <c r="AE101" s="4">
        <v>7.5</v>
      </c>
    </row>
    <row r="102" spans="1:31">
      <c r="A102" s="2" t="s">
        <v>293</v>
      </c>
      <c r="B102" s="3" t="s">
        <v>292</v>
      </c>
      <c r="C102" s="3">
        <v>135</v>
      </c>
      <c r="D102" s="3">
        <v>344</v>
      </c>
      <c r="E102" s="3">
        <v>312.5</v>
      </c>
      <c r="F102" s="3">
        <v>8.5</v>
      </c>
      <c r="G102" s="3" t="s">
        <v>189</v>
      </c>
      <c r="H102" s="3" t="s">
        <v>190</v>
      </c>
      <c r="I102" s="3" t="s">
        <v>190</v>
      </c>
      <c r="J102" s="3" t="s">
        <v>190</v>
      </c>
      <c r="K102" s="3" t="s">
        <v>190</v>
      </c>
      <c r="L102" s="3" t="s">
        <v>191</v>
      </c>
      <c r="M102" s="3">
        <v>3000</v>
      </c>
      <c r="N102" s="3">
        <v>3000</v>
      </c>
      <c r="O102" s="3">
        <v>1</v>
      </c>
      <c r="P102" s="3">
        <v>1</v>
      </c>
      <c r="Q102" s="3">
        <v>500</v>
      </c>
      <c r="R102" s="3">
        <v>80</v>
      </c>
      <c r="S102" s="3">
        <v>450</v>
      </c>
      <c r="T102" s="3">
        <v>80</v>
      </c>
      <c r="U102" s="3">
        <v>450</v>
      </c>
      <c r="V102" s="3">
        <v>80</v>
      </c>
      <c r="X102" s="3">
        <v>15</v>
      </c>
      <c r="Y102" s="3">
        <v>15</v>
      </c>
      <c r="Z102" s="3" t="s">
        <v>190</v>
      </c>
      <c r="AA102" s="3" t="s">
        <v>191</v>
      </c>
      <c r="AB102" s="3" t="s">
        <v>191</v>
      </c>
      <c r="AC102" s="3">
        <v>220</v>
      </c>
      <c r="AD102" s="3">
        <v>220</v>
      </c>
      <c r="AE102" s="4">
        <v>13.5</v>
      </c>
    </row>
    <row r="103" spans="1:31">
      <c r="A103" s="2" t="s">
        <v>294</v>
      </c>
      <c r="B103" s="3" t="s">
        <v>292</v>
      </c>
      <c r="C103" s="3">
        <v>150</v>
      </c>
      <c r="D103" s="3">
        <v>347</v>
      </c>
      <c r="E103" s="3">
        <v>431</v>
      </c>
      <c r="F103" s="3">
        <v>14</v>
      </c>
      <c r="G103" s="3" t="s">
        <v>189</v>
      </c>
      <c r="H103" s="3" t="s">
        <v>190</v>
      </c>
      <c r="I103" s="3" t="s">
        <v>190</v>
      </c>
      <c r="J103" s="3" t="s">
        <v>190</v>
      </c>
      <c r="K103" s="3" t="s">
        <v>190</v>
      </c>
      <c r="L103" s="3" t="s">
        <v>191</v>
      </c>
      <c r="M103" s="3">
        <v>5000</v>
      </c>
      <c r="N103" s="3">
        <v>5000</v>
      </c>
      <c r="O103" s="3">
        <v>1</v>
      </c>
      <c r="P103" s="3">
        <v>2</v>
      </c>
      <c r="Q103" s="3">
        <v>580</v>
      </c>
      <c r="R103" s="3">
        <v>120</v>
      </c>
      <c r="S103" s="3">
        <v>550</v>
      </c>
      <c r="T103" s="3">
        <v>125</v>
      </c>
      <c r="U103" s="3">
        <v>550</v>
      </c>
      <c r="V103" s="3">
        <v>125</v>
      </c>
      <c r="X103" s="3">
        <v>11</v>
      </c>
      <c r="Y103" s="3">
        <v>11</v>
      </c>
      <c r="Z103" s="3" t="s">
        <v>190</v>
      </c>
      <c r="AA103" s="3" t="s">
        <v>191</v>
      </c>
      <c r="AB103" s="3" t="s">
        <v>191</v>
      </c>
      <c r="AC103" s="3">
        <v>220</v>
      </c>
      <c r="AD103" s="3">
        <v>220</v>
      </c>
      <c r="AE103" s="4">
        <v>22.8</v>
      </c>
    </row>
    <row r="104" spans="1:31">
      <c r="A104" s="2" t="s">
        <v>295</v>
      </c>
      <c r="B104" s="3" t="s">
        <v>292</v>
      </c>
      <c r="C104" s="3">
        <v>203</v>
      </c>
      <c r="D104" s="3">
        <v>516</v>
      </c>
      <c r="E104" s="3">
        <v>650</v>
      </c>
      <c r="F104" s="3">
        <v>39</v>
      </c>
      <c r="G104" s="3" t="s">
        <v>229</v>
      </c>
      <c r="H104" s="3" t="s">
        <v>190</v>
      </c>
      <c r="I104" s="3" t="s">
        <v>190</v>
      </c>
      <c r="J104" s="3" t="s">
        <v>190</v>
      </c>
      <c r="K104" s="3" t="s">
        <v>190</v>
      </c>
      <c r="L104" s="3" t="s">
        <v>191</v>
      </c>
      <c r="M104" s="3">
        <v>14000</v>
      </c>
      <c r="N104" s="3">
        <v>14000</v>
      </c>
      <c r="O104" s="3">
        <v>3</v>
      </c>
      <c r="P104" s="3">
        <v>2</v>
      </c>
      <c r="Q104" s="3">
        <v>800</v>
      </c>
      <c r="R104" s="3">
        <v>250</v>
      </c>
      <c r="S104" s="3">
        <v>650</v>
      </c>
      <c r="T104" s="3">
        <v>260</v>
      </c>
      <c r="U104" s="3">
        <v>650</v>
      </c>
      <c r="V104" s="3">
        <v>260</v>
      </c>
      <c r="X104" s="3">
        <v>27</v>
      </c>
      <c r="Y104" s="3">
        <v>27</v>
      </c>
      <c r="Z104" s="3" t="s">
        <v>191</v>
      </c>
      <c r="AA104" s="3" t="s">
        <v>191</v>
      </c>
      <c r="AB104" s="3" t="s">
        <v>190</v>
      </c>
      <c r="AC104" s="3">
        <v>127</v>
      </c>
      <c r="AD104" s="3">
        <v>127</v>
      </c>
      <c r="AE104" s="4">
        <v>37</v>
      </c>
    </row>
    <row r="105" spans="1:31">
      <c r="A105" s="2" t="s">
        <v>296</v>
      </c>
      <c r="B105" s="3" t="s">
        <v>292</v>
      </c>
      <c r="C105" s="3">
        <v>203</v>
      </c>
      <c r="D105" s="3">
        <v>516</v>
      </c>
      <c r="E105" s="3">
        <v>650</v>
      </c>
      <c r="F105" s="3">
        <v>39</v>
      </c>
      <c r="G105" s="3" t="s">
        <v>229</v>
      </c>
      <c r="H105" s="3" t="s">
        <v>190</v>
      </c>
      <c r="I105" s="3" t="s">
        <v>190</v>
      </c>
      <c r="J105" s="3" t="s">
        <v>190</v>
      </c>
      <c r="K105" s="3" t="s">
        <v>190</v>
      </c>
      <c r="L105" s="3" t="s">
        <v>191</v>
      </c>
      <c r="M105" s="3">
        <v>20000</v>
      </c>
      <c r="N105" s="3">
        <v>20000</v>
      </c>
      <c r="O105" s="3">
        <v>2</v>
      </c>
      <c r="P105" s="3">
        <v>2</v>
      </c>
      <c r="Q105" s="3">
        <v>1000</v>
      </c>
      <c r="R105" s="3">
        <v>250</v>
      </c>
      <c r="S105" s="3">
        <v>850</v>
      </c>
      <c r="T105" s="3">
        <v>260</v>
      </c>
      <c r="U105" s="3">
        <v>850</v>
      </c>
      <c r="V105" s="3">
        <v>260</v>
      </c>
      <c r="X105" s="3">
        <v>22</v>
      </c>
      <c r="Y105" s="3">
        <v>22</v>
      </c>
      <c r="Z105" s="3" t="s">
        <v>191</v>
      </c>
      <c r="AA105" s="3" t="s">
        <v>191</v>
      </c>
      <c r="AB105" s="3" t="s">
        <v>190</v>
      </c>
      <c r="AC105" s="3">
        <v>220</v>
      </c>
      <c r="AD105" s="3">
        <v>220</v>
      </c>
      <c r="AE105" s="4">
        <v>30</v>
      </c>
    </row>
    <row r="106" spans="1:31">
      <c r="A106" s="2" t="s">
        <v>297</v>
      </c>
      <c r="B106" s="3" t="s">
        <v>292</v>
      </c>
      <c r="C106" s="3">
        <v>203</v>
      </c>
      <c r="D106" s="3">
        <v>516</v>
      </c>
      <c r="E106" s="3">
        <v>650</v>
      </c>
      <c r="F106" s="3">
        <v>39</v>
      </c>
      <c r="G106" s="3" t="s">
        <v>229</v>
      </c>
      <c r="H106" s="3" t="s">
        <v>190</v>
      </c>
      <c r="I106" s="3" t="s">
        <v>190</v>
      </c>
      <c r="J106" s="3" t="s">
        <v>190</v>
      </c>
      <c r="K106" s="3" t="s">
        <v>190</v>
      </c>
      <c r="L106" s="3" t="s">
        <v>191</v>
      </c>
      <c r="M106" s="3">
        <v>25000</v>
      </c>
      <c r="N106" s="3">
        <v>25000</v>
      </c>
      <c r="O106" s="3">
        <v>3</v>
      </c>
      <c r="P106" s="3">
        <v>2</v>
      </c>
      <c r="Q106" s="3">
        <v>1000</v>
      </c>
      <c r="R106" s="3">
        <v>250</v>
      </c>
      <c r="S106" s="3">
        <v>850</v>
      </c>
      <c r="T106" s="3">
        <v>260</v>
      </c>
      <c r="U106" s="3">
        <v>850</v>
      </c>
      <c r="V106" s="3">
        <v>260</v>
      </c>
      <c r="X106" s="3">
        <v>27</v>
      </c>
      <c r="Y106" s="3">
        <v>27</v>
      </c>
      <c r="Z106" s="3" t="s">
        <v>191</v>
      </c>
      <c r="AA106" s="3" t="s">
        <v>191</v>
      </c>
      <c r="AB106" s="3" t="s">
        <v>190</v>
      </c>
      <c r="AC106" s="3">
        <v>220</v>
      </c>
      <c r="AD106" s="3">
        <v>220</v>
      </c>
      <c r="AE106" s="4">
        <v>37</v>
      </c>
    </row>
    <row r="107" spans="1:31">
      <c r="A107" s="2" t="s">
        <v>298</v>
      </c>
      <c r="B107" s="3" t="s">
        <v>292</v>
      </c>
      <c r="C107" s="3">
        <v>264</v>
      </c>
      <c r="D107" s="3">
        <v>586</v>
      </c>
      <c r="E107" s="3">
        <v>788</v>
      </c>
      <c r="F107" s="3">
        <v>64</v>
      </c>
      <c r="G107" s="3" t="s">
        <v>229</v>
      </c>
      <c r="H107" s="3" t="s">
        <v>190</v>
      </c>
      <c r="I107" s="3" t="s">
        <v>190</v>
      </c>
      <c r="J107" s="3" t="s">
        <v>190</v>
      </c>
      <c r="K107" s="3" t="s">
        <v>190</v>
      </c>
      <c r="L107" s="3" t="s">
        <v>191</v>
      </c>
      <c r="M107" s="3">
        <v>35000</v>
      </c>
      <c r="N107" s="3">
        <v>35000</v>
      </c>
      <c r="O107" s="3">
        <v>3</v>
      </c>
      <c r="P107" s="3">
        <v>4</v>
      </c>
      <c r="Q107" s="3">
        <v>800</v>
      </c>
      <c r="R107" s="3">
        <v>200</v>
      </c>
      <c r="S107" s="3">
        <v>650</v>
      </c>
      <c r="T107" s="3">
        <v>200</v>
      </c>
      <c r="U107" s="3">
        <v>650</v>
      </c>
      <c r="V107" s="3">
        <v>200</v>
      </c>
      <c r="X107" s="3">
        <v>30</v>
      </c>
      <c r="Y107" s="3">
        <v>30</v>
      </c>
      <c r="Z107" s="3" t="s">
        <v>191</v>
      </c>
      <c r="AA107" s="3" t="s">
        <v>190</v>
      </c>
      <c r="AB107" s="3" t="s">
        <v>190</v>
      </c>
      <c r="AC107" s="3">
        <v>127</v>
      </c>
      <c r="AD107" s="3">
        <v>127</v>
      </c>
      <c r="AE107" s="4">
        <v>96</v>
      </c>
    </row>
    <row r="108" spans="1:31">
      <c r="A108" s="2" t="s">
        <v>299</v>
      </c>
      <c r="B108" s="3" t="s">
        <v>292</v>
      </c>
      <c r="C108" s="3">
        <v>267</v>
      </c>
      <c r="D108" s="3">
        <v>586</v>
      </c>
      <c r="E108" s="3">
        <v>788</v>
      </c>
      <c r="F108" s="3">
        <v>70</v>
      </c>
      <c r="G108" s="3" t="s">
        <v>229</v>
      </c>
      <c r="H108" s="3" t="s">
        <v>190</v>
      </c>
      <c r="I108" s="3" t="s">
        <v>190</v>
      </c>
      <c r="J108" s="3" t="s">
        <v>190</v>
      </c>
      <c r="K108" s="3" t="s">
        <v>190</v>
      </c>
      <c r="L108" s="3" t="s">
        <v>191</v>
      </c>
      <c r="M108" s="3">
        <v>50000</v>
      </c>
      <c r="N108" s="3">
        <v>50000</v>
      </c>
      <c r="O108" s="3">
        <v>4</v>
      </c>
      <c r="P108" s="3">
        <v>4</v>
      </c>
      <c r="Q108" s="3">
        <v>800</v>
      </c>
      <c r="R108" s="3">
        <v>200</v>
      </c>
      <c r="S108" s="3">
        <v>650</v>
      </c>
      <c r="T108" s="3">
        <v>200</v>
      </c>
      <c r="U108" s="3">
        <v>650</v>
      </c>
      <c r="V108" s="3">
        <v>200</v>
      </c>
      <c r="X108" s="3">
        <v>44</v>
      </c>
      <c r="Y108" s="3">
        <v>44</v>
      </c>
      <c r="Z108" s="3" t="s">
        <v>191</v>
      </c>
      <c r="AA108" s="3" t="s">
        <v>190</v>
      </c>
      <c r="AB108" s="3" t="s">
        <v>190</v>
      </c>
      <c r="AC108" s="3">
        <v>127</v>
      </c>
      <c r="AD108" s="3">
        <v>127</v>
      </c>
      <c r="AE108" s="4">
        <v>133</v>
      </c>
    </row>
    <row r="109" spans="1:31">
      <c r="A109" s="2" t="s">
        <v>300</v>
      </c>
      <c r="B109" s="3" t="s">
        <v>292</v>
      </c>
      <c r="C109" s="3">
        <v>264</v>
      </c>
      <c r="D109" s="3">
        <v>586</v>
      </c>
      <c r="E109" s="3">
        <v>788</v>
      </c>
      <c r="F109" s="3">
        <v>64</v>
      </c>
      <c r="G109" s="3" t="s">
        <v>229</v>
      </c>
      <c r="H109" s="3" t="s">
        <v>190</v>
      </c>
      <c r="I109" s="3" t="s">
        <v>190</v>
      </c>
      <c r="J109" s="3" t="s">
        <v>190</v>
      </c>
      <c r="K109" s="3" t="s">
        <v>190</v>
      </c>
      <c r="L109" s="3" t="s">
        <v>191</v>
      </c>
      <c r="M109" s="3">
        <v>60000</v>
      </c>
      <c r="N109" s="3">
        <v>60000</v>
      </c>
      <c r="O109" s="3">
        <v>3</v>
      </c>
      <c r="P109" s="3">
        <v>4</v>
      </c>
      <c r="Q109" s="3">
        <v>1000</v>
      </c>
      <c r="R109" s="3">
        <v>200</v>
      </c>
      <c r="S109" s="3">
        <v>850</v>
      </c>
      <c r="T109" s="3">
        <v>200</v>
      </c>
      <c r="U109" s="3">
        <v>850</v>
      </c>
      <c r="V109" s="3">
        <v>200</v>
      </c>
      <c r="X109" s="3">
        <v>30</v>
      </c>
      <c r="Y109" s="3">
        <v>30</v>
      </c>
      <c r="Z109" s="3" t="s">
        <v>191</v>
      </c>
      <c r="AA109" s="3" t="s">
        <v>190</v>
      </c>
      <c r="AB109" s="3" t="s">
        <v>190</v>
      </c>
      <c r="AC109" s="3">
        <v>220</v>
      </c>
      <c r="AD109" s="3">
        <v>220</v>
      </c>
      <c r="AE109" s="4">
        <v>96</v>
      </c>
    </row>
    <row r="110" spans="1:31">
      <c r="A110" s="2" t="s">
        <v>301</v>
      </c>
      <c r="B110" s="3" t="s">
        <v>302</v>
      </c>
      <c r="C110" s="3">
        <v>145</v>
      </c>
      <c r="D110" s="3">
        <v>400</v>
      </c>
      <c r="E110" s="3">
        <v>419</v>
      </c>
      <c r="F110" s="3">
        <v>15.5</v>
      </c>
      <c r="G110" s="3" t="s">
        <v>303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5000</v>
      </c>
      <c r="N110" s="3">
        <v>5500</v>
      </c>
      <c r="O110" s="3">
        <v>1</v>
      </c>
      <c r="P110" s="3">
        <v>2</v>
      </c>
      <c r="Q110" s="3">
        <v>600</v>
      </c>
      <c r="R110" s="3">
        <v>120</v>
      </c>
      <c r="S110" s="3">
        <v>550</v>
      </c>
      <c r="T110" s="3">
        <v>80</v>
      </c>
      <c r="U110" s="3">
        <v>550</v>
      </c>
      <c r="V110" s="3">
        <v>210</v>
      </c>
      <c r="W110" s="3">
        <v>360</v>
      </c>
      <c r="X110" s="3">
        <v>18</v>
      </c>
      <c r="Y110" s="3">
        <v>14</v>
      </c>
      <c r="Z110" s="3">
        <v>1</v>
      </c>
      <c r="AA110" s="3">
        <v>0</v>
      </c>
      <c r="AB110" s="3">
        <v>0</v>
      </c>
      <c r="AC110" s="3">
        <v>220</v>
      </c>
      <c r="AE110" s="4">
        <v>23.9</v>
      </c>
    </row>
  </sheetData>
  <autoFilter ref="A2:AE109" xr:uid="{00000000-0009-0000-0000-000002000000}"/>
  <mergeCells count="6">
    <mergeCell ref="Z1:AE1"/>
    <mergeCell ref="A1:B1"/>
    <mergeCell ref="C1:F1"/>
    <mergeCell ref="H1:L1"/>
    <mergeCell ref="M1:N1"/>
    <mergeCell ref="O1:Y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"/>
  <sheetViews>
    <sheetView tabSelected="1" workbookViewId="0"/>
  </sheetViews>
  <sheetFormatPr defaultColWidth="9"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49</vt:i4>
      </vt:variant>
    </vt:vector>
  </HeadingPairs>
  <TitlesOfParts>
    <vt:vector size="53" baseType="lpstr">
      <vt:lpstr>Inicio</vt:lpstr>
      <vt:lpstr>Dados Técnicos de Módulos</vt:lpstr>
      <vt:lpstr>Dados Técnicos de Inversores</vt:lpstr>
      <vt:lpstr>Fatores Climáticos</vt:lpstr>
      <vt:lpstr>inv_3Fios</vt:lpstr>
      <vt:lpstr>inv_4Fios</vt:lpstr>
      <vt:lpstr>inv_Altura</vt:lpstr>
      <vt:lpstr>inv_Comprimento</vt:lpstr>
      <vt:lpstr>inv_CorrCAMax</vt:lpstr>
      <vt:lpstr>inv_CorrCurtoMPPT</vt:lpstr>
      <vt:lpstr>inv_CorrMaxMPPT</vt:lpstr>
      <vt:lpstr>inv_Dados</vt:lpstr>
      <vt:lpstr>inv_Display</vt:lpstr>
      <vt:lpstr>inv_Fabricante</vt:lpstr>
      <vt:lpstr>inv_Largura</vt:lpstr>
      <vt:lpstr>inv_Led</vt:lpstr>
      <vt:lpstr>inv_Modelo</vt:lpstr>
      <vt:lpstr>inv_MonoBi</vt:lpstr>
      <vt:lpstr>inv_Peso</vt:lpstr>
      <vt:lpstr>inv_PotMax</vt:lpstr>
      <vt:lpstr>inv_PotNominal</vt:lpstr>
      <vt:lpstr>inv_QuantMPPT</vt:lpstr>
      <vt:lpstr>inv_QuantStrMPPT</vt:lpstr>
      <vt:lpstr>inv_RS485</vt:lpstr>
      <vt:lpstr>inv_TenFLMaxMPPT</vt:lpstr>
      <vt:lpstr>inv_TenFLMinMPPT</vt:lpstr>
      <vt:lpstr>inv_TenNomCAMax</vt:lpstr>
      <vt:lpstr>inv_TenNomCAMin</vt:lpstr>
      <vt:lpstr>inv_TenNomMPPT</vt:lpstr>
      <vt:lpstr>inv_TenOpMaxMPPT</vt:lpstr>
      <vt:lpstr>inv_TenOpMinMPPT</vt:lpstr>
      <vt:lpstr>inv_TenPartMaxMPPT</vt:lpstr>
      <vt:lpstr>inv_TenPartMinMPPT</vt:lpstr>
      <vt:lpstr>inv_USB</vt:lpstr>
      <vt:lpstr>inv_Ventilacao</vt:lpstr>
      <vt:lpstr>inv_Wifi</vt:lpstr>
      <vt:lpstr>mod_Altura</vt:lpstr>
      <vt:lpstr>mod_CoefCor</vt:lpstr>
      <vt:lpstr>mod_CoefPot</vt:lpstr>
      <vt:lpstr>mod_CofTen</vt:lpstr>
      <vt:lpstr>mod_Comprimento</vt:lpstr>
      <vt:lpstr>mod_Dados</vt:lpstr>
      <vt:lpstr>mod_EstruturaCristalina</vt:lpstr>
      <vt:lpstr>mod_Fabricante</vt:lpstr>
      <vt:lpstr>mod_Face</vt:lpstr>
      <vt:lpstr>mod_Ipmax</vt:lpstr>
      <vt:lpstr>mod_Isc</vt:lpstr>
      <vt:lpstr>mod_Largura</vt:lpstr>
      <vt:lpstr>mod_Modelo</vt:lpstr>
      <vt:lpstr>mod_Peso</vt:lpstr>
      <vt:lpstr>mod_PotenciaNominal</vt:lpstr>
      <vt:lpstr>mod_Voc</vt:lpstr>
      <vt:lpstr>mod_Vpmax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Sakuma</dc:creator>
  <cp:lastModifiedBy>Pedro Akio Sakuma</cp:lastModifiedBy>
  <dcterms:created xsi:type="dcterms:W3CDTF">2023-01-31T14:15:00Z</dcterms:created>
  <dcterms:modified xsi:type="dcterms:W3CDTF">2025-07-03T12:44:16Z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CA3D9A728D0E4CDAB12F5CB20B8062B9_12</vt:lpwstr>
  </property>
  <property fmtid="{D5CDD505-2E9C-101B-9397-08002B2CF9AE}" pid="3" name="KSOProductBuildVer">
    <vt:lpwstr>1046-12.2.0.20326</vt:lpwstr>
  </property>
</Properties>
</file>